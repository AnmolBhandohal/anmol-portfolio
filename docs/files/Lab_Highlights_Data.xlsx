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nmol\projects\showcase\labs\out\"/>
    </mc:Choice>
  </mc:AlternateContent>
  <xr:revisionPtr revIDLastSave="0" documentId="13_ncr:1_{EAB98D6C-716D-4FDB-961D-15D7FA9FCBB1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ummary" sheetId="1" r:id="rId1"/>
    <sheet name="Filters" sheetId="2" r:id="rId2"/>
    <sheet name="PowerSupply" sheetId="3" r:id="rId3"/>
    <sheet name="Faraday" sheetId="4" r:id="rId4"/>
    <sheet name="Aliasi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5" l="1"/>
  <c r="B36" i="5"/>
  <c r="D36" i="5" s="1"/>
  <c r="C35" i="5"/>
  <c r="B35" i="5"/>
  <c r="D35" i="5" s="1"/>
  <c r="C34" i="5"/>
  <c r="B34" i="5"/>
  <c r="D34" i="5" s="1"/>
  <c r="C33" i="5"/>
  <c r="B33" i="5"/>
  <c r="D33" i="5" s="1"/>
  <c r="C32" i="5"/>
  <c r="B32" i="5"/>
  <c r="C31" i="5"/>
  <c r="B31" i="5"/>
  <c r="D31" i="5" s="1"/>
  <c r="C30" i="5"/>
  <c r="B30" i="5"/>
  <c r="D30" i="5" s="1"/>
  <c r="C29" i="5"/>
  <c r="B29" i="5"/>
  <c r="D29" i="5" s="1"/>
  <c r="C28" i="5"/>
  <c r="B28" i="5"/>
  <c r="D28" i="5" s="1"/>
  <c r="C27" i="5"/>
  <c r="B27" i="5"/>
  <c r="D27" i="5" s="1"/>
  <c r="C26" i="5"/>
  <c r="B26" i="5"/>
  <c r="D26" i="5" s="1"/>
  <c r="C25" i="5"/>
  <c r="B25" i="5"/>
  <c r="D25" i="5" s="1"/>
  <c r="C24" i="5"/>
  <c r="B24" i="5"/>
  <c r="D24" i="5" s="1"/>
  <c r="C23" i="5"/>
  <c r="B23" i="5"/>
  <c r="C22" i="5"/>
  <c r="B22" i="5"/>
  <c r="D22" i="5" s="1"/>
  <c r="C21" i="5"/>
  <c r="B21" i="5"/>
  <c r="D21" i="5" s="1"/>
  <c r="C20" i="5"/>
  <c r="B20" i="5"/>
  <c r="D20" i="5" s="1"/>
  <c r="C19" i="5"/>
  <c r="B19" i="5"/>
  <c r="D19" i="5" s="1"/>
  <c r="C18" i="5"/>
  <c r="B18" i="5"/>
  <c r="D18" i="5" s="1"/>
  <c r="C17" i="5"/>
  <c r="B17" i="5"/>
  <c r="C16" i="5"/>
  <c r="B16" i="5"/>
  <c r="D16" i="5" s="1"/>
  <c r="C15" i="5"/>
  <c r="B15" i="5"/>
  <c r="D15" i="5" s="1"/>
  <c r="C14" i="5"/>
  <c r="B14" i="5"/>
  <c r="C13" i="5"/>
  <c r="B13" i="5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H9" i="4"/>
  <c r="H10" i="4" s="1"/>
  <c r="H8" i="4"/>
  <c r="H11" i="4" s="1"/>
  <c r="H7" i="4"/>
  <c r="H6" i="4"/>
  <c r="C9" i="1" s="1"/>
  <c r="H5" i="4"/>
  <c r="B12" i="3"/>
  <c r="F9" i="3"/>
  <c r="F8" i="3"/>
  <c r="H8" i="3" s="1"/>
  <c r="F7" i="3"/>
  <c r="H7" i="3" s="1"/>
  <c r="F6" i="3"/>
  <c r="F5" i="3"/>
  <c r="H5" i="3" s="1"/>
  <c r="F75" i="2"/>
  <c r="C75" i="2"/>
  <c r="F74" i="2"/>
  <c r="C74" i="2"/>
  <c r="F73" i="2"/>
  <c r="C73" i="2"/>
  <c r="F72" i="2"/>
  <c r="C72" i="2"/>
  <c r="F71" i="2"/>
  <c r="C71" i="2"/>
  <c r="F70" i="2"/>
  <c r="C70" i="2"/>
  <c r="F69" i="2"/>
  <c r="C69" i="2"/>
  <c r="F68" i="2"/>
  <c r="C68" i="2"/>
  <c r="F67" i="2"/>
  <c r="C67" i="2"/>
  <c r="F58" i="2"/>
  <c r="F57" i="2"/>
  <c r="F56" i="2"/>
  <c r="F55" i="2"/>
  <c r="F54" i="2"/>
  <c r="F53" i="2"/>
  <c r="F52" i="2"/>
  <c r="F51" i="2"/>
  <c r="F50" i="2"/>
  <c r="F41" i="2"/>
  <c r="F40" i="2"/>
  <c r="F39" i="2"/>
  <c r="F38" i="2"/>
  <c r="F37" i="2"/>
  <c r="F36" i="2"/>
  <c r="F35" i="2"/>
  <c r="F34" i="2"/>
  <c r="F33" i="2"/>
  <c r="F24" i="2"/>
  <c r="F23" i="2"/>
  <c r="F22" i="2"/>
  <c r="F21" i="2"/>
  <c r="F20" i="2"/>
  <c r="F19" i="2"/>
  <c r="F18" i="2"/>
  <c r="F17" i="2"/>
  <c r="F16" i="2"/>
  <c r="L12" i="2"/>
  <c r="K12" i="2"/>
  <c r="L11" i="2"/>
  <c r="K11" i="2"/>
  <c r="K10" i="2"/>
  <c r="K9" i="2"/>
  <c r="K8" i="2"/>
  <c r="L8" i="2" s="1"/>
  <c r="C7" i="1" s="1"/>
  <c r="C8" i="1"/>
  <c r="D23" i="5" l="1"/>
  <c r="D17" i="5"/>
  <c r="D32" i="5"/>
  <c r="D13" i="5"/>
  <c r="E3" i="5" s="1"/>
  <c r="C11" i="1" s="1"/>
  <c r="D14" i="5"/>
  <c r="G70" i="2"/>
  <c r="D70" i="2"/>
  <c r="H14" i="4"/>
  <c r="H12" i="4"/>
  <c r="C10" i="1"/>
  <c r="C6" i="1"/>
  <c r="H9" i="3"/>
  <c r="C5" i="1"/>
  <c r="H6" i="3"/>
  <c r="G75" i="2"/>
  <c r="D75" i="2"/>
  <c r="G74" i="2"/>
  <c r="D74" i="2"/>
  <c r="G73" i="2"/>
  <c r="D73" i="2"/>
  <c r="G72" i="2"/>
  <c r="D72" i="2"/>
  <c r="G71" i="2"/>
  <c r="D71" i="2"/>
  <c r="G69" i="2"/>
  <c r="D69" i="2"/>
  <c r="G68" i="2"/>
  <c r="D68" i="2"/>
  <c r="D67" i="2"/>
  <c r="G67" i="2"/>
  <c r="C56" i="2"/>
  <c r="C55" i="2"/>
  <c r="C54" i="2"/>
  <c r="C53" i="2"/>
  <c r="C52" i="2"/>
  <c r="C58" i="2"/>
  <c r="C50" i="2"/>
  <c r="L10" i="2"/>
  <c r="C51" i="2"/>
  <c r="C57" i="2"/>
  <c r="C41" i="2"/>
  <c r="C39" i="2"/>
  <c r="C38" i="2"/>
  <c r="C37" i="2"/>
  <c r="C36" i="2"/>
  <c r="C34" i="2"/>
  <c r="C40" i="2"/>
  <c r="C35" i="2"/>
  <c r="C33" i="2"/>
  <c r="C24" i="2"/>
  <c r="C19" i="2"/>
  <c r="C17" i="2"/>
  <c r="C16" i="2"/>
  <c r="L9" i="2"/>
  <c r="C22" i="2"/>
  <c r="C21" i="2"/>
  <c r="C20" i="2"/>
  <c r="C18" i="2"/>
  <c r="C23" i="2"/>
  <c r="D56" i="2" l="1"/>
  <c r="G56" i="2"/>
  <c r="D55" i="2"/>
  <c r="G55" i="2"/>
  <c r="D54" i="2"/>
  <c r="G54" i="2"/>
  <c r="D53" i="2"/>
  <c r="G53" i="2"/>
  <c r="D52" i="2"/>
  <c r="G52" i="2"/>
  <c r="D58" i="2"/>
  <c r="G58" i="2"/>
  <c r="D50" i="2"/>
  <c r="G50" i="2"/>
  <c r="D51" i="2"/>
  <c r="G51" i="2"/>
  <c r="D57" i="2"/>
  <c r="G57" i="2"/>
  <c r="D41" i="2"/>
  <c r="G41" i="2"/>
  <c r="D39" i="2"/>
  <c r="G39" i="2"/>
  <c r="D38" i="2"/>
  <c r="G38" i="2"/>
  <c r="D37" i="2"/>
  <c r="G37" i="2"/>
  <c r="D36" i="2"/>
  <c r="G36" i="2"/>
  <c r="D34" i="2"/>
  <c r="G34" i="2"/>
  <c r="G40" i="2"/>
  <c r="D40" i="2"/>
  <c r="D35" i="2"/>
  <c r="G35" i="2"/>
  <c r="D33" i="2"/>
  <c r="G33" i="2"/>
  <c r="D24" i="2"/>
  <c r="G24" i="2"/>
  <c r="D19" i="2"/>
  <c r="G19" i="2"/>
  <c r="D17" i="2"/>
  <c r="G17" i="2"/>
  <c r="D16" i="2"/>
  <c r="G16" i="2"/>
  <c r="D22" i="2"/>
  <c r="G22" i="2"/>
  <c r="D21" i="2"/>
  <c r="G21" i="2"/>
  <c r="D20" i="2"/>
  <c r="G20" i="2"/>
  <c r="D18" i="2"/>
  <c r="G18" i="2"/>
  <c r="D23" i="2"/>
  <c r="G23" i="2"/>
</calcChain>
</file>

<file path=xl/sharedStrings.xml><?xml version="1.0" encoding="utf-8"?>
<sst xmlns="http://schemas.openxmlformats.org/spreadsheetml/2006/main" count="119" uniqueCount="94">
  <si>
    <t>Lab highlights: the data behind the slides</t>
  </si>
  <si>
    <t>Yellow cells = measured values typed from each submitted report. Everything else is a formula.</t>
  </si>
  <si>
    <t>Lab</t>
  </si>
  <si>
    <t>Result</t>
  </si>
  <si>
    <t>Value</t>
  </si>
  <si>
    <t>Compared with</t>
  </si>
  <si>
    <t>Sheet</t>
  </si>
  <si>
    <t>ECE 302 Lab 2: ±10 V dual-rail supply</t>
  </si>
  <si>
    <t>+ rail regulation (measured)</t>
  </si>
  <si>
    <t>limit 5 %</t>
  </si>
  <si>
    <t>PowerSupply</t>
  </si>
  <si>
    <t>− rail ripple (measured)</t>
  </si>
  <si>
    <t>limit 0.5 %</t>
  </si>
  <si>
    <t>ECE 203 Lab 6: filters and resonance</t>
  </si>
  <si>
    <t>RLC centre frequency error</t>
  </si>
  <si>
    <t>theory =Filters!K8</t>
  </si>
  <si>
    <t>Filters</t>
  </si>
  <si>
    <t>Capacitance implied by RC cut-off</t>
  </si>
  <si>
    <t>nominal 100 nF</t>
  </si>
  <si>
    <t>PHYS 230 Lab 4: Faraday's law</t>
  </si>
  <si>
    <t>Solenoid fit R²</t>
  </si>
  <si>
    <t>1 = perfectly linear</t>
  </si>
  <si>
    <t>Faraday</t>
  </si>
  <si>
    <t>Earth's field B</t>
  </si>
  <si>
    <t>gaussmeter 2.45e-5 T</t>
  </si>
  <si>
    <t>ECE 340 Lab 2: sampling and aliasing</t>
  </si>
  <si>
    <t>Max |10 Hz − 90 Hz| sample difference</t>
  </si>
  <si>
    <t>0 means indistinguishable</t>
  </si>
  <si>
    <t>Aliasing</t>
  </si>
  <si>
    <t>ECE 203 Lab 6: four filters, measured against theory</t>
  </si>
  <si>
    <t>R = 470 Ω, C = 100 nF, L = 10 mH (values from the report). Theory gain is a formula of f.</t>
  </si>
  <si>
    <t>R (Ω)</t>
  </si>
  <si>
    <t>C (F)</t>
  </si>
  <si>
    <t>L (H)</t>
  </si>
  <si>
    <t>Quantity</t>
  </si>
  <si>
    <t>Theory</t>
  </si>
  <si>
    <t>Measured / error</t>
  </si>
  <si>
    <t>RLC f₀ = 1/(2π√LC)</t>
  </si>
  <si>
    <t>RC f꜀ = 1/(2πRC)</t>
  </si>
  <si>
    <t>RL f꜀ = R/(2πL)</t>
  </si>
  <si>
    <t>RLC bandwidth = R/(2πL)</t>
  </si>
  <si>
    <t>C implied by measured RC f꜀ (nF)</t>
  </si>
  <si>
    <t>RC low-pass</t>
  </si>
  <si>
    <t>f (Hz)</t>
  </si>
  <si>
    <t>Vout/Vin</t>
  </si>
  <si>
    <t>Error</t>
  </si>
  <si>
    <t>Measured dB</t>
  </si>
  <si>
    <t>Theory dB</t>
  </si>
  <si>
    <t>RC high-pass</t>
  </si>
  <si>
    <t>RL low-pass</t>
  </si>
  <si>
    <t>RLC band-pass</t>
  </si>
  <si>
    <t>ECE 302 Lab 2: ±10 V dual-rail supply (group lab with Rohan Singh)</t>
  </si>
  <si>
    <t>Voltages from the report. %VR = (V_no-load − V_full-load) / V_full-load. Ripple = Vpp / V_DC.</t>
  </si>
  <si>
    <t>Rail / source</t>
  </si>
  <si>
    <t>V no-load</t>
  </si>
  <si>
    <t>V full-load</t>
  </si>
  <si>
    <t>Vpp ripple</t>
  </si>
  <si>
    <t>V DC</t>
  </si>
  <si>
    <t>Result (%)</t>
  </si>
  <si>
    <t>Limit (%)</t>
  </si>
  <si>
    <t>Verdict</t>
  </si>
  <si>
    <t>+ rail, LTspice</t>
  </si>
  <si>
    <t>+ rail, measured</t>
  </si>
  <si>
    <t>− rail, LTspice</t>
  </si>
  <si>
    <t>− rail, measured</t>
  </si>
  <si>
    <t>− rail ripple, measured</t>
  </si>
  <si>
    <t>Why the Zener rail failed (report): the 235 Ω ballast could not keep the 1N4740 in breakdown at full load, so it dropped out of regulation.</t>
  </si>
  <si>
    <t>Ballast design check:</t>
  </si>
  <si>
    <t>Ω needed (Eq. 2.1)</t>
  </si>
  <si>
    <t>PHYS 230 Lab 4: Faraday's law (with Duong Hung Nguyen and James Pacia)</t>
  </si>
  <si>
    <t>Fit with SLOPE/INTERCEPT/RSQ; B from the flip coil with fractional error propagation.</t>
  </si>
  <si>
    <t>Trial</t>
  </si>
  <si>
    <t>I primary (A)</t>
  </si>
  <si>
    <t>E secondary (V)</t>
  </si>
  <si>
    <t>Slope (V/A)</t>
  </si>
  <si>
    <t>R²</t>
  </si>
  <si>
    <t>Intercept (mV)</t>
  </si>
  <si>
    <t>Flip coil mean Ψ (V·s)</t>
  </si>
  <si>
    <t>Standard error of Ψ (V·s)</t>
  </si>
  <si>
    <t>δΨ/Ψ</t>
  </si>
  <si>
    <t>B = Ψ / (2·G·N·A)  (T)</t>
  </si>
  <si>
    <t>δB = B·√((δΨ/Ψ)² + (δG/G)² + (δA/A)²)</t>
  </si>
  <si>
    <t>Gaussmeter reference (T)</t>
  </si>
  <si>
    <t>B vs reference</t>
  </si>
  <si>
    <t>Flip coil: 10 trials (G = 200, N = 100, A = 0.0607 m²)</t>
  </si>
  <si>
    <t>Ψ (V·s)</t>
  </si>
  <si>
    <t>ECE 340 Lab 2: why 90 Hz looks like 10 Hz at fs = 100 Hz</t>
  </si>
  <si>
    <t>x₁ = cos(2π·10·n/fs), x₂ = cos(2π·90·n/fs). Column E is the largest gap.</t>
  </si>
  <si>
    <t>fs (Hz)</t>
  </si>
  <si>
    <t>max |x₁−x₂|</t>
  </si>
  <si>
    <t>n</t>
  </si>
  <si>
    <t>x₁[n] (10 Hz)</t>
  </si>
  <si>
    <t>x₂[n] (90 Hz)</t>
  </si>
  <si>
    <t>|x₁−x₂|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</si>
</sst>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&quot;%&quot;"/>
    <numFmt numFmtId="165" formatCode="0.0%"/>
    <numFmt numFmtId="166" formatCode="0.0&quot; nF&quot;"/>
    <numFmt numFmtId="167" formatCode="0.0000"/>
    <numFmt numFmtId="168" formatCode="0.0E+00"/>
    <numFmt numFmtId="169" formatCode="\+0.0%;\-0.0%"/>
    <numFmt numFmtId="170" formatCode="0.0"/>
    <numFmt numFmtId="171" formatCode="0.000"/>
    <numFmt numFmtId="172" formatCode="\+0.000;\-0.000"/>
    <numFmt numFmtId="173" formatCode="0.00000"/>
    <numFmt numFmtId="174" formatCode="\+0%;\-0%"/>
  </numFmts>
  <fonts count="6" x14ac:knownFonts="1">
    <font>
      <sz val="11"/>
      <color theme="1"/>
      <name val="Calibri"/>
      <family val="2"/>
      <scheme val="minor"/>
    </font>
    <font>
      <sz val="16"/>
      <color rgb="FF1F3A5F"/>
      <name val="Segoe UI Semibold"/>
    </font>
    <font>
      <i/>
      <sz val="10"/>
      <color rgb="FF6B7586"/>
      <name val="Segoe UI"/>
    </font>
    <font>
      <sz val="10.5"/>
      <color rgb="FFFFFFFF"/>
      <name val="Segoe UI Semibold"/>
    </font>
    <font>
      <sz val="10.5"/>
      <name val="Segoe UI"/>
    </font>
    <font>
      <sz val="12"/>
      <color rgb="FF1F3A5F"/>
      <name val="Segoe UI Semibold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8E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3E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11" fontId="4" fillId="0" borderId="1" xfId="0" applyNumberFormat="1" applyFont="1" applyBorder="1"/>
    <xf numFmtId="168" fontId="4" fillId="0" borderId="1" xfId="0" applyNumberFormat="1" applyFont="1" applyBorder="1"/>
    <xf numFmtId="0" fontId="0" fillId="3" borderId="0" xfId="0" applyFill="1"/>
    <xf numFmtId="3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5" fillId="0" borderId="0" xfId="0" applyFont="1"/>
    <xf numFmtId="3" fontId="0" fillId="3" borderId="0" xfId="0" applyNumberFormat="1" applyFill="1"/>
    <xf numFmtId="171" fontId="0" fillId="3" borderId="0" xfId="0" applyNumberFormat="1" applyFill="1"/>
    <xf numFmtId="171" fontId="0" fillId="0" borderId="0" xfId="0" applyNumberFormat="1"/>
    <xf numFmtId="172" fontId="0" fillId="0" borderId="0" xfId="0" applyNumberFormat="1"/>
    <xf numFmtId="0" fontId="4" fillId="0" borderId="0" xfId="0" applyFont="1"/>
    <xf numFmtId="1" fontId="0" fillId="0" borderId="0" xfId="0" applyNumberFormat="1"/>
    <xf numFmtId="167" fontId="0" fillId="3" borderId="0" xfId="0" applyNumberFormat="1" applyFill="1"/>
    <xf numFmtId="167" fontId="0" fillId="0" borderId="0" xfId="0" applyNumberFormat="1"/>
    <xf numFmtId="173" fontId="0" fillId="0" borderId="0" xfId="0" applyNumberFormat="1"/>
    <xf numFmtId="11" fontId="0" fillId="0" borderId="0" xfId="0" applyNumberFormat="1"/>
    <xf numFmtId="168" fontId="0" fillId="0" borderId="0" xfId="0" applyNumberFormat="1"/>
    <xf numFmtId="174" fontId="0" fillId="0" borderId="0" xfId="0" applyNumberFormat="1"/>
  </cellXfs>
  <cellStyles count="1">
    <cellStyle name="Normal" xfId="0" builtinId="0"/>
  </cellStyles>
  <dxfs count="2">
    <dxf>
      <fill>
        <patternFill patternType="solid">
          <fgColor rgb="FFFBE1DA"/>
        </patternFill>
      </fill>
    </dxf>
    <dxf>
      <fill>
        <patternFill patternType="solid">
          <fgColor rgb="FFD8F0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RC low-pass: gain vs frequency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 w="22000">
              <a:solidFill>
                <a:srgbClr val="1F3A5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3A5F"/>
              </a:solidFill>
              <a:ln>
                <a:prstDash val="solid"/>
              </a:ln>
            </c:spPr>
          </c:marker>
          <c:xVal>
            <c:numRef>
              <c:f>Filters!$A$16:$A$24</c:f>
              <c:numCache>
                <c:formatCode>#,##0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3565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  <c:pt idx="8">
                  <c:v>100000</c:v>
                </c:pt>
              </c:numCache>
            </c:numRef>
          </c:xVal>
          <c:yVal>
            <c:numRef>
              <c:f>Filters!$F$16:$F$24</c:f>
              <c:numCache>
                <c:formatCode>0.0</c:formatCode>
                <c:ptCount val="9"/>
                <c:pt idx="0">
                  <c:v>-8.6902354803538341E-3</c:v>
                </c:pt>
                <c:pt idx="1">
                  <c:v>-8.7296108049001758E-2</c:v>
                </c:pt>
                <c:pt idx="2">
                  <c:v>-0.3455322466290931</c:v>
                </c:pt>
                <c:pt idx="3">
                  <c:v>-1.2596778507037156</c:v>
                </c:pt>
                <c:pt idx="4">
                  <c:v>-3.0980391997148637</c:v>
                </c:pt>
                <c:pt idx="5">
                  <c:v>-4.8520794241395162</c:v>
                </c:pt>
                <c:pt idx="6">
                  <c:v>-9.4991038592630943</c:v>
                </c:pt>
                <c:pt idx="7">
                  <c:v>-15.189015034348007</c:v>
                </c:pt>
                <c:pt idx="8">
                  <c:v>-27.330630888408272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FB-40B5-A8FA-892D88D9ECB4}"/>
            </c:ext>
          </c:extLst>
        </c:ser>
        <c:ser>
          <c:idx val="1"/>
          <c:order val="1"/>
          <c:tx>
            <c:v>Theory</c:v>
          </c:tx>
          <c:spPr>
            <a:ln w="22000">
              <a:solidFill>
                <a:srgbClr val="8A94A6"/>
              </a:solidFill>
              <a:prstDash val="dash"/>
            </a:ln>
          </c:spPr>
          <c:marker>
            <c:symbol val="none"/>
          </c:marker>
          <c:xVal>
            <c:numRef>
              <c:f>Filters!$A$16:$A$24</c:f>
              <c:numCache>
                <c:formatCode>#,##0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3565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  <c:pt idx="8">
                  <c:v>100000</c:v>
                </c:pt>
              </c:numCache>
            </c:numRef>
          </c:xVal>
          <c:yVal>
            <c:numRef>
              <c:f>Filters!$G$16:$G$24</c:f>
              <c:numCache>
                <c:formatCode>0.0</c:formatCode>
                <c:ptCount val="9"/>
                <c:pt idx="0">
                  <c:v>-3.785737205688278E-3</c:v>
                </c:pt>
                <c:pt idx="1">
                  <c:v>-9.3667297537413707E-2</c:v>
                </c:pt>
                <c:pt idx="2">
                  <c:v>-0.36312569294475827</c:v>
                </c:pt>
                <c:pt idx="3">
                  <c:v>-1.2995763466070331</c:v>
                </c:pt>
                <c:pt idx="4">
                  <c:v>-3.2394144416014887</c:v>
                </c:pt>
                <c:pt idx="5">
                  <c:v>-5.0245383403680997</c:v>
                </c:pt>
                <c:pt idx="6">
                  <c:v>-9.8770122372470777</c:v>
                </c:pt>
                <c:pt idx="7">
                  <c:v>-15.548903160194696</c:v>
                </c:pt>
                <c:pt idx="8">
                  <c:v>-29.410531667261782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FB-40B5-A8FA-892D88D9E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0"/>
          <c:min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Frequency (Hz, log)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5"/>
          <c:min val="-3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Gain (dB)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RC high-pass: gain vs frequency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 w="22000">
              <a:solidFill>
                <a:srgbClr val="1F3A5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3A5F"/>
              </a:solidFill>
              <a:ln>
                <a:prstDash val="solid"/>
              </a:ln>
            </c:spPr>
          </c:marker>
          <c:xVal>
            <c:numRef>
              <c:f>Filters!$A$33:$A$41</c:f>
              <c:numCache>
                <c:formatCode>#,##0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3568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  <c:pt idx="8">
                  <c:v>100000</c:v>
                </c:pt>
              </c:numCache>
            </c:numRef>
          </c:xVal>
          <c:yVal>
            <c:numRef>
              <c:f>Filters!$F$33:$F$41</c:f>
              <c:numCache>
                <c:formatCode>0.0</c:formatCode>
                <c:ptCount val="9"/>
                <c:pt idx="0">
                  <c:v>-31.056839373155615</c:v>
                </c:pt>
                <c:pt idx="1">
                  <c:v>-17.07743928643524</c:v>
                </c:pt>
                <c:pt idx="2">
                  <c:v>-11.437304119424223</c:v>
                </c:pt>
                <c:pt idx="3">
                  <c:v>-6.2316035599457873</c:v>
                </c:pt>
                <c:pt idx="4">
                  <c:v>-3.0856396406668276</c:v>
                </c:pt>
                <c:pt idx="5">
                  <c:v>-1.8517727845082763</c:v>
                </c:pt>
                <c:pt idx="6">
                  <c:v>-0.63968572012716429</c:v>
                </c:pt>
                <c:pt idx="7">
                  <c:v>-0.32747425750931003</c:v>
                </c:pt>
                <c:pt idx="8">
                  <c:v>-0.14009803137316978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48-49E8-B06A-FFEA34857949}"/>
            </c:ext>
          </c:extLst>
        </c:ser>
        <c:ser>
          <c:idx val="1"/>
          <c:order val="1"/>
          <c:tx>
            <c:v>Theory</c:v>
          </c:tx>
          <c:spPr>
            <a:ln w="22000">
              <a:solidFill>
                <a:srgbClr val="8A94A6"/>
              </a:solidFill>
              <a:prstDash val="dash"/>
            </a:ln>
          </c:spPr>
          <c:marker>
            <c:symbol val="none"/>
          </c:marker>
          <c:xVal>
            <c:numRef>
              <c:f>Filters!$A$33:$A$41</c:f>
              <c:numCache>
                <c:formatCode>#,##0</c:formatCode>
                <c:ptCount val="9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2000</c:v>
                </c:pt>
                <c:pt idx="4">
                  <c:v>3568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  <c:pt idx="8">
                  <c:v>100000</c:v>
                </c:pt>
              </c:numCache>
            </c:numRef>
          </c:xVal>
          <c:yVal>
            <c:numRef>
              <c:f>Filters!$G$33:$G$41</c:f>
              <c:numCache>
                <c:formatCode>0.0</c:formatCode>
                <c:ptCount val="9"/>
                <c:pt idx="0">
                  <c:v>-30.59823121132904</c:v>
                </c:pt>
                <c:pt idx="1">
                  <c:v>-16.708712684940391</c:v>
                </c:pt>
                <c:pt idx="2">
                  <c:v>-10.95757116706811</c:v>
                </c:pt>
                <c:pt idx="3">
                  <c:v>-5.8734219074507603</c:v>
                </c:pt>
                <c:pt idx="4">
                  <c:v>-2.789205375914463</c:v>
                </c:pt>
                <c:pt idx="5">
                  <c:v>-1.6395837277710745</c:v>
                </c:pt>
                <c:pt idx="6">
                  <c:v>-0.4714577113704278</c:v>
                </c:pt>
                <c:pt idx="7">
                  <c:v>-0.12274872103842199</c:v>
                </c:pt>
                <c:pt idx="8">
                  <c:v>-4.9771413851340679E-3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48-49E8-B06A-FFEA34857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0"/>
          <c:min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Frequency (Hz, log)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5"/>
          <c:min val="-3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Gain (dB)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RL low-pass: gain vs frequency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 w="22000">
              <a:solidFill>
                <a:srgbClr val="1F3A5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3A5F"/>
              </a:solidFill>
              <a:ln>
                <a:prstDash val="solid"/>
              </a:ln>
            </c:spPr>
          </c:marker>
          <c:xVal>
            <c:numRef>
              <c:f>Filters!$A$50:$A$58</c:f>
              <c:numCache>
                <c:formatCode>#,##0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7300</c:v>
                </c:pt>
                <c:pt idx="5">
                  <c:v>10000</c:v>
                </c:pt>
                <c:pt idx="6">
                  <c:v>20000</c:v>
                </c:pt>
                <c:pt idx="7">
                  <c:v>50000</c:v>
                </c:pt>
                <c:pt idx="8">
                  <c:v>100000</c:v>
                </c:pt>
              </c:numCache>
            </c:numRef>
          </c:xVal>
          <c:yVal>
            <c:numRef>
              <c:f>Filters!$F$50:$F$58</c:f>
              <c:numCache>
                <c:formatCode>0.0</c:formatCode>
                <c:ptCount val="9"/>
                <c:pt idx="0">
                  <c:v>-0.175478486150103</c:v>
                </c:pt>
                <c:pt idx="1">
                  <c:v>-0.24667470147450868</c:v>
                </c:pt>
                <c:pt idx="2">
                  <c:v>-0.44552789422304506</c:v>
                </c:pt>
                <c:pt idx="3">
                  <c:v>-1.6079795243177806</c:v>
                </c:pt>
                <c:pt idx="4">
                  <c:v>-3.0856396406668276</c:v>
                </c:pt>
                <c:pt idx="5">
                  <c:v>-4.3076541473424932</c:v>
                </c:pt>
                <c:pt idx="6">
                  <c:v>-8.7303782921117872</c:v>
                </c:pt>
                <c:pt idx="7">
                  <c:v>-16.137508032910766</c:v>
                </c:pt>
                <c:pt idx="8">
                  <c:v>-22.383728154384173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C3-4F8E-A2FC-DAAEF1DB0A3B}"/>
            </c:ext>
          </c:extLst>
        </c:ser>
        <c:ser>
          <c:idx val="1"/>
          <c:order val="1"/>
          <c:tx>
            <c:v>Theory</c:v>
          </c:tx>
          <c:spPr>
            <a:ln w="22000">
              <a:solidFill>
                <a:srgbClr val="8A94A6"/>
              </a:solidFill>
              <a:prstDash val="dash"/>
            </a:ln>
          </c:spPr>
          <c:marker>
            <c:symbol val="none"/>
          </c:marker>
          <c:xVal>
            <c:numRef>
              <c:f>Filters!$A$50:$A$58</c:f>
              <c:numCache>
                <c:formatCode>#,##0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2000</c:v>
                </c:pt>
                <c:pt idx="3">
                  <c:v>5000</c:v>
                </c:pt>
                <c:pt idx="4">
                  <c:v>7300</c:v>
                </c:pt>
                <c:pt idx="5">
                  <c:v>10000</c:v>
                </c:pt>
                <c:pt idx="6">
                  <c:v>20000</c:v>
                </c:pt>
                <c:pt idx="7">
                  <c:v>50000</c:v>
                </c:pt>
                <c:pt idx="8">
                  <c:v>100000</c:v>
                </c:pt>
              </c:numCache>
            </c:numRef>
          </c:xVal>
          <c:yVal>
            <c:numRef>
              <c:f>Filters!$G$50:$G$58</c:f>
              <c:numCache>
                <c:formatCode>0.0</c:formatCode>
                <c:ptCount val="9"/>
                <c:pt idx="0">
                  <c:v>-7.7608542481863657E-4</c:v>
                </c:pt>
                <c:pt idx="1">
                  <c:v>-7.6930074044100294E-2</c:v>
                </c:pt>
                <c:pt idx="2">
                  <c:v>-0.29986702114653552</c:v>
                </c:pt>
                <c:pt idx="3">
                  <c:v>-1.6040567906691274</c:v>
                </c:pt>
                <c:pt idx="4">
                  <c:v>-2.9056409376932284</c:v>
                </c:pt>
                <c:pt idx="5">
                  <c:v>-4.4516227587942607</c:v>
                </c:pt>
                <c:pt idx="6">
                  <c:v>-9.1108564493067128</c:v>
                </c:pt>
                <c:pt idx="7">
                  <c:v>-16.597171602896147</c:v>
                </c:pt>
                <c:pt idx="8">
                  <c:v>-22.545873258234405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C3-4F8E-A2FC-DAAEF1DB0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0"/>
          <c:min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Frequency (Hz, log)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5"/>
          <c:min val="-3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Gain (dB)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RLC band-pass: gain vs frequency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 w="22000">
              <a:solidFill>
                <a:srgbClr val="1F3A5F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1F3A5F"/>
              </a:solidFill>
              <a:ln>
                <a:prstDash val="solid"/>
              </a:ln>
            </c:spPr>
          </c:marker>
          <c:xVal>
            <c:numRef>
              <c:f>Filters!$A$67:$A$75</c:f>
              <c:numCache>
                <c:formatCode>#,##0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2690</c:v>
                </c:pt>
                <c:pt idx="3">
                  <c:v>4000</c:v>
                </c:pt>
                <c:pt idx="4">
                  <c:v>5013</c:v>
                </c:pt>
                <c:pt idx="5">
                  <c:v>6000</c:v>
                </c:pt>
                <c:pt idx="6">
                  <c:v>10281</c:v>
                </c:pt>
                <c:pt idx="7">
                  <c:v>50000</c:v>
                </c:pt>
                <c:pt idx="8">
                  <c:v>100000</c:v>
                </c:pt>
              </c:numCache>
            </c:numRef>
          </c:xVal>
          <c:yVal>
            <c:numRef>
              <c:f>Filters!$F$67:$F$75</c:f>
              <c:numCache>
                <c:formatCode>0.0</c:formatCode>
                <c:ptCount val="9"/>
                <c:pt idx="0">
                  <c:v>-30.457574905606752</c:v>
                </c:pt>
                <c:pt idx="1">
                  <c:v>-11.119104081638474</c:v>
                </c:pt>
                <c:pt idx="2">
                  <c:v>-3.0239059789639251</c:v>
                </c:pt>
                <c:pt idx="3">
                  <c:v>-0.71480739606302124</c:v>
                </c:pt>
                <c:pt idx="4">
                  <c:v>-0.22882086242768965</c:v>
                </c:pt>
                <c:pt idx="5">
                  <c:v>-0.32747425750931003</c:v>
                </c:pt>
                <c:pt idx="6">
                  <c:v>-3.0239059789639251</c:v>
                </c:pt>
                <c:pt idx="7">
                  <c:v>-15.917600346881503</c:v>
                </c:pt>
                <c:pt idx="8">
                  <c:v>-22.270185496550361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8C-4759-8EAB-69DBFAD77CF5}"/>
            </c:ext>
          </c:extLst>
        </c:ser>
        <c:ser>
          <c:idx val="1"/>
          <c:order val="1"/>
          <c:tx>
            <c:v>Theory</c:v>
          </c:tx>
          <c:spPr>
            <a:ln w="22000">
              <a:solidFill>
                <a:srgbClr val="8A94A6"/>
              </a:solidFill>
              <a:prstDash val="dash"/>
            </a:ln>
          </c:spPr>
          <c:marker>
            <c:symbol val="none"/>
          </c:marker>
          <c:xVal>
            <c:numRef>
              <c:f>Filters!$A$67:$A$75</c:f>
              <c:numCache>
                <c:formatCode>#,##0</c:formatCode>
                <c:ptCount val="9"/>
                <c:pt idx="0">
                  <c:v>100</c:v>
                </c:pt>
                <c:pt idx="1">
                  <c:v>1000</c:v>
                </c:pt>
                <c:pt idx="2">
                  <c:v>2690</c:v>
                </c:pt>
                <c:pt idx="3">
                  <c:v>4000</c:v>
                </c:pt>
                <c:pt idx="4">
                  <c:v>5013</c:v>
                </c:pt>
                <c:pt idx="5">
                  <c:v>6000</c:v>
                </c:pt>
                <c:pt idx="6">
                  <c:v>10281</c:v>
                </c:pt>
                <c:pt idx="7">
                  <c:v>50000</c:v>
                </c:pt>
                <c:pt idx="8">
                  <c:v>100000</c:v>
                </c:pt>
              </c:numCache>
            </c:numRef>
          </c:xVal>
          <c:yVal>
            <c:numRef>
              <c:f>Filters!$G$67:$G$75</c:f>
              <c:numCache>
                <c:formatCode>0.0</c:formatCode>
                <c:ptCount val="9"/>
                <c:pt idx="0">
                  <c:v>-30.594804472064254</c:v>
                </c:pt>
                <c:pt idx="1">
                  <c:v>-10.63684014448787</c:v>
                </c:pt>
                <c:pt idx="2">
                  <c:v>-2.5734444911236292</c:v>
                </c:pt>
                <c:pt idx="3">
                  <c:v>-0.40300738458054924</c:v>
                </c:pt>
                <c:pt idx="4">
                  <c:v>-1.236965879693917E-4</c:v>
                </c:pt>
                <c:pt idx="5">
                  <c:v>-0.23875803150025007</c:v>
                </c:pt>
                <c:pt idx="6">
                  <c:v>-3.2058473898814994</c:v>
                </c:pt>
                <c:pt idx="7">
                  <c:v>-16.510672127688188</c:v>
                </c:pt>
                <c:pt idx="8">
                  <c:v>-22.523966619424471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8C-4759-8EAB-69DBFAD77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logBase val="10"/>
          <c:orientation val="minMax"/>
          <c:max val="100000"/>
          <c:min val="1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Frequency (Hz, log)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5"/>
          <c:min val="-35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Gain (dB)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Induced EMF vs primary current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Measured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1F3A5F"/>
              </a:solidFill>
              <a:ln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numFmt formatCode="General" sourceLinked="0"/>
            </c:trendlineLbl>
          </c:trendline>
          <c:xVal>
            <c:numRef>
              <c:f>Faraday!$B$5:$B$15</c:f>
              <c:numCache>
                <c:formatCode>0.000</c:formatCode>
                <c:ptCount val="11"/>
                <c:pt idx="0">
                  <c:v>2.5000000000000001E-2</c:v>
                </c:pt>
                <c:pt idx="1">
                  <c:v>0.03</c:v>
                </c:pt>
                <c:pt idx="2">
                  <c:v>3.3000000000000002E-2</c:v>
                </c:pt>
                <c:pt idx="3">
                  <c:v>3.6999999999999998E-2</c:v>
                </c:pt>
                <c:pt idx="4">
                  <c:v>4.2000000000000003E-2</c:v>
                </c:pt>
                <c:pt idx="5">
                  <c:v>5.1999999999999998E-2</c:v>
                </c:pt>
                <c:pt idx="6">
                  <c:v>6.2E-2</c:v>
                </c:pt>
                <c:pt idx="7">
                  <c:v>8.3000000000000004E-2</c:v>
                </c:pt>
                <c:pt idx="8">
                  <c:v>0.108</c:v>
                </c:pt>
                <c:pt idx="9">
                  <c:v>0.216</c:v>
                </c:pt>
                <c:pt idx="10">
                  <c:v>0.49299999999999999</c:v>
                </c:pt>
              </c:numCache>
            </c:numRef>
          </c:xVal>
          <c:yVal>
            <c:numRef>
              <c:f>Faraday!$C$5:$C$15</c:f>
              <c:numCache>
                <c:formatCode>0.0000</c:formatCode>
                <c:ptCount val="11"/>
                <c:pt idx="0">
                  <c:v>9.4999999999999998E-3</c:v>
                </c:pt>
                <c:pt idx="1">
                  <c:v>1.14E-2</c:v>
                </c:pt>
                <c:pt idx="2">
                  <c:v>1.2800000000000001E-2</c:v>
                </c:pt>
                <c:pt idx="3">
                  <c:v>1.43E-2</c:v>
                </c:pt>
                <c:pt idx="4">
                  <c:v>1.6E-2</c:v>
                </c:pt>
                <c:pt idx="5">
                  <c:v>1.9699999999999999E-2</c:v>
                </c:pt>
                <c:pt idx="6">
                  <c:v>2.41E-2</c:v>
                </c:pt>
                <c:pt idx="7">
                  <c:v>3.1699999999999999E-2</c:v>
                </c:pt>
                <c:pt idx="8">
                  <c:v>4.1500000000000002E-2</c:v>
                </c:pt>
                <c:pt idx="9">
                  <c:v>8.2500000000000004E-2</c:v>
                </c:pt>
                <c:pt idx="10">
                  <c:v>0.182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FF-4794-850F-148CEBF1C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Primary current, RMS (A)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Secondary EMF, RMS (V)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Same samples, different tones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10 Hz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1F3A5F"/>
              </a:solidFill>
              <a:ln>
                <a:solidFill>
                  <a:srgbClr val="1F3A5F"/>
                </a:solidFill>
                <a:prstDash val="solid"/>
              </a:ln>
            </c:spPr>
          </c:marker>
          <c:xVal>
            <c:numRef>
              <c:f>Aliasing!$A$6:$A$36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Aliasing!$B$6:$B$36</c:f>
              <c:numCache>
                <c:formatCode>0.0000</c:formatCode>
                <c:ptCount val="31"/>
                <c:pt idx="0">
                  <c:v>1</c:v>
                </c:pt>
                <c:pt idx="1">
                  <c:v>0.80901699437494745</c:v>
                </c:pt>
                <c:pt idx="2">
                  <c:v>0.30901699437494745</c:v>
                </c:pt>
                <c:pt idx="3">
                  <c:v>-0.30901699437494712</c:v>
                </c:pt>
                <c:pt idx="4">
                  <c:v>-0.80901699437494734</c:v>
                </c:pt>
                <c:pt idx="5">
                  <c:v>-1</c:v>
                </c:pt>
                <c:pt idx="6">
                  <c:v>-0.80901699437494778</c:v>
                </c:pt>
                <c:pt idx="7">
                  <c:v>-0.30901699437494756</c:v>
                </c:pt>
                <c:pt idx="8">
                  <c:v>0.30901699437494723</c:v>
                </c:pt>
                <c:pt idx="9">
                  <c:v>0.80901699437494734</c:v>
                </c:pt>
                <c:pt idx="10">
                  <c:v>1</c:v>
                </c:pt>
                <c:pt idx="11">
                  <c:v>0.80901699437494756</c:v>
                </c:pt>
                <c:pt idx="12">
                  <c:v>0.30901699437494856</c:v>
                </c:pt>
                <c:pt idx="13">
                  <c:v>-0.30901699437494712</c:v>
                </c:pt>
                <c:pt idx="14">
                  <c:v>-0.80901699437494723</c:v>
                </c:pt>
                <c:pt idx="15">
                  <c:v>-1</c:v>
                </c:pt>
                <c:pt idx="16">
                  <c:v>-0.80901699437494767</c:v>
                </c:pt>
                <c:pt idx="17">
                  <c:v>-0.30901699437494784</c:v>
                </c:pt>
                <c:pt idx="18">
                  <c:v>0.30901699437494701</c:v>
                </c:pt>
                <c:pt idx="19">
                  <c:v>0.80901699437494712</c:v>
                </c:pt>
                <c:pt idx="20">
                  <c:v>1</c:v>
                </c:pt>
                <c:pt idx="21">
                  <c:v>0.80901699437494767</c:v>
                </c:pt>
                <c:pt idx="22">
                  <c:v>0.30901699437494795</c:v>
                </c:pt>
                <c:pt idx="23">
                  <c:v>-0.30901699437494856</c:v>
                </c:pt>
                <c:pt idx="24">
                  <c:v>-0.80901699437494601</c:v>
                </c:pt>
                <c:pt idx="25">
                  <c:v>-1</c:v>
                </c:pt>
                <c:pt idx="26">
                  <c:v>-0.80901699437494778</c:v>
                </c:pt>
                <c:pt idx="27">
                  <c:v>-0.30901699437494806</c:v>
                </c:pt>
                <c:pt idx="28">
                  <c:v>0.30901699437494679</c:v>
                </c:pt>
                <c:pt idx="29">
                  <c:v>0.80901699437494701</c:v>
                </c:pt>
                <c:pt idx="3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CB-41C9-AB67-6F83B44013BF}"/>
            </c:ext>
          </c:extLst>
        </c:ser>
        <c:ser>
          <c:idx val="1"/>
          <c:order val="1"/>
          <c:tx>
            <c:v>90 Hz</c:v>
          </c:tx>
          <c:spPr>
            <a:ln>
              <a:noFill/>
              <a:prstDash val="solid"/>
            </a:ln>
          </c:spPr>
          <c:marker>
            <c:symbol val="x"/>
            <c:size val="7"/>
            <c:spPr>
              <a:solidFill>
                <a:srgbClr val="E76F51"/>
              </a:solidFill>
              <a:ln>
                <a:solidFill>
                  <a:srgbClr val="E76F51"/>
                </a:solidFill>
                <a:prstDash val="solid"/>
              </a:ln>
            </c:spPr>
          </c:marker>
          <c:xVal>
            <c:numRef>
              <c:f>Aliasing!$A$6:$A$36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Aliasing!$C$6:$C$36</c:f>
              <c:numCache>
                <c:formatCode>0.0000</c:formatCode>
                <c:ptCount val="31"/>
                <c:pt idx="0">
                  <c:v>1</c:v>
                </c:pt>
                <c:pt idx="1">
                  <c:v>0.80901699437494734</c:v>
                </c:pt>
                <c:pt idx="2">
                  <c:v>0.30901699437494701</c:v>
                </c:pt>
                <c:pt idx="3">
                  <c:v>-0.30901699437494806</c:v>
                </c:pt>
                <c:pt idx="4">
                  <c:v>-0.8090169943749479</c:v>
                </c:pt>
                <c:pt idx="5">
                  <c:v>-1</c:v>
                </c:pt>
                <c:pt idx="6">
                  <c:v>-0.80901699437494667</c:v>
                </c:pt>
                <c:pt idx="7">
                  <c:v>-0.30901699437494934</c:v>
                </c:pt>
                <c:pt idx="8">
                  <c:v>0.30901699437494912</c:v>
                </c:pt>
                <c:pt idx="9">
                  <c:v>0.80901699437494645</c:v>
                </c:pt>
                <c:pt idx="10">
                  <c:v>1</c:v>
                </c:pt>
                <c:pt idx="11">
                  <c:v>0.80901699437494812</c:v>
                </c:pt>
                <c:pt idx="12">
                  <c:v>0.3090169943749449</c:v>
                </c:pt>
                <c:pt idx="13">
                  <c:v>-0.30901699437494679</c:v>
                </c:pt>
                <c:pt idx="14">
                  <c:v>-0.80901699437494501</c:v>
                </c:pt>
                <c:pt idx="15">
                  <c:v>-1</c:v>
                </c:pt>
                <c:pt idx="16">
                  <c:v>-0.80901699437494534</c:v>
                </c:pt>
                <c:pt idx="17">
                  <c:v>-0.30901699437494723</c:v>
                </c:pt>
                <c:pt idx="18">
                  <c:v>0.30901699437494445</c:v>
                </c:pt>
                <c:pt idx="19">
                  <c:v>0.80901699437494368</c:v>
                </c:pt>
                <c:pt idx="20">
                  <c:v>1</c:v>
                </c:pt>
                <c:pt idx="21">
                  <c:v>0.80901699437495511</c:v>
                </c:pt>
                <c:pt idx="22">
                  <c:v>0.30901699437494956</c:v>
                </c:pt>
                <c:pt idx="23">
                  <c:v>-0.30901699437495561</c:v>
                </c:pt>
                <c:pt idx="24">
                  <c:v>-0.80901699437495056</c:v>
                </c:pt>
                <c:pt idx="25">
                  <c:v>-1</c:v>
                </c:pt>
                <c:pt idx="26">
                  <c:v>-0.80901699437494823</c:v>
                </c:pt>
                <c:pt idx="27">
                  <c:v>-0.30901699437492486</c:v>
                </c:pt>
                <c:pt idx="28">
                  <c:v>0.30901699437493979</c:v>
                </c:pt>
                <c:pt idx="29">
                  <c:v>0.80901699437495744</c:v>
                </c:pt>
                <c:pt idx="3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CB-41C9-AB67-6F83B4401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Amplitude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30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47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64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576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showGridLines="0" tabSelected="1" workbookViewId="0"/>
  </sheetViews>
  <sheetFormatPr defaultRowHeight="14.4" x14ac:dyDescent="0.3"/>
  <cols>
    <col min="1" max="1" width="34" customWidth="1"/>
    <col min="2" max="2" width="26" customWidth="1"/>
    <col min="3" max="4" width="22" customWidth="1"/>
    <col min="5" max="5" width="40" customWidth="1"/>
  </cols>
  <sheetData>
    <row r="1" spans="1:5" ht="24.6" x14ac:dyDescent="0.55000000000000004">
      <c r="A1" s="1" t="s">
        <v>0</v>
      </c>
    </row>
    <row r="2" spans="1:5" ht="15" x14ac:dyDescent="0.35">
      <c r="A2" s="2" t="s">
        <v>1</v>
      </c>
    </row>
    <row r="4" spans="1:5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16.8" x14ac:dyDescent="0.4">
      <c r="A5" s="4" t="s">
        <v>7</v>
      </c>
      <c r="B5" s="4" t="s">
        <v>8</v>
      </c>
      <c r="C5" s="5">
        <f>PowerSupply!F6</f>
        <v>0.24836081859724396</v>
      </c>
      <c r="D5" s="4" t="s">
        <v>9</v>
      </c>
      <c r="E5" s="4" t="s">
        <v>10</v>
      </c>
    </row>
    <row r="6" spans="1:5" ht="16.8" x14ac:dyDescent="0.4">
      <c r="A6" s="4"/>
      <c r="B6" s="4" t="s">
        <v>11</v>
      </c>
      <c r="C6" s="5">
        <f>PowerSupply!F9</f>
        <v>7.8431372549019605</v>
      </c>
      <c r="D6" s="4" t="s">
        <v>12</v>
      </c>
      <c r="E6" s="4" t="s">
        <v>10</v>
      </c>
    </row>
    <row r="7" spans="1:5" ht="16.8" x14ac:dyDescent="0.4">
      <c r="A7" s="4" t="s">
        <v>13</v>
      </c>
      <c r="B7" s="4" t="s">
        <v>14</v>
      </c>
      <c r="C7" s="6">
        <f>Filters!L8</f>
        <v>-3.9581804712828456E-3</v>
      </c>
      <c r="D7" s="4" t="s">
        <v>15</v>
      </c>
      <c r="E7" s="4" t="s">
        <v>16</v>
      </c>
    </row>
    <row r="8" spans="1:5" ht="16.8" x14ac:dyDescent="0.4">
      <c r="A8" s="4"/>
      <c r="B8" s="4" t="s">
        <v>17</v>
      </c>
      <c r="C8" s="7">
        <f>Filters!L12</f>
        <v>94.986686814416373</v>
      </c>
      <c r="D8" s="4" t="s">
        <v>18</v>
      </c>
      <c r="E8" s="4" t="s">
        <v>16</v>
      </c>
    </row>
    <row r="9" spans="1:5" ht="16.8" x14ac:dyDescent="0.4">
      <c r="A9" s="4" t="s">
        <v>19</v>
      </c>
      <c r="B9" s="4" t="s">
        <v>20</v>
      </c>
      <c r="C9" s="8">
        <f>Faraday!H6</f>
        <v>0.99976909724584684</v>
      </c>
      <c r="D9" s="4" t="s">
        <v>21</v>
      </c>
      <c r="E9" s="4" t="s">
        <v>22</v>
      </c>
    </row>
    <row r="10" spans="1:5" ht="16.8" x14ac:dyDescent="0.4">
      <c r="A10" s="4"/>
      <c r="B10" s="4" t="s">
        <v>23</v>
      </c>
      <c r="C10" s="9">
        <f>Faraday!H11</f>
        <v>3.2289950576606262E-5</v>
      </c>
      <c r="D10" s="4" t="s">
        <v>24</v>
      </c>
      <c r="E10" s="4" t="s">
        <v>22</v>
      </c>
    </row>
    <row r="11" spans="1:5" ht="16.8" x14ac:dyDescent="0.4">
      <c r="A11" s="4" t="s">
        <v>25</v>
      </c>
      <c r="B11" s="4" t="s">
        <v>26</v>
      </c>
      <c r="C11" s="10">
        <f>Aliasing!E3</f>
        <v>2.3203661214665772E-14</v>
      </c>
      <c r="D11" s="4" t="s">
        <v>27</v>
      </c>
      <c r="E11" s="4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5"/>
  <sheetViews>
    <sheetView showGridLines="0" workbookViewId="0"/>
  </sheetViews>
  <sheetFormatPr defaultRowHeight="14.4" x14ac:dyDescent="0.3"/>
  <cols>
    <col min="1" max="1" width="12" customWidth="1"/>
    <col min="2" max="4" width="11" customWidth="1"/>
    <col min="5" max="5" width="3" customWidth="1"/>
    <col min="6" max="7" width="13" customWidth="1"/>
    <col min="8" max="9" width="3" customWidth="1"/>
    <col min="10" max="10" width="30" customWidth="1"/>
    <col min="11" max="12" width="14" customWidth="1"/>
  </cols>
  <sheetData>
    <row r="1" spans="1:12" ht="24.6" x14ac:dyDescent="0.55000000000000004">
      <c r="A1" s="1" t="s">
        <v>29</v>
      </c>
    </row>
    <row r="2" spans="1:12" ht="15" x14ac:dyDescent="0.35">
      <c r="A2" s="2" t="s">
        <v>30</v>
      </c>
    </row>
    <row r="4" spans="1:12" x14ac:dyDescent="0.3">
      <c r="J4" t="s">
        <v>31</v>
      </c>
      <c r="K4" s="11">
        <v>470</v>
      </c>
    </row>
    <row r="5" spans="1:12" x14ac:dyDescent="0.3">
      <c r="J5" t="s">
        <v>32</v>
      </c>
      <c r="K5" s="11">
        <v>9.9999999999999995E-8</v>
      </c>
    </row>
    <row r="6" spans="1:12" x14ac:dyDescent="0.3">
      <c r="J6" t="s">
        <v>33</v>
      </c>
      <c r="K6" s="11">
        <v>0.01</v>
      </c>
    </row>
    <row r="7" spans="1:12" ht="30" customHeight="1" x14ac:dyDescent="0.3">
      <c r="J7" s="3" t="s">
        <v>34</v>
      </c>
      <c r="K7" s="3" t="s">
        <v>35</v>
      </c>
      <c r="L7" s="3" t="s">
        <v>36</v>
      </c>
    </row>
    <row r="8" spans="1:12" x14ac:dyDescent="0.3">
      <c r="J8" t="s">
        <v>37</v>
      </c>
      <c r="K8" s="12">
        <f>1/(2*PI()*SQRT(K6*K5))</f>
        <v>5032.9212104487033</v>
      </c>
      <c r="L8" s="13">
        <f>(5013-K8)/K8</f>
        <v>-3.9581804712828456E-3</v>
      </c>
    </row>
    <row r="9" spans="1:12" x14ac:dyDescent="0.3">
      <c r="J9" t="s">
        <v>38</v>
      </c>
      <c r="K9" s="12">
        <f>1/(2*PI()*K4*K5)</f>
        <v>3386.2753849339438</v>
      </c>
      <c r="L9" s="13">
        <f>(3565-K9)/K9</f>
        <v>5.2779114144475468E-2</v>
      </c>
    </row>
    <row r="10" spans="1:12" x14ac:dyDescent="0.3">
      <c r="J10" t="s">
        <v>39</v>
      </c>
      <c r="K10" s="12">
        <f>K4/(2*PI()*K6)</f>
        <v>7480.28232531908</v>
      </c>
      <c r="L10" s="13">
        <f>(7300-K10)/K10</f>
        <v>-2.4101005480617315E-2</v>
      </c>
    </row>
    <row r="11" spans="1:12" x14ac:dyDescent="0.3">
      <c r="J11" t="s">
        <v>40</v>
      </c>
      <c r="K11" s="12">
        <f>K4/(2*PI()*K6)</f>
        <v>7480.28232531908</v>
      </c>
      <c r="L11" s="12">
        <f>10281-2690</f>
        <v>7591</v>
      </c>
    </row>
    <row r="12" spans="1:12" x14ac:dyDescent="0.3">
      <c r="J12" t="s">
        <v>41</v>
      </c>
      <c r="K12" s="14">
        <f>K5*1000000000</f>
        <v>100</v>
      </c>
      <c r="L12" s="14">
        <f>1/(2*PI()*K4*3565)*1000000000</f>
        <v>94.986686814416373</v>
      </c>
    </row>
    <row r="14" spans="1:12" ht="19.2" x14ac:dyDescent="0.45">
      <c r="A14" s="15" t="s">
        <v>42</v>
      </c>
    </row>
    <row r="15" spans="1:12" ht="30" customHeight="1" x14ac:dyDescent="0.3">
      <c r="A15" s="3" t="s">
        <v>43</v>
      </c>
      <c r="B15" s="3" t="s">
        <v>44</v>
      </c>
      <c r="C15" s="3" t="s">
        <v>35</v>
      </c>
      <c r="D15" s="3" t="s">
        <v>45</v>
      </c>
      <c r="E15" s="3"/>
      <c r="F15" s="3" t="s">
        <v>46</v>
      </c>
      <c r="G15" s="3" t="s">
        <v>47</v>
      </c>
    </row>
    <row r="16" spans="1:12" x14ac:dyDescent="0.3">
      <c r="A16" s="16">
        <v>100</v>
      </c>
      <c r="B16" s="17">
        <v>0.999</v>
      </c>
      <c r="C16" s="18">
        <f t="shared" ref="C16:C24" si="0">1/SQRT(1+(A16/$K$9)^2)</f>
        <v>0.99956424586563186</v>
      </c>
      <c r="D16" s="19">
        <f t="shared" ref="D16:D24" si="1">B16-C16</f>
        <v>-5.6424586563186274E-4</v>
      </c>
      <c r="F16" s="14">
        <f t="shared" ref="F16:F24" si="2">20*LOG10(B16)</f>
        <v>-8.6902354803538341E-3</v>
      </c>
      <c r="G16" s="14">
        <f t="shared" ref="G16:G24" si="3">20*LOG10(C16)</f>
        <v>-3.785737205688278E-3</v>
      </c>
    </row>
    <row r="17" spans="1:7" x14ac:dyDescent="0.3">
      <c r="A17" s="16">
        <v>500</v>
      </c>
      <c r="B17" s="17">
        <v>0.99</v>
      </c>
      <c r="C17" s="18">
        <f t="shared" si="0"/>
        <v>0.98927409106932229</v>
      </c>
      <c r="D17" s="19">
        <f t="shared" si="1"/>
        <v>7.259089306776989E-4</v>
      </c>
      <c r="F17" s="14">
        <f t="shared" si="2"/>
        <v>-8.7296108049001758E-2</v>
      </c>
      <c r="G17" s="14">
        <f t="shared" si="3"/>
        <v>-9.3667297537413707E-2</v>
      </c>
    </row>
    <row r="18" spans="1:7" x14ac:dyDescent="0.3">
      <c r="A18" s="16">
        <v>1000</v>
      </c>
      <c r="B18" s="17">
        <v>0.96099999999999997</v>
      </c>
      <c r="C18" s="18">
        <f t="shared" si="0"/>
        <v>0.95905544496577844</v>
      </c>
      <c r="D18" s="19">
        <f t="shared" si="1"/>
        <v>1.944555034221529E-3</v>
      </c>
      <c r="F18" s="14">
        <f t="shared" si="2"/>
        <v>-0.3455322466290931</v>
      </c>
      <c r="G18" s="14">
        <f t="shared" si="3"/>
        <v>-0.36312569294475827</v>
      </c>
    </row>
    <row r="19" spans="1:7" x14ac:dyDescent="0.3">
      <c r="A19" s="16">
        <v>2000</v>
      </c>
      <c r="B19" s="17">
        <v>0.86499999999999999</v>
      </c>
      <c r="C19" s="18">
        <f t="shared" si="0"/>
        <v>0.86103574809237959</v>
      </c>
      <c r="D19" s="19">
        <f t="shared" si="1"/>
        <v>3.9642519076203975E-3</v>
      </c>
      <c r="F19" s="14">
        <f t="shared" si="2"/>
        <v>-1.2596778507037156</v>
      </c>
      <c r="G19" s="14">
        <f t="shared" si="3"/>
        <v>-1.2995763466070331</v>
      </c>
    </row>
    <row r="20" spans="1:7" x14ac:dyDescent="0.3">
      <c r="A20" s="16">
        <v>3565</v>
      </c>
      <c r="B20" s="17">
        <v>0.7</v>
      </c>
      <c r="C20" s="18">
        <f t="shared" si="0"/>
        <v>0.6886987233362466</v>
      </c>
      <c r="D20" s="19">
        <f t="shared" si="1"/>
        <v>1.1301276663753357E-2</v>
      </c>
      <c r="F20" s="14">
        <f t="shared" si="2"/>
        <v>-3.0980391997148637</v>
      </c>
      <c r="G20" s="14">
        <f t="shared" si="3"/>
        <v>-3.2394144416014887</v>
      </c>
    </row>
    <row r="21" spans="1:7" x14ac:dyDescent="0.3">
      <c r="A21" s="16">
        <v>5000</v>
      </c>
      <c r="B21" s="17">
        <v>0.57199999999999995</v>
      </c>
      <c r="C21" s="18">
        <f t="shared" si="0"/>
        <v>0.5607549074230731</v>
      </c>
      <c r="D21" s="19">
        <f t="shared" si="1"/>
        <v>1.1245092576926852E-2</v>
      </c>
      <c r="F21" s="14">
        <f t="shared" si="2"/>
        <v>-4.8520794241395162</v>
      </c>
      <c r="G21" s="14">
        <f t="shared" si="3"/>
        <v>-5.0245383403680997</v>
      </c>
    </row>
    <row r="22" spans="1:7" x14ac:dyDescent="0.3">
      <c r="A22" s="16">
        <v>10000</v>
      </c>
      <c r="B22" s="17">
        <v>0.33500000000000002</v>
      </c>
      <c r="C22" s="18">
        <f t="shared" si="0"/>
        <v>0.32073724032040324</v>
      </c>
      <c r="D22" s="19">
        <f t="shared" si="1"/>
        <v>1.4262759679596781E-2</v>
      </c>
      <c r="F22" s="14">
        <f t="shared" si="2"/>
        <v>-9.4991038592630943</v>
      </c>
      <c r="G22" s="14">
        <f t="shared" si="3"/>
        <v>-9.8770122372470777</v>
      </c>
    </row>
    <row r="23" spans="1:7" x14ac:dyDescent="0.3">
      <c r="A23" s="16">
        <v>20000</v>
      </c>
      <c r="B23" s="17">
        <v>0.17399999999999999</v>
      </c>
      <c r="C23" s="18">
        <f t="shared" si="0"/>
        <v>0.16693786002754016</v>
      </c>
      <c r="D23" s="19">
        <f t="shared" si="1"/>
        <v>7.0621399724598299E-3</v>
      </c>
      <c r="F23" s="14">
        <f t="shared" si="2"/>
        <v>-15.189015034348007</v>
      </c>
      <c r="G23" s="14">
        <f t="shared" si="3"/>
        <v>-15.548903160194696</v>
      </c>
    </row>
    <row r="24" spans="1:7" x14ac:dyDescent="0.3">
      <c r="A24" s="16">
        <v>100000</v>
      </c>
      <c r="B24" s="17">
        <v>4.2999999999999997E-2</v>
      </c>
      <c r="C24" s="18">
        <f t="shared" si="0"/>
        <v>3.3843355556017217E-2</v>
      </c>
      <c r="D24" s="19">
        <f t="shared" si="1"/>
        <v>9.1566444439827796E-3</v>
      </c>
      <c r="F24" s="14">
        <f t="shared" si="2"/>
        <v>-27.330630888408272</v>
      </c>
      <c r="G24" s="14">
        <f t="shared" si="3"/>
        <v>-29.410531667261782</v>
      </c>
    </row>
    <row r="31" spans="1:7" ht="19.2" x14ac:dyDescent="0.45">
      <c r="A31" s="15" t="s">
        <v>48</v>
      </c>
    </row>
    <row r="32" spans="1:7" ht="30" customHeight="1" x14ac:dyDescent="0.3">
      <c r="A32" s="3" t="s">
        <v>43</v>
      </c>
      <c r="B32" s="3" t="s">
        <v>44</v>
      </c>
      <c r="C32" s="3" t="s">
        <v>35</v>
      </c>
      <c r="D32" s="3" t="s">
        <v>45</v>
      </c>
      <c r="E32" s="3"/>
      <c r="F32" s="3" t="s">
        <v>46</v>
      </c>
      <c r="G32" s="3" t="s">
        <v>47</v>
      </c>
    </row>
    <row r="33" spans="1:7" x14ac:dyDescent="0.3">
      <c r="A33" s="16">
        <v>100</v>
      </c>
      <c r="B33" s="17">
        <v>2.8000000000000001E-2</v>
      </c>
      <c r="C33" s="18">
        <f t="shared" ref="C33:C41" si="4">(A33/$K$9)/SQRT(1+(A33/$K$9)^2)</f>
        <v>2.951810270106341E-2</v>
      </c>
      <c r="D33" s="19">
        <f t="shared" ref="D33:D41" si="5">B33-C33</f>
        <v>-1.5181027010634091E-3</v>
      </c>
      <c r="F33" s="14">
        <f t="shared" ref="F33:F41" si="6">20*LOG10(B33)</f>
        <v>-31.056839373155615</v>
      </c>
      <c r="G33" s="14">
        <f t="shared" ref="G33:G41" si="7">20*LOG10(C33)</f>
        <v>-30.59823121132904</v>
      </c>
    </row>
    <row r="34" spans="1:7" x14ac:dyDescent="0.3">
      <c r="A34" s="16">
        <v>500</v>
      </c>
      <c r="B34" s="17">
        <v>0.14000000000000001</v>
      </c>
      <c r="C34" s="18">
        <f t="shared" si="4"/>
        <v>0.14607112219383481</v>
      </c>
      <c r="D34" s="19">
        <f t="shared" si="5"/>
        <v>-6.0711221938347937E-3</v>
      </c>
      <c r="F34" s="14">
        <f t="shared" si="6"/>
        <v>-17.07743928643524</v>
      </c>
      <c r="G34" s="14">
        <f t="shared" si="7"/>
        <v>-16.708712684940391</v>
      </c>
    </row>
    <row r="35" spans="1:7" x14ac:dyDescent="0.3">
      <c r="A35" s="16">
        <v>1000</v>
      </c>
      <c r="B35" s="17">
        <v>0.26800000000000002</v>
      </c>
      <c r="C35" s="18">
        <f t="shared" si="4"/>
        <v>0.28321838478723926</v>
      </c>
      <c r="D35" s="19">
        <f t="shared" si="5"/>
        <v>-1.5218384787239247E-2</v>
      </c>
      <c r="F35" s="14">
        <f t="shared" si="6"/>
        <v>-11.437304119424223</v>
      </c>
      <c r="G35" s="14">
        <f t="shared" si="7"/>
        <v>-10.95757116706811</v>
      </c>
    </row>
    <row r="36" spans="1:7" x14ac:dyDescent="0.3">
      <c r="A36" s="16">
        <v>2000</v>
      </c>
      <c r="B36" s="17">
        <v>0.48799999999999999</v>
      </c>
      <c r="C36" s="18">
        <f t="shared" si="4"/>
        <v>0.5085444331688197</v>
      </c>
      <c r="D36" s="19">
        <f t="shared" si="5"/>
        <v>-2.0544433168819709E-2</v>
      </c>
      <c r="F36" s="14">
        <f t="shared" si="6"/>
        <v>-6.2316035599457873</v>
      </c>
      <c r="G36" s="14">
        <f t="shared" si="7"/>
        <v>-5.8734219074507603</v>
      </c>
    </row>
    <row r="37" spans="1:7" x14ac:dyDescent="0.3">
      <c r="A37" s="16">
        <v>3568</v>
      </c>
      <c r="B37" s="17">
        <v>0.70099999999999996</v>
      </c>
      <c r="C37" s="18">
        <f t="shared" si="4"/>
        <v>0.72533683211798339</v>
      </c>
      <c r="D37" s="19">
        <f t="shared" si="5"/>
        <v>-2.4336832117983431E-2</v>
      </c>
      <c r="F37" s="14">
        <f t="shared" si="6"/>
        <v>-3.0856396406668276</v>
      </c>
      <c r="G37" s="14">
        <f t="shared" si="7"/>
        <v>-2.789205375914463</v>
      </c>
    </row>
    <row r="38" spans="1:7" x14ac:dyDescent="0.3">
      <c r="A38" s="16">
        <v>5000</v>
      </c>
      <c r="B38" s="17">
        <v>0.80800000000000005</v>
      </c>
      <c r="C38" s="18">
        <f t="shared" si="4"/>
        <v>0.82798184388363294</v>
      </c>
      <c r="D38" s="19">
        <f t="shared" si="5"/>
        <v>-1.9981843883632888E-2</v>
      </c>
      <c r="F38" s="14">
        <f t="shared" si="6"/>
        <v>-1.8517727845082763</v>
      </c>
      <c r="G38" s="14">
        <f t="shared" si="7"/>
        <v>-1.6395837277710745</v>
      </c>
    </row>
    <row r="39" spans="1:7" x14ac:dyDescent="0.3">
      <c r="A39" s="16">
        <v>10000</v>
      </c>
      <c r="B39" s="17">
        <v>0.92900000000000005</v>
      </c>
      <c r="C39" s="18">
        <f t="shared" si="4"/>
        <v>0.9471682124478481</v>
      </c>
      <c r="D39" s="19">
        <f t="shared" si="5"/>
        <v>-1.8168212447848053E-2</v>
      </c>
      <c r="F39" s="14">
        <f t="shared" si="6"/>
        <v>-0.63968572012716429</v>
      </c>
      <c r="G39" s="14">
        <f t="shared" si="7"/>
        <v>-0.4714577113704278</v>
      </c>
    </row>
    <row r="40" spans="1:7" x14ac:dyDescent="0.3">
      <c r="A40" s="16">
        <v>20000</v>
      </c>
      <c r="B40" s="17">
        <v>0.96299999999999997</v>
      </c>
      <c r="C40" s="18">
        <f t="shared" si="4"/>
        <v>0.98596741877682004</v>
      </c>
      <c r="D40" s="19">
        <f t="shared" si="5"/>
        <v>-2.296741877682007E-2</v>
      </c>
      <c r="F40" s="14">
        <f t="shared" si="6"/>
        <v>-0.32747425750931003</v>
      </c>
      <c r="G40" s="14">
        <f t="shared" si="7"/>
        <v>-0.12274872103842199</v>
      </c>
    </row>
    <row r="41" spans="1:7" x14ac:dyDescent="0.3">
      <c r="A41" s="16">
        <v>100000</v>
      </c>
      <c r="B41" s="17">
        <v>0.98399999999999999</v>
      </c>
      <c r="C41" s="18">
        <f t="shared" si="4"/>
        <v>0.99942714956354328</v>
      </c>
      <c r="D41" s="19">
        <f t="shared" si="5"/>
        <v>-1.5427149563543296E-2</v>
      </c>
      <c r="F41" s="14">
        <f t="shared" si="6"/>
        <v>-0.14009803137316978</v>
      </c>
      <c r="G41" s="14">
        <f t="shared" si="7"/>
        <v>-4.9771413851340679E-3</v>
      </c>
    </row>
    <row r="48" spans="1:7" ht="19.2" x14ac:dyDescent="0.45">
      <c r="A48" s="15" t="s">
        <v>49</v>
      </c>
    </row>
    <row r="49" spans="1:7" ht="30" customHeight="1" x14ac:dyDescent="0.3">
      <c r="A49" s="3" t="s">
        <v>43</v>
      </c>
      <c r="B49" s="3" t="s">
        <v>44</v>
      </c>
      <c r="C49" s="3" t="s">
        <v>35</v>
      </c>
      <c r="D49" s="3" t="s">
        <v>45</v>
      </c>
      <c r="E49" s="3"/>
      <c r="F49" s="3" t="s">
        <v>46</v>
      </c>
      <c r="G49" s="3" t="s">
        <v>47</v>
      </c>
    </row>
    <row r="50" spans="1:7" x14ac:dyDescent="0.3">
      <c r="A50" s="16">
        <v>100</v>
      </c>
      <c r="B50" s="17">
        <v>0.98</v>
      </c>
      <c r="C50" s="18">
        <f t="shared" ref="C50:C58" si="8">1/SQRT(1+(A50/$K$10)^2)</f>
        <v>0.9999106538551007</v>
      </c>
      <c r="D50" s="19">
        <f t="shared" ref="D50:D58" si="9">B50-C50</f>
        <v>-1.9910653855100713E-2</v>
      </c>
      <c r="F50" s="14">
        <f t="shared" ref="F50:F58" si="10">20*LOG10(B50)</f>
        <v>-0.175478486150103</v>
      </c>
      <c r="G50" s="14">
        <f t="shared" ref="G50:G58" si="11">20*LOG10(C50)</f>
        <v>-7.7608542481863657E-4</v>
      </c>
    </row>
    <row r="51" spans="1:7" x14ac:dyDescent="0.3">
      <c r="A51" s="16">
        <v>1000</v>
      </c>
      <c r="B51" s="17">
        <v>0.97199999999999998</v>
      </c>
      <c r="C51" s="18">
        <f t="shared" si="8"/>
        <v>0.99118220473217933</v>
      </c>
      <c r="D51" s="19">
        <f t="shared" si="9"/>
        <v>-1.9182204732179353E-2</v>
      </c>
      <c r="F51" s="14">
        <f t="shared" si="10"/>
        <v>-0.24667470147450868</v>
      </c>
      <c r="G51" s="14">
        <f t="shared" si="11"/>
        <v>-7.6930074044100294E-2</v>
      </c>
    </row>
    <row r="52" spans="1:7" x14ac:dyDescent="0.3">
      <c r="A52" s="16">
        <v>2000</v>
      </c>
      <c r="B52" s="17">
        <v>0.95</v>
      </c>
      <c r="C52" s="18">
        <f t="shared" si="8"/>
        <v>0.96606566910654446</v>
      </c>
      <c r="D52" s="19">
        <f t="shared" si="9"/>
        <v>-1.60656691065445E-2</v>
      </c>
      <c r="F52" s="14">
        <f t="shared" si="10"/>
        <v>-0.44552789422304506</v>
      </c>
      <c r="G52" s="14">
        <f t="shared" si="11"/>
        <v>-0.29986702114653552</v>
      </c>
    </row>
    <row r="53" spans="1:7" x14ac:dyDescent="0.3">
      <c r="A53" s="16">
        <v>5000</v>
      </c>
      <c r="B53" s="17">
        <v>0.83099999999999996</v>
      </c>
      <c r="C53" s="18">
        <f t="shared" si="8"/>
        <v>0.83137538214328732</v>
      </c>
      <c r="D53" s="19">
        <f t="shared" si="9"/>
        <v>-3.7538214328736164E-4</v>
      </c>
      <c r="F53" s="14">
        <f t="shared" si="10"/>
        <v>-1.6079795243177806</v>
      </c>
      <c r="G53" s="14">
        <f t="shared" si="11"/>
        <v>-1.6040567906691274</v>
      </c>
    </row>
    <row r="54" spans="1:7" x14ac:dyDescent="0.3">
      <c r="A54" s="16">
        <v>7300</v>
      </c>
      <c r="B54" s="17">
        <v>0.70099999999999996</v>
      </c>
      <c r="C54" s="18">
        <f t="shared" si="8"/>
        <v>0.71567847120989925</v>
      </c>
      <c r="D54" s="19">
        <f t="shared" si="9"/>
        <v>-1.4678471209899291E-2</v>
      </c>
      <c r="F54" s="14">
        <f t="shared" si="10"/>
        <v>-3.0856396406668276</v>
      </c>
      <c r="G54" s="14">
        <f t="shared" si="11"/>
        <v>-2.9056409376932284</v>
      </c>
    </row>
    <row r="55" spans="1:7" x14ac:dyDescent="0.3">
      <c r="A55" s="16">
        <v>10000</v>
      </c>
      <c r="B55" s="17">
        <v>0.60899999999999999</v>
      </c>
      <c r="C55" s="18">
        <f t="shared" si="8"/>
        <v>0.59898902082898753</v>
      </c>
      <c r="D55" s="19">
        <f t="shared" si="9"/>
        <v>1.0010979171012457E-2</v>
      </c>
      <c r="F55" s="14">
        <f t="shared" si="10"/>
        <v>-4.3076541473424932</v>
      </c>
      <c r="G55" s="14">
        <f t="shared" si="11"/>
        <v>-4.4516227587942607</v>
      </c>
    </row>
    <row r="56" spans="1:7" x14ac:dyDescent="0.3">
      <c r="A56" s="16">
        <v>20000</v>
      </c>
      <c r="B56" s="17">
        <v>0.36599999999999999</v>
      </c>
      <c r="C56" s="18">
        <f t="shared" si="8"/>
        <v>0.3503137448329664</v>
      </c>
      <c r="D56" s="19">
        <f t="shared" si="9"/>
        <v>1.5686255167033591E-2</v>
      </c>
      <c r="F56" s="14">
        <f t="shared" si="10"/>
        <v>-8.7303782921117872</v>
      </c>
      <c r="G56" s="14">
        <f t="shared" si="11"/>
        <v>-9.1108564493067128</v>
      </c>
    </row>
    <row r="57" spans="1:7" x14ac:dyDescent="0.3">
      <c r="A57" s="16">
        <v>50000</v>
      </c>
      <c r="B57" s="17">
        <v>0.156</v>
      </c>
      <c r="C57" s="18">
        <f t="shared" si="8"/>
        <v>0.14795901105098205</v>
      </c>
      <c r="D57" s="19">
        <f t="shared" si="9"/>
        <v>8.0409889490179465E-3</v>
      </c>
      <c r="F57" s="14">
        <f t="shared" si="10"/>
        <v>-16.137508032910766</v>
      </c>
      <c r="G57" s="14">
        <f t="shared" si="11"/>
        <v>-16.597171602896147</v>
      </c>
    </row>
    <row r="58" spans="1:7" x14ac:dyDescent="0.3">
      <c r="A58" s="16">
        <v>100000</v>
      </c>
      <c r="B58" s="17">
        <v>7.5999999999999998E-2</v>
      </c>
      <c r="C58" s="18">
        <f t="shared" si="8"/>
        <v>7.459441924289896E-2</v>
      </c>
      <c r="D58" s="19">
        <f t="shared" si="9"/>
        <v>1.4055807571010381E-3</v>
      </c>
      <c r="F58" s="14">
        <f t="shared" si="10"/>
        <v>-22.383728154384173</v>
      </c>
      <c r="G58" s="14">
        <f t="shared" si="11"/>
        <v>-22.545873258234405</v>
      </c>
    </row>
    <row r="65" spans="1:7" ht="19.2" x14ac:dyDescent="0.45">
      <c r="A65" s="15" t="s">
        <v>50</v>
      </c>
    </row>
    <row r="66" spans="1:7" ht="30" customHeight="1" x14ac:dyDescent="0.3">
      <c r="A66" s="3" t="s">
        <v>43</v>
      </c>
      <c r="B66" s="3" t="s">
        <v>44</v>
      </c>
      <c r="C66" s="3" t="s">
        <v>35</v>
      </c>
      <c r="D66" s="3" t="s">
        <v>45</v>
      </c>
      <c r="E66" s="3"/>
      <c r="F66" s="3" t="s">
        <v>46</v>
      </c>
      <c r="G66" s="3" t="s">
        <v>47</v>
      </c>
    </row>
    <row r="67" spans="1:7" x14ac:dyDescent="0.3">
      <c r="A67" s="16">
        <v>100</v>
      </c>
      <c r="B67" s="17">
        <v>0.03</v>
      </c>
      <c r="C67" s="18">
        <f t="shared" ref="C67:C75" si="12">$K$4/SQRT($K$4^2+(2*PI()*A67*$K$6-1/(2*PI()*A67*$K$5))^2)</f>
        <v>2.952975041952384E-2</v>
      </c>
      <c r="D67" s="19">
        <f t="shared" ref="D67:D75" si="13">B67-C67</f>
        <v>4.7024958047615917E-4</v>
      </c>
      <c r="F67" s="14">
        <f t="shared" ref="F67:F75" si="14">20*LOG10(B67)</f>
        <v>-30.457574905606752</v>
      </c>
      <c r="G67" s="14">
        <f t="shared" ref="G67:G75" si="15">20*LOG10(C67)</f>
        <v>-30.594804472064254</v>
      </c>
    </row>
    <row r="68" spans="1:7" x14ac:dyDescent="0.3">
      <c r="A68" s="16">
        <v>1000</v>
      </c>
      <c r="B68" s="17">
        <v>0.27800000000000002</v>
      </c>
      <c r="C68" s="18">
        <f t="shared" si="12"/>
        <v>0.29387185392597404</v>
      </c>
      <c r="D68" s="19">
        <f t="shared" si="13"/>
        <v>-1.5871853925974011E-2</v>
      </c>
      <c r="F68" s="14">
        <f t="shared" si="14"/>
        <v>-11.119104081638474</v>
      </c>
      <c r="G68" s="14">
        <f t="shared" si="15"/>
        <v>-10.63684014448787</v>
      </c>
    </row>
    <row r="69" spans="1:7" x14ac:dyDescent="0.3">
      <c r="A69" s="16">
        <v>2690</v>
      </c>
      <c r="B69" s="17">
        <v>0.70599999999999996</v>
      </c>
      <c r="C69" s="18">
        <f t="shared" si="12"/>
        <v>0.74358012903482673</v>
      </c>
      <c r="D69" s="19">
        <f t="shared" si="13"/>
        <v>-3.758012903482677E-2</v>
      </c>
      <c r="F69" s="14">
        <f t="shared" si="14"/>
        <v>-3.0239059789639251</v>
      </c>
      <c r="G69" s="14">
        <f t="shared" si="15"/>
        <v>-2.5734444911236292</v>
      </c>
    </row>
    <row r="70" spans="1:7" x14ac:dyDescent="0.3">
      <c r="A70" s="16">
        <v>4000</v>
      </c>
      <c r="B70" s="17">
        <v>0.92100000000000004</v>
      </c>
      <c r="C70" s="18">
        <f t="shared" si="12"/>
        <v>0.9546619885867581</v>
      </c>
      <c r="D70" s="19">
        <f t="shared" si="13"/>
        <v>-3.3661988586758063E-2</v>
      </c>
      <c r="F70" s="14">
        <f t="shared" si="14"/>
        <v>-0.71480739606302124</v>
      </c>
      <c r="G70" s="14">
        <f t="shared" si="15"/>
        <v>-0.40300738458054924</v>
      </c>
    </row>
    <row r="71" spans="1:7" x14ac:dyDescent="0.3">
      <c r="A71" s="16">
        <v>5013</v>
      </c>
      <c r="B71" s="17">
        <v>0.97399999999999998</v>
      </c>
      <c r="C71" s="18">
        <f t="shared" si="12"/>
        <v>0.9999857590054283</v>
      </c>
      <c r="D71" s="19">
        <f t="shared" si="13"/>
        <v>-2.5985759005428322E-2</v>
      </c>
      <c r="F71" s="14">
        <f t="shared" si="14"/>
        <v>-0.22882086242768965</v>
      </c>
      <c r="G71" s="14">
        <f t="shared" si="15"/>
        <v>-1.236965879693917E-4</v>
      </c>
    </row>
    <row r="72" spans="1:7" x14ac:dyDescent="0.3">
      <c r="A72" s="16">
        <v>6000</v>
      </c>
      <c r="B72" s="17">
        <v>0.96299999999999997</v>
      </c>
      <c r="C72" s="18">
        <f t="shared" si="12"/>
        <v>0.97288632383894891</v>
      </c>
      <c r="D72" s="19">
        <f t="shared" si="13"/>
        <v>-9.8863238389489405E-3</v>
      </c>
      <c r="F72" s="14">
        <f t="shared" si="14"/>
        <v>-0.32747425750931003</v>
      </c>
      <c r="G72" s="14">
        <f t="shared" si="15"/>
        <v>-0.23875803150025007</v>
      </c>
    </row>
    <row r="73" spans="1:7" x14ac:dyDescent="0.3">
      <c r="A73" s="16">
        <v>10281</v>
      </c>
      <c r="B73" s="17">
        <v>0.70599999999999996</v>
      </c>
      <c r="C73" s="18">
        <f t="shared" si="12"/>
        <v>0.69136538314402596</v>
      </c>
      <c r="D73" s="19">
        <f t="shared" si="13"/>
        <v>1.4634616855974003E-2</v>
      </c>
      <c r="F73" s="14">
        <f t="shared" si="14"/>
        <v>-3.0239059789639251</v>
      </c>
      <c r="G73" s="14">
        <f t="shared" si="15"/>
        <v>-3.2058473898814994</v>
      </c>
    </row>
    <row r="74" spans="1:7" x14ac:dyDescent="0.3">
      <c r="A74" s="16">
        <v>50000</v>
      </c>
      <c r="B74" s="17">
        <v>0.16</v>
      </c>
      <c r="C74" s="18">
        <f t="shared" si="12"/>
        <v>0.14943983990131501</v>
      </c>
      <c r="D74" s="19">
        <f t="shared" si="13"/>
        <v>1.056016009868499E-2</v>
      </c>
      <c r="F74" s="14">
        <f t="shared" si="14"/>
        <v>-15.917600346881503</v>
      </c>
      <c r="G74" s="14">
        <f t="shared" si="15"/>
        <v>-16.510672127688188</v>
      </c>
    </row>
    <row r="75" spans="1:7" x14ac:dyDescent="0.3">
      <c r="A75" s="16">
        <v>100000</v>
      </c>
      <c r="B75" s="17">
        <v>7.6999999999999999E-2</v>
      </c>
      <c r="C75" s="18">
        <f t="shared" si="12"/>
        <v>7.4782790900310661E-2</v>
      </c>
      <c r="D75" s="19">
        <f t="shared" si="13"/>
        <v>2.2172090996893379E-3</v>
      </c>
      <c r="F75" s="14">
        <f t="shared" si="14"/>
        <v>-22.270185496550361</v>
      </c>
      <c r="G75" s="14">
        <f t="shared" si="15"/>
        <v>-22.523966619424471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/>
  </sheetViews>
  <sheetFormatPr defaultRowHeight="14.4" x14ac:dyDescent="0.3"/>
  <cols>
    <col min="1" max="1" width="30" customWidth="1"/>
    <col min="2" max="5" width="13" customWidth="1"/>
    <col min="6" max="6" width="14" customWidth="1"/>
    <col min="7" max="8" width="12" customWidth="1"/>
  </cols>
  <sheetData>
    <row r="1" spans="1:8" ht="24.6" x14ac:dyDescent="0.55000000000000004">
      <c r="A1" s="1" t="s">
        <v>51</v>
      </c>
    </row>
    <row r="2" spans="1:8" ht="15" x14ac:dyDescent="0.35">
      <c r="A2" s="2" t="s">
        <v>52</v>
      </c>
    </row>
    <row r="4" spans="1:8" ht="30" customHeight="1" x14ac:dyDescent="0.3">
      <c r="A4" s="3" t="s">
        <v>53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</row>
    <row r="5" spans="1:8" ht="16.8" x14ac:dyDescent="0.4">
      <c r="A5" s="20" t="s">
        <v>61</v>
      </c>
      <c r="B5" s="17">
        <v>10.0468397721</v>
      </c>
      <c r="C5" s="17">
        <v>10.031006317499999</v>
      </c>
      <c r="F5" s="18">
        <f>(B5-C5)/C5*100</f>
        <v>0.15784512638954346</v>
      </c>
      <c r="G5">
        <v>5</v>
      </c>
      <c r="H5" t="str">
        <f>IF(F5&lt;=G5,"PASS","FAIL")</f>
        <v>PASS</v>
      </c>
    </row>
    <row r="6" spans="1:8" ht="16.8" x14ac:dyDescent="0.4">
      <c r="A6" s="20" t="s">
        <v>62</v>
      </c>
      <c r="B6" s="17">
        <v>10.090999999999999</v>
      </c>
      <c r="C6" s="17">
        <v>10.066000000000001</v>
      </c>
      <c r="F6" s="18">
        <f>(B6-C6)/C6*100</f>
        <v>0.24836081859724396</v>
      </c>
      <c r="G6">
        <v>5</v>
      </c>
      <c r="H6" t="str">
        <f>IF(F6&lt;=G6,"PASS","FAIL")</f>
        <v>PASS</v>
      </c>
    </row>
    <row r="7" spans="1:8" ht="16.8" x14ac:dyDescent="0.4">
      <c r="A7" s="20" t="s">
        <v>63</v>
      </c>
      <c r="B7" s="17">
        <v>10.0737693793</v>
      </c>
      <c r="C7" s="17">
        <v>9.9945365230800007</v>
      </c>
      <c r="F7" s="18">
        <f>(B7-C7)/C7*100</f>
        <v>0.79276168571728844</v>
      </c>
      <c r="G7">
        <v>5</v>
      </c>
      <c r="H7" t="str">
        <f>IF(F7&lt;=G7,"PASS","FAIL")</f>
        <v>PASS</v>
      </c>
    </row>
    <row r="8" spans="1:8" ht="16.8" x14ac:dyDescent="0.4">
      <c r="A8" s="20" t="s">
        <v>64</v>
      </c>
      <c r="B8" s="17">
        <v>10.375999999999999</v>
      </c>
      <c r="C8" s="17">
        <v>9.8190000000000008</v>
      </c>
      <c r="F8" s="18">
        <f>(B8-C8)/C8*100</f>
        <v>5.6726754251960338</v>
      </c>
      <c r="G8">
        <v>5</v>
      </c>
      <c r="H8" t="str">
        <f>IF(F8&lt;=G8,"PASS","FAIL")</f>
        <v>FAIL</v>
      </c>
    </row>
    <row r="9" spans="1:8" ht="16.8" x14ac:dyDescent="0.4">
      <c r="A9" s="20" t="s">
        <v>65</v>
      </c>
      <c r="D9" s="17">
        <v>0.76</v>
      </c>
      <c r="E9" s="17">
        <v>9.69</v>
      </c>
      <c r="F9" s="18">
        <f>D9/E9*100</f>
        <v>7.8431372549019605</v>
      </c>
      <c r="G9">
        <v>0.5</v>
      </c>
      <c r="H9" t="str">
        <f>IF(F9&lt;=G9,"PASS","FAIL")</f>
        <v>FAIL</v>
      </c>
    </row>
    <row r="11" spans="1:8" ht="15" x14ac:dyDescent="0.35">
      <c r="A11" s="2" t="s">
        <v>66</v>
      </c>
    </row>
    <row r="12" spans="1:8" x14ac:dyDescent="0.3">
      <c r="A12" t="s">
        <v>67</v>
      </c>
      <c r="B12" s="21">
        <f>(20.2-10)/(0.021+0.025)</f>
        <v>221.7391304347826</v>
      </c>
      <c r="C12" t="s">
        <v>68</v>
      </c>
    </row>
  </sheetData>
  <conditionalFormatting sqref="H5:H9">
    <cfRule type="expression" dxfId="1" priority="1">
      <formula>H5="PASS"</formula>
    </cfRule>
    <cfRule type="expression" dxfId="0" priority="2">
      <formula>H5="FAIL"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showGridLines="0" workbookViewId="0"/>
  </sheetViews>
  <sheetFormatPr defaultRowHeight="14.4" x14ac:dyDescent="0.3"/>
  <cols>
    <col min="1" max="1" width="10" customWidth="1"/>
    <col min="2" max="3" width="14" customWidth="1"/>
    <col min="4" max="6" width="3" customWidth="1"/>
    <col min="7" max="7" width="40" customWidth="1"/>
    <col min="8" max="8" width="14" customWidth="1"/>
  </cols>
  <sheetData>
    <row r="1" spans="1:8" ht="24.6" x14ac:dyDescent="0.55000000000000004">
      <c r="A1" s="1" t="s">
        <v>69</v>
      </c>
    </row>
    <row r="2" spans="1:8" ht="15" x14ac:dyDescent="0.35">
      <c r="A2" s="2" t="s">
        <v>70</v>
      </c>
    </row>
    <row r="4" spans="1:8" ht="30" customHeight="1" x14ac:dyDescent="0.3">
      <c r="A4" s="3" t="s">
        <v>71</v>
      </c>
      <c r="B4" s="3" t="s">
        <v>72</v>
      </c>
      <c r="C4" s="3" t="s">
        <v>73</v>
      </c>
      <c r="G4" s="3" t="s">
        <v>34</v>
      </c>
      <c r="H4" s="3" t="s">
        <v>4</v>
      </c>
    </row>
    <row r="5" spans="1:8" ht="16.8" x14ac:dyDescent="0.4">
      <c r="A5">
        <v>1</v>
      </c>
      <c r="B5" s="17">
        <v>2.5000000000000001E-2</v>
      </c>
      <c r="C5" s="22">
        <v>9.4999999999999998E-3</v>
      </c>
      <c r="G5" s="20" t="s">
        <v>74</v>
      </c>
      <c r="H5" s="23">
        <f>SLOPE(C5:C15,B5:B15)</f>
        <v>0.36927887949357252</v>
      </c>
    </row>
    <row r="6" spans="1:8" ht="16.8" x14ac:dyDescent="0.4">
      <c r="A6">
        <v>2</v>
      </c>
      <c r="B6" s="17">
        <v>0.03</v>
      </c>
      <c r="C6" s="22">
        <v>1.14E-2</v>
      </c>
      <c r="G6" s="20" t="s">
        <v>75</v>
      </c>
      <c r="H6" s="24">
        <f>RSQ(C5:C15,B5:B15)</f>
        <v>0.99976909724584684</v>
      </c>
    </row>
    <row r="7" spans="1:8" ht="16.8" x14ac:dyDescent="0.4">
      <c r="A7">
        <v>3</v>
      </c>
      <c r="B7" s="17">
        <v>3.3000000000000002E-2</v>
      </c>
      <c r="C7" s="22">
        <v>1.2800000000000001E-2</v>
      </c>
      <c r="G7" s="20" t="s">
        <v>76</v>
      </c>
      <c r="H7" s="18">
        <f>INTERCEPT(C5:C15,B5:B15)*1000</f>
        <v>0.85287666528098549</v>
      </c>
    </row>
    <row r="8" spans="1:8" ht="16.8" x14ac:dyDescent="0.4">
      <c r="A8">
        <v>4</v>
      </c>
      <c r="B8" s="17">
        <v>3.6999999999999998E-2</v>
      </c>
      <c r="C8" s="22">
        <v>1.43E-2</v>
      </c>
      <c r="G8" s="20" t="s">
        <v>77</v>
      </c>
      <c r="H8" s="24">
        <f>AVERAGE(B20:B29)</f>
        <v>7.8399999999999997E-2</v>
      </c>
    </row>
    <row r="9" spans="1:8" ht="16.8" x14ac:dyDescent="0.4">
      <c r="A9">
        <v>5</v>
      </c>
      <c r="B9" s="17">
        <v>4.2000000000000003E-2</v>
      </c>
      <c r="C9" s="22">
        <v>1.6E-2</v>
      </c>
      <c r="G9" s="20" t="s">
        <v>78</v>
      </c>
      <c r="H9" s="24">
        <f>_xlfn.STDEV.S(B20:B29)/SQRT(10)</f>
        <v>1.4000000000000011E-3</v>
      </c>
    </row>
    <row r="10" spans="1:8" ht="16.8" x14ac:dyDescent="0.4">
      <c r="A10">
        <v>6</v>
      </c>
      <c r="B10" s="17">
        <v>5.1999999999999998E-2</v>
      </c>
      <c r="C10" s="22">
        <v>1.9699999999999999E-2</v>
      </c>
      <c r="G10" s="20" t="s">
        <v>79</v>
      </c>
      <c r="H10" s="23">
        <f>H9/H8</f>
        <v>1.785714285714287E-2</v>
      </c>
    </row>
    <row r="11" spans="1:8" ht="16.8" x14ac:dyDescent="0.4">
      <c r="A11">
        <v>7</v>
      </c>
      <c r="B11" s="17">
        <v>6.2E-2</v>
      </c>
      <c r="C11" s="22">
        <v>2.41E-2</v>
      </c>
      <c r="G11" s="20" t="s">
        <v>80</v>
      </c>
      <c r="H11" s="25">
        <f>H8/(2*200*100*0.0607)</f>
        <v>3.2289950576606262E-5</v>
      </c>
    </row>
    <row r="12" spans="1:8" ht="16.8" x14ac:dyDescent="0.4">
      <c r="A12">
        <v>8</v>
      </c>
      <c r="B12" s="17">
        <v>8.3000000000000004E-2</v>
      </c>
      <c r="C12" s="22">
        <v>3.1699999999999999E-2</v>
      </c>
      <c r="G12" s="20" t="s">
        <v>81</v>
      </c>
      <c r="H12" s="26">
        <f>H11*SQRT(H10^2+0.02^2+0.0072^2)</f>
        <v>8.9642715676856704E-7</v>
      </c>
    </row>
    <row r="13" spans="1:8" ht="16.8" x14ac:dyDescent="0.4">
      <c r="A13">
        <v>9</v>
      </c>
      <c r="B13" s="17">
        <v>0.108</v>
      </c>
      <c r="C13" s="22">
        <v>4.1500000000000002E-2</v>
      </c>
      <c r="G13" s="20" t="s">
        <v>82</v>
      </c>
      <c r="H13" s="25">
        <v>2.4499999999999999E-5</v>
      </c>
    </row>
    <row r="14" spans="1:8" ht="16.8" x14ac:dyDescent="0.4">
      <c r="A14">
        <v>10</v>
      </c>
      <c r="B14" s="17">
        <v>0.216</v>
      </c>
      <c r="C14" s="22">
        <v>8.2500000000000004E-2</v>
      </c>
      <c r="G14" s="20" t="s">
        <v>83</v>
      </c>
      <c r="H14" s="27">
        <f>(H11-H13)/H13</f>
        <v>0.31795716639209237</v>
      </c>
    </row>
    <row r="15" spans="1:8" x14ac:dyDescent="0.3">
      <c r="A15">
        <v>11</v>
      </c>
      <c r="B15" s="17">
        <v>0.49299999999999999</v>
      </c>
      <c r="C15" s="22">
        <v>0.182</v>
      </c>
    </row>
    <row r="18" spans="1:2" ht="19.2" x14ac:dyDescent="0.45">
      <c r="A18" s="15" t="s">
        <v>84</v>
      </c>
    </row>
    <row r="19" spans="1:2" ht="30" customHeight="1" x14ac:dyDescent="0.3">
      <c r="A19" s="3" t="s">
        <v>71</v>
      </c>
      <c r="B19" s="3" t="s">
        <v>85</v>
      </c>
    </row>
    <row r="20" spans="1:2" x14ac:dyDescent="0.3">
      <c r="A20">
        <v>1</v>
      </c>
      <c r="B20" s="11">
        <v>7.1999999999999995E-2</v>
      </c>
    </row>
    <row r="21" spans="1:2" x14ac:dyDescent="0.3">
      <c r="A21">
        <v>2</v>
      </c>
      <c r="B21" s="11">
        <v>7.6999999999999999E-2</v>
      </c>
    </row>
    <row r="22" spans="1:2" x14ac:dyDescent="0.3">
      <c r="A22">
        <v>3</v>
      </c>
      <c r="B22" s="11">
        <v>8.2000000000000003E-2</v>
      </c>
    </row>
    <row r="23" spans="1:2" x14ac:dyDescent="0.3">
      <c r="A23">
        <v>4</v>
      </c>
      <c r="B23" s="11">
        <v>8.5000000000000006E-2</v>
      </c>
    </row>
    <row r="24" spans="1:2" x14ac:dyDescent="0.3">
      <c r="A24">
        <v>5</v>
      </c>
      <c r="B24" s="11">
        <v>7.6999999999999999E-2</v>
      </c>
    </row>
    <row r="25" spans="1:2" x14ac:dyDescent="0.3">
      <c r="A25">
        <v>6</v>
      </c>
      <c r="B25" s="11">
        <v>7.4999999999999997E-2</v>
      </c>
    </row>
    <row r="26" spans="1:2" x14ac:dyDescent="0.3">
      <c r="A26">
        <v>7</v>
      </c>
      <c r="B26" s="11">
        <v>7.2999999999999995E-2</v>
      </c>
    </row>
    <row r="27" spans="1:2" x14ac:dyDescent="0.3">
      <c r="A27">
        <v>8</v>
      </c>
      <c r="B27" s="11">
        <v>8.4000000000000005E-2</v>
      </c>
    </row>
    <row r="28" spans="1:2" x14ac:dyDescent="0.3">
      <c r="A28">
        <v>9</v>
      </c>
      <c r="B28" s="11">
        <v>7.9000000000000001E-2</v>
      </c>
    </row>
    <row r="29" spans="1:2" x14ac:dyDescent="0.3">
      <c r="A29">
        <v>10</v>
      </c>
      <c r="B29" s="11">
        <v>0.08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"/>
  <sheetViews>
    <sheetView showGridLines="0" workbookViewId="0"/>
  </sheetViews>
  <sheetFormatPr defaultRowHeight="14.4" x14ac:dyDescent="0.3"/>
  <cols>
    <col min="1" max="1" width="8" customWidth="1"/>
    <col min="2" max="4" width="14" customWidth="1"/>
    <col min="5" max="5" width="16" customWidth="1"/>
  </cols>
  <sheetData>
    <row r="1" spans="1:5" ht="24.6" x14ac:dyDescent="0.55000000000000004">
      <c r="A1" s="1" t="s">
        <v>86</v>
      </c>
    </row>
    <row r="2" spans="1:5" ht="15" x14ac:dyDescent="0.35">
      <c r="A2" s="2" t="s">
        <v>87</v>
      </c>
      <c r="D2" t="s">
        <v>88</v>
      </c>
      <c r="E2" s="11">
        <v>100</v>
      </c>
    </row>
    <row r="3" spans="1:5" x14ac:dyDescent="0.3">
      <c r="D3" t="s">
        <v>89</v>
      </c>
      <c r="E3" s="26">
        <f>MAX(D6:D36)</f>
        <v>2.3203661214665772E-14</v>
      </c>
    </row>
    <row r="5" spans="1:5" ht="30" customHeight="1" x14ac:dyDescent="0.3">
      <c r="A5" s="3" t="s">
        <v>90</v>
      </c>
      <c r="B5" s="3" t="s">
        <v>91</v>
      </c>
      <c r="C5" s="3" t="s">
        <v>92</v>
      </c>
      <c r="D5" s="3" t="s">
        <v>93</v>
      </c>
    </row>
    <row r="6" spans="1:5" x14ac:dyDescent="0.3">
      <c r="A6">
        <v>0</v>
      </c>
      <c r="B6" s="23">
        <f t="shared" ref="B6:B36" si="0">COS(2*PI()*10*A6/$E$2)</f>
        <v>1</v>
      </c>
      <c r="C6" s="23">
        <f t="shared" ref="C6:C36" si="1">COS(2*PI()*90*A6/$E$2)</f>
        <v>1</v>
      </c>
      <c r="D6" s="26">
        <f t="shared" ref="D6:D36" si="2">ABS(B6-C6)</f>
        <v>0</v>
      </c>
    </row>
    <row r="7" spans="1:5" x14ac:dyDescent="0.3">
      <c r="A7">
        <v>1</v>
      </c>
      <c r="B7" s="23">
        <f t="shared" si="0"/>
        <v>0.80901699437494745</v>
      </c>
      <c r="C7" s="23">
        <f t="shared" si="1"/>
        <v>0.80901699437494734</v>
      </c>
      <c r="D7" s="26">
        <f t="shared" si="2"/>
        <v>1.1102230246251565E-16</v>
      </c>
    </row>
    <row r="8" spans="1:5" x14ac:dyDescent="0.3">
      <c r="A8">
        <v>2</v>
      </c>
      <c r="B8" s="23">
        <f t="shared" si="0"/>
        <v>0.30901699437494745</v>
      </c>
      <c r="C8" s="23">
        <f t="shared" si="1"/>
        <v>0.30901699437494701</v>
      </c>
      <c r="D8" s="26">
        <f t="shared" si="2"/>
        <v>4.4408920985006262E-16</v>
      </c>
    </row>
    <row r="9" spans="1:5" x14ac:dyDescent="0.3">
      <c r="A9">
        <v>3</v>
      </c>
      <c r="B9" s="23">
        <f t="shared" si="0"/>
        <v>-0.30901699437494712</v>
      </c>
      <c r="C9" s="23">
        <f t="shared" si="1"/>
        <v>-0.30901699437494806</v>
      </c>
      <c r="D9" s="26">
        <f t="shared" si="2"/>
        <v>9.4368957093138306E-16</v>
      </c>
    </row>
    <row r="10" spans="1:5" x14ac:dyDescent="0.3">
      <c r="A10">
        <v>4</v>
      </c>
      <c r="B10" s="23">
        <f t="shared" si="0"/>
        <v>-0.80901699437494734</v>
      </c>
      <c r="C10" s="23">
        <f t="shared" si="1"/>
        <v>-0.8090169943749479</v>
      </c>
      <c r="D10" s="26">
        <f t="shared" si="2"/>
        <v>5.5511151231257827E-16</v>
      </c>
    </row>
    <row r="11" spans="1:5" x14ac:dyDescent="0.3">
      <c r="A11">
        <v>5</v>
      </c>
      <c r="B11" s="23">
        <f t="shared" si="0"/>
        <v>-1</v>
      </c>
      <c r="C11" s="23">
        <f t="shared" si="1"/>
        <v>-1</v>
      </c>
      <c r="D11" s="26">
        <f t="shared" si="2"/>
        <v>0</v>
      </c>
    </row>
    <row r="12" spans="1:5" x14ac:dyDescent="0.3">
      <c r="A12">
        <v>6</v>
      </c>
      <c r="B12" s="23">
        <f t="shared" si="0"/>
        <v>-0.80901699437494778</v>
      </c>
      <c r="C12" s="23">
        <f t="shared" si="1"/>
        <v>-0.80901699437494667</v>
      </c>
      <c r="D12" s="26">
        <f t="shared" si="2"/>
        <v>1.1102230246251565E-15</v>
      </c>
    </row>
    <row r="13" spans="1:5" x14ac:dyDescent="0.3">
      <c r="A13">
        <v>7</v>
      </c>
      <c r="B13" s="23">
        <f t="shared" si="0"/>
        <v>-0.30901699437494756</v>
      </c>
      <c r="C13" s="23">
        <f t="shared" si="1"/>
        <v>-0.30901699437494934</v>
      </c>
      <c r="D13" s="26">
        <f t="shared" si="2"/>
        <v>1.7763568394002505E-15</v>
      </c>
    </row>
    <row r="14" spans="1:5" x14ac:dyDescent="0.3">
      <c r="A14">
        <v>8</v>
      </c>
      <c r="B14" s="23">
        <f t="shared" si="0"/>
        <v>0.30901699437494723</v>
      </c>
      <c r="C14" s="23">
        <f t="shared" si="1"/>
        <v>0.30901699437494912</v>
      </c>
      <c r="D14" s="26">
        <f t="shared" si="2"/>
        <v>1.8873791418627661E-15</v>
      </c>
    </row>
    <row r="15" spans="1:5" x14ac:dyDescent="0.3">
      <c r="A15">
        <v>9</v>
      </c>
      <c r="B15" s="23">
        <f t="shared" si="0"/>
        <v>0.80901699437494734</v>
      </c>
      <c r="C15" s="23">
        <f t="shared" si="1"/>
        <v>0.80901699437494645</v>
      </c>
      <c r="D15" s="26">
        <f t="shared" si="2"/>
        <v>8.8817841970012523E-16</v>
      </c>
    </row>
    <row r="16" spans="1:5" x14ac:dyDescent="0.3">
      <c r="A16">
        <v>10</v>
      </c>
      <c r="B16" s="23">
        <f t="shared" si="0"/>
        <v>1</v>
      </c>
      <c r="C16" s="23">
        <f t="shared" si="1"/>
        <v>1</v>
      </c>
      <c r="D16" s="26">
        <f t="shared" si="2"/>
        <v>0</v>
      </c>
    </row>
    <row r="17" spans="1:4" x14ac:dyDescent="0.3">
      <c r="A17">
        <v>11</v>
      </c>
      <c r="B17" s="23">
        <f t="shared" si="0"/>
        <v>0.80901699437494756</v>
      </c>
      <c r="C17" s="23">
        <f t="shared" si="1"/>
        <v>0.80901699437494812</v>
      </c>
      <c r="D17" s="26">
        <f t="shared" si="2"/>
        <v>5.5511151231257827E-16</v>
      </c>
    </row>
    <row r="18" spans="1:4" x14ac:dyDescent="0.3">
      <c r="A18">
        <v>12</v>
      </c>
      <c r="B18" s="23">
        <f t="shared" si="0"/>
        <v>0.30901699437494856</v>
      </c>
      <c r="C18" s="23">
        <f t="shared" si="1"/>
        <v>0.3090169943749449</v>
      </c>
      <c r="D18" s="26">
        <f t="shared" si="2"/>
        <v>3.6637359812630166E-15</v>
      </c>
    </row>
    <row r="19" spans="1:4" x14ac:dyDescent="0.3">
      <c r="A19">
        <v>13</v>
      </c>
      <c r="B19" s="23">
        <f t="shared" si="0"/>
        <v>-0.30901699437494712</v>
      </c>
      <c r="C19" s="23">
        <f t="shared" si="1"/>
        <v>-0.30901699437494679</v>
      </c>
      <c r="D19" s="26">
        <f t="shared" si="2"/>
        <v>3.3306690738754696E-16</v>
      </c>
    </row>
    <row r="20" spans="1:4" x14ac:dyDescent="0.3">
      <c r="A20">
        <v>14</v>
      </c>
      <c r="B20" s="23">
        <f t="shared" si="0"/>
        <v>-0.80901699437494723</v>
      </c>
      <c r="C20" s="23">
        <f t="shared" si="1"/>
        <v>-0.80901699437494501</v>
      </c>
      <c r="D20" s="26">
        <f t="shared" si="2"/>
        <v>2.2204460492503131E-15</v>
      </c>
    </row>
    <row r="21" spans="1:4" x14ac:dyDescent="0.3">
      <c r="A21">
        <v>15</v>
      </c>
      <c r="B21" s="23">
        <f t="shared" si="0"/>
        <v>-1</v>
      </c>
      <c r="C21" s="23">
        <f t="shared" si="1"/>
        <v>-1</v>
      </c>
      <c r="D21" s="26">
        <f t="shared" si="2"/>
        <v>0</v>
      </c>
    </row>
    <row r="22" spans="1:4" x14ac:dyDescent="0.3">
      <c r="A22">
        <v>16</v>
      </c>
      <c r="B22" s="23">
        <f t="shared" si="0"/>
        <v>-0.80901699437494767</v>
      </c>
      <c r="C22" s="23">
        <f t="shared" si="1"/>
        <v>-0.80901699437494534</v>
      </c>
      <c r="D22" s="26">
        <f t="shared" si="2"/>
        <v>2.3314683517128287E-15</v>
      </c>
    </row>
    <row r="23" spans="1:4" x14ac:dyDescent="0.3">
      <c r="A23">
        <v>17</v>
      </c>
      <c r="B23" s="23">
        <f t="shared" si="0"/>
        <v>-0.30901699437494784</v>
      </c>
      <c r="C23" s="23">
        <f t="shared" si="1"/>
        <v>-0.30901699437494723</v>
      </c>
      <c r="D23" s="26">
        <f t="shared" si="2"/>
        <v>6.106226635438361E-16</v>
      </c>
    </row>
    <row r="24" spans="1:4" x14ac:dyDescent="0.3">
      <c r="A24">
        <v>18</v>
      </c>
      <c r="B24" s="23">
        <f t="shared" si="0"/>
        <v>0.30901699437494701</v>
      </c>
      <c r="C24" s="23">
        <f t="shared" si="1"/>
        <v>0.30901699437494445</v>
      </c>
      <c r="D24" s="26">
        <f t="shared" si="2"/>
        <v>2.55351295663786E-15</v>
      </c>
    </row>
    <row r="25" spans="1:4" x14ac:dyDescent="0.3">
      <c r="A25">
        <v>19</v>
      </c>
      <c r="B25" s="23">
        <f t="shared" si="0"/>
        <v>0.80901699437494712</v>
      </c>
      <c r="C25" s="23">
        <f t="shared" si="1"/>
        <v>0.80901699437494368</v>
      </c>
      <c r="D25" s="26">
        <f t="shared" si="2"/>
        <v>3.4416913763379853E-15</v>
      </c>
    </row>
    <row r="26" spans="1:4" x14ac:dyDescent="0.3">
      <c r="A26">
        <v>20</v>
      </c>
      <c r="B26" s="23">
        <f t="shared" si="0"/>
        <v>1</v>
      </c>
      <c r="C26" s="23">
        <f t="shared" si="1"/>
        <v>1</v>
      </c>
      <c r="D26" s="26">
        <f t="shared" si="2"/>
        <v>0</v>
      </c>
    </row>
    <row r="27" spans="1:4" x14ac:dyDescent="0.3">
      <c r="A27">
        <v>21</v>
      </c>
      <c r="B27" s="23">
        <f t="shared" si="0"/>
        <v>0.80901699437494767</v>
      </c>
      <c r="C27" s="23">
        <f t="shared" si="1"/>
        <v>0.80901699437495511</v>
      </c>
      <c r="D27" s="26">
        <f t="shared" si="2"/>
        <v>7.4384942649885488E-15</v>
      </c>
    </row>
    <row r="28" spans="1:4" x14ac:dyDescent="0.3">
      <c r="A28">
        <v>22</v>
      </c>
      <c r="B28" s="23">
        <f t="shared" si="0"/>
        <v>0.30901699437494795</v>
      </c>
      <c r="C28" s="23">
        <f t="shared" si="1"/>
        <v>0.30901699437494956</v>
      </c>
      <c r="D28" s="26">
        <f t="shared" si="2"/>
        <v>1.609823385706477E-15</v>
      </c>
    </row>
    <row r="29" spans="1:4" x14ac:dyDescent="0.3">
      <c r="A29">
        <v>23</v>
      </c>
      <c r="B29" s="23">
        <f t="shared" si="0"/>
        <v>-0.30901699437494856</v>
      </c>
      <c r="C29" s="23">
        <f t="shared" si="1"/>
        <v>-0.30901699437495561</v>
      </c>
      <c r="D29" s="26">
        <f t="shared" si="2"/>
        <v>7.049916206369744E-15</v>
      </c>
    </row>
    <row r="30" spans="1:4" x14ac:dyDescent="0.3">
      <c r="A30">
        <v>24</v>
      </c>
      <c r="B30" s="23">
        <f t="shared" si="0"/>
        <v>-0.80901699437494601</v>
      </c>
      <c r="C30" s="23">
        <f t="shared" si="1"/>
        <v>-0.80901699437495056</v>
      </c>
      <c r="D30" s="26">
        <f t="shared" si="2"/>
        <v>4.5519144009631418E-15</v>
      </c>
    </row>
    <row r="31" spans="1:4" x14ac:dyDescent="0.3">
      <c r="A31">
        <v>25</v>
      </c>
      <c r="B31" s="23">
        <f t="shared" si="0"/>
        <v>-1</v>
      </c>
      <c r="C31" s="23">
        <f t="shared" si="1"/>
        <v>-1</v>
      </c>
      <c r="D31" s="26">
        <f t="shared" si="2"/>
        <v>0</v>
      </c>
    </row>
    <row r="32" spans="1:4" x14ac:dyDescent="0.3">
      <c r="A32">
        <v>26</v>
      </c>
      <c r="B32" s="23">
        <f t="shared" si="0"/>
        <v>-0.80901699437494778</v>
      </c>
      <c r="C32" s="23">
        <f t="shared" si="1"/>
        <v>-0.80901699437494823</v>
      </c>
      <c r="D32" s="26">
        <f t="shared" si="2"/>
        <v>4.4408920985006262E-16</v>
      </c>
    </row>
    <row r="33" spans="1:4" x14ac:dyDescent="0.3">
      <c r="A33">
        <v>27</v>
      </c>
      <c r="B33" s="23">
        <f t="shared" si="0"/>
        <v>-0.30901699437494806</v>
      </c>
      <c r="C33" s="23">
        <f t="shared" si="1"/>
        <v>-0.30901699437492486</v>
      </c>
      <c r="D33" s="26">
        <f t="shared" si="2"/>
        <v>2.3203661214665772E-14</v>
      </c>
    </row>
    <row r="34" spans="1:4" x14ac:dyDescent="0.3">
      <c r="A34">
        <v>28</v>
      </c>
      <c r="B34" s="23">
        <f t="shared" si="0"/>
        <v>0.30901699437494679</v>
      </c>
      <c r="C34" s="23">
        <f t="shared" si="1"/>
        <v>0.30901699437493979</v>
      </c>
      <c r="D34" s="26">
        <f t="shared" si="2"/>
        <v>6.9944050551384862E-15</v>
      </c>
    </row>
    <row r="35" spans="1:4" x14ac:dyDescent="0.3">
      <c r="A35">
        <v>29</v>
      </c>
      <c r="B35" s="23">
        <f t="shared" si="0"/>
        <v>0.80901699437494701</v>
      </c>
      <c r="C35" s="23">
        <f t="shared" si="1"/>
        <v>0.80901699437495744</v>
      </c>
      <c r="D35" s="26">
        <f t="shared" si="2"/>
        <v>1.0436096431476471E-14</v>
      </c>
    </row>
    <row r="36" spans="1:4" x14ac:dyDescent="0.3">
      <c r="A36">
        <v>30</v>
      </c>
      <c r="B36" s="23">
        <f t="shared" si="0"/>
        <v>1</v>
      </c>
      <c r="C36" s="23">
        <f t="shared" si="1"/>
        <v>1</v>
      </c>
      <c r="D36" s="26">
        <f t="shared" si="2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Filters</vt:lpstr>
      <vt:lpstr>PowerSupply</vt:lpstr>
      <vt:lpstr>Faraday</vt:lpstr>
      <vt:lpstr>Aliasing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Bhandohal</cp:lastModifiedBy>
  <dcterms:created xsi:type="dcterms:W3CDTF">2026-10-30T03:26:25Z</dcterms:created>
  <dcterms:modified xsi:type="dcterms:W3CDTF">2026-10-30T03:26:26Z</dcterms:modified>
</cp:coreProperties>
</file>