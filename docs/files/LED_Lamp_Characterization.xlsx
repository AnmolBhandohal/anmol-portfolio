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mol\projects\showcase\out\"/>
    </mc:Choice>
  </mc:AlternateContent>
  <xr:revisionPtr revIDLastSave="0" documentId="13_ncr:1_{DB55988C-2866-40EB-887F-7D8D94F0CE1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Overview" sheetId="1" r:id="rId1"/>
    <sheet name="B3_Linearity" sheetId="2" r:id="rId2"/>
    <sheet name="B3_Raw" sheetId="3" r:id="rId3"/>
    <sheet name="T4_ClosedLoop" sheetId="4" r:id="rId4"/>
    <sheet name="Music_Reactiv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I7" i="5"/>
  <c r="J6" i="5"/>
  <c r="I6" i="5"/>
  <c r="J5" i="5"/>
  <c r="I5" i="5"/>
  <c r="J4" i="5"/>
  <c r="I4" i="5"/>
  <c r="J3" i="5"/>
  <c r="I3" i="5"/>
  <c r="M2" i="5"/>
  <c r="J2" i="5"/>
  <c r="I2" i="5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I4" i="4"/>
  <c r="I5" i="4" s="1"/>
  <c r="H4" i="4"/>
  <c r="H5" i="4" s="1"/>
  <c r="C8" i="1" s="1"/>
  <c r="E4" i="4"/>
  <c r="I3" i="4"/>
  <c r="I6" i="4" s="1"/>
  <c r="C9" i="1" s="1"/>
  <c r="H3" i="4"/>
  <c r="H6" i="4" s="1"/>
  <c r="E3" i="4"/>
  <c r="E2" i="4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I7" i="2" l="1"/>
  <c r="I5" i="2"/>
  <c r="C6" i="1" s="1"/>
  <c r="I4" i="2"/>
  <c r="I3" i="2"/>
  <c r="D4" i="2" l="1"/>
  <c r="E4" i="2" s="1"/>
  <c r="F4" i="2" s="1"/>
  <c r="D5" i="2"/>
  <c r="E5" i="2" s="1"/>
  <c r="F5" i="2" s="1"/>
  <c r="D9" i="2"/>
  <c r="E9" i="2" s="1"/>
  <c r="F9" i="2" s="1"/>
  <c r="D11" i="2"/>
  <c r="E11" i="2" s="1"/>
  <c r="F11" i="2" s="1"/>
  <c r="C5" i="1"/>
  <c r="D2" i="2"/>
  <c r="E2" i="2" s="1"/>
  <c r="F2" i="2" s="1"/>
  <c r="D3" i="2"/>
  <c r="E3" i="2" s="1"/>
  <c r="F3" i="2" s="1"/>
  <c r="D6" i="2"/>
  <c r="E6" i="2" s="1"/>
  <c r="F6" i="2" s="1"/>
  <c r="D7" i="2"/>
  <c r="E7" i="2" s="1"/>
  <c r="F7" i="2" s="1"/>
  <c r="D8" i="2"/>
  <c r="E8" i="2" s="1"/>
  <c r="F8" i="2" s="1"/>
  <c r="D10" i="2"/>
  <c r="E10" i="2" s="1"/>
  <c r="F10" i="2" s="1"/>
  <c r="I6" i="2" l="1"/>
  <c r="C7" i="1" s="1"/>
</calcChain>
</file>

<file path=xl/sharedStrings.xml><?xml version="1.0" encoding="utf-8"?>
<sst xmlns="http://schemas.openxmlformats.org/spreadsheetml/2006/main" count="61" uniqueCount="56">
  <si>
    <t>Adaptive LED Lamp: Characterization</t>
  </si>
  <si>
    <t>All values measured on the bench, Sept 27–28 2026 (ESP32 + BH1750, dark room, sensor 12.7 cm on-axis)</t>
  </si>
  <si>
    <t>Gain (lux per % duty)</t>
  </si>
  <si>
    <t>Linearity R²</t>
  </si>
  <si>
    <t>Worst residual (% of full scale)</t>
  </si>
  <si>
    <t>Closed loop, 11 lx overshoot (lux)</t>
  </si>
  <si>
    <t>Closed loop, 3 lx steady-state error (lux)</t>
  </si>
  <si>
    <t>Sheets: B3_Raw (settled-sample flag) → B3_Linearity (AVERAGEIFS, SLOPE/INTERCEPT/RSQ, residuals, charts) → T4_ClosedLoop (step metrics) → Music_Reactive (styles judged against a beat tracker).</t>
  </si>
  <si>
    <t>Duty (%)</t>
  </si>
  <si>
    <t>Mean lux</t>
  </si>
  <si>
    <t>Samples</t>
  </si>
  <si>
    <t>Predicted (fit)</t>
  </si>
  <si>
    <t>Residual (lux)</t>
  </si>
  <si>
    <t>Residual (% of full scale)</t>
  </si>
  <si>
    <t>Linear fit (Excel)</t>
  </si>
  <si>
    <t>Gain, SLOPE (lux per % duty)</t>
  </si>
  <si>
    <t>Offset, INTERCEPT (lux)</t>
  </si>
  <si>
    <t>Linearity, RSQ</t>
  </si>
  <si>
    <t>Worst residual (% FS)</t>
  </si>
  <si>
    <t>Output at 10 % duty (% of full)</t>
  </si>
  <si>
    <t>Time (ms)</t>
  </si>
  <si>
    <t>Lux (raw)</t>
  </si>
  <si>
    <t>Lux (ambient removed)</t>
  </si>
  <si>
    <t>Use? (1 = settled sample)</t>
  </si>
  <si>
    <t>Time (s)</t>
  </si>
  <si>
    <t>Setpoint (lux)</t>
  </si>
  <si>
    <t>Measured (lux)</t>
  </si>
  <si>
    <t>Controller PWM (%)</t>
  </si>
  <si>
    <t>Error (lux)</t>
  </si>
  <si>
    <t>Step metrics</t>
  </si>
  <si>
    <t>11 lx step</t>
  </si>
  <si>
    <t>3 lx step</t>
  </si>
  <si>
    <t>Settled value (mean of last 10 samples)</t>
  </si>
  <si>
    <t>Peak (up-step) / trough (down-step), lux</t>
  </si>
  <si>
    <t>Overshoot past target (lux)</t>
  </si>
  <si>
    <t>Steady-state error (lux)</t>
  </si>
  <si>
    <t>Style</t>
  </si>
  <si>
    <t>Version</t>
  </si>
  <si>
    <t>Contrast song 1</t>
  </si>
  <si>
    <t>Contrast song 2</t>
  </si>
  <si>
    <t>Dark between song 1 (%)</t>
  </si>
  <si>
    <t>Dark between song 2 (%)</t>
  </si>
  <si>
    <t>Kicks/beat song 1</t>
  </si>
  <si>
    <t>Kicks/beat song 2</t>
  </si>
  <si>
    <t>Mean contrast</t>
  </si>
  <si>
    <t>Mean brightness between beats (%)</t>
  </si>
  <si>
    <t>pulse</t>
  </si>
  <si>
    <t>v3</t>
  </si>
  <si>
    <t>v4 mellow vs v3 pulse, contrast on song 2</t>
  </si>
  <si>
    <t>party</t>
  </si>
  <si>
    <t>Source: led-lamp/tools/judge_session.py (librosa beat tracker as referee). Chosen style highlighted.</t>
  </si>
  <si>
    <t>smooth</t>
  </si>
  <si>
    <t>mellow</t>
  </si>
  <si>
    <t>v4</t>
  </si>
  <si>
    <t>punch</t>
  </si>
  <si>
    <t>punchy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</si>
</sst>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%"/>
    <numFmt numFmtId="167" formatCode="0.0"/>
    <numFmt numFmtId="168" formatCode="0.0&quot;×&quot;"/>
  </numFmts>
  <fonts count="6">
    <font>
      <sz val="11"/>
      <color theme="1"/>
      <name val="Calibri"/>
      <family val="2"/>
      <scheme val="minor"/>
    </font>
    <font>
      <sz val="18"/>
      <color rgb="FF1F3A5F"/>
      <name val="Segoe UI Semibold"/>
    </font>
    <font>
      <sz val="10"/>
      <color rgb="FF8A94A6"/>
      <name val="Segoe UI"/>
    </font>
    <font>
      <b/>
      <sz val="11"/>
      <color rgb="FFFFFFFF"/>
      <name val="Segoe UI"/>
    </font>
    <font>
      <sz val="12"/>
      <color rgb="FF1F3A5F"/>
      <name val="Segoe UI Semibold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F5F3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0" fontId="5" fillId="3" borderId="1" xfId="0" applyNumberFormat="1" applyFont="1" applyFill="1" applyBorder="1"/>
    <xf numFmtId="2" fontId="5" fillId="3" borderId="1" xfId="0" applyNumberFormat="1" applyFont="1" applyFill="1" applyBorder="1"/>
    <xf numFmtId="0" fontId="3" fillId="2" borderId="0" xfId="0" applyFont="1" applyFill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0" fontId="4" fillId="0" borderId="0" xfId="0" applyFont="1"/>
    <xf numFmtId="0" fontId="5" fillId="0" borderId="0" xfId="0" applyFont="1"/>
    <xf numFmtId="164" fontId="5" fillId="3" borderId="0" xfId="0" applyNumberFormat="1" applyFont="1" applyFill="1"/>
    <xf numFmtId="2" fontId="5" fillId="3" borderId="0" xfId="0" applyNumberFormat="1" applyFont="1" applyFill="1"/>
    <xf numFmtId="165" fontId="5" fillId="3" borderId="0" xfId="0" applyNumberFormat="1" applyFont="1" applyFill="1"/>
    <xf numFmtId="10" fontId="5" fillId="3" borderId="0" xfId="0" applyNumberFormat="1" applyFont="1" applyFill="1"/>
    <xf numFmtId="166" fontId="5" fillId="3" borderId="0" xfId="0" applyNumberFormat="1" applyFont="1" applyFill="1"/>
    <xf numFmtId="2" fontId="0" fillId="3" borderId="0" xfId="0" applyNumberFormat="1" applyFill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4" borderId="0" xfId="0" applyFill="1"/>
    <xf numFmtId="164" fontId="0" fillId="4" borderId="0" xfId="0" applyNumberFormat="1" applyFill="1"/>
    <xf numFmtId="167" fontId="0" fillId="4" borderId="0" xfId="0" applyNumberFormat="1" applyFill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Light output vs PWM duty cycle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B3_Linearity!$A$2:$A$11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B3_Linearity!$B$2:$B$11</c:f>
              <c:numCache>
                <c:formatCode>0.00</c:formatCode>
                <c:ptCount val="10"/>
                <c:pt idx="0">
                  <c:v>25.90428571428572</c:v>
                </c:pt>
                <c:pt idx="1">
                  <c:v>51.257142857142867</c:v>
                </c:pt>
                <c:pt idx="2">
                  <c:v>78.33</c:v>
                </c:pt>
                <c:pt idx="3">
                  <c:v>103.73</c:v>
                </c:pt>
                <c:pt idx="4">
                  <c:v>130.69857142857146</c:v>
                </c:pt>
                <c:pt idx="5">
                  <c:v>156.28</c:v>
                </c:pt>
                <c:pt idx="6">
                  <c:v>180.60142857142858</c:v>
                </c:pt>
                <c:pt idx="7">
                  <c:v>208.64142857142861</c:v>
                </c:pt>
                <c:pt idx="8">
                  <c:v>232.96</c:v>
                </c:pt>
                <c:pt idx="9">
                  <c:v>260.73857142857145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D2-482F-8B96-449394ACB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PWM duty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Lux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Residuals from the linear 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B3_Linearity!$E$1</c:f>
              <c:strCache>
                <c:ptCount val="1"/>
                <c:pt idx="0">
                  <c:v>Residual (lux)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B3_Linearity!$A$2:$A$11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B3_Linearity!$E$2:$E$11</c:f>
              <c:numCache>
                <c:formatCode>0.00</c:formatCode>
                <c:ptCount val="10"/>
                <c:pt idx="0">
                  <c:v>7.6909090909097699E-2</c:v>
                </c:pt>
                <c:pt idx="1">
                  <c:v>-0.589515151515144</c:v>
                </c:pt>
                <c:pt idx="2">
                  <c:v>0.46406060606059896</c:v>
                </c:pt>
                <c:pt idx="3">
                  <c:v>-0.15522077922078381</c:v>
                </c:pt>
                <c:pt idx="4">
                  <c:v>0.79406926406929301</c:v>
                </c:pt>
                <c:pt idx="5">
                  <c:v>0.35621645021643644</c:v>
                </c:pt>
                <c:pt idx="6">
                  <c:v>-1.3416363636363542</c:v>
                </c:pt>
                <c:pt idx="7">
                  <c:v>0.67908225108226361</c:v>
                </c:pt>
                <c:pt idx="8">
                  <c:v>-1.0216277056277079</c:v>
                </c:pt>
                <c:pt idx="9">
                  <c:v>0.737662337662357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B66-B2D1-0BA8070F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Duty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Lux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Closed-loop step response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T4_ClosedLoop!$B$1</c:f>
              <c:strCache>
                <c:ptCount val="1"/>
                <c:pt idx="0">
                  <c:v>Setpoint (lux)</c:v>
                </c:pt>
              </c:strCache>
            </c:strRef>
          </c:tx>
          <c:spPr>
            <a:ln w="26000">
              <a:solidFill>
                <a:srgbClr val="E76F51"/>
              </a:solidFill>
              <a:prstDash val="solid"/>
            </a:ln>
          </c:spPr>
          <c:marker>
            <c:symbol val="none"/>
          </c:marker>
          <c:cat>
            <c:numRef>
              <c:f>T4_ClosedLoop!$A$2:$A$74</c:f>
              <c:numCache>
                <c:formatCode>General</c:formatCode>
                <c:ptCount val="7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3.96</c:v>
                </c:pt>
                <c:pt idx="5">
                  <c:v>4.46</c:v>
                </c:pt>
                <c:pt idx="6">
                  <c:v>4.96</c:v>
                </c:pt>
                <c:pt idx="7">
                  <c:v>5.46</c:v>
                </c:pt>
                <c:pt idx="8">
                  <c:v>5.96</c:v>
                </c:pt>
                <c:pt idx="9">
                  <c:v>6.46</c:v>
                </c:pt>
                <c:pt idx="10">
                  <c:v>6.96</c:v>
                </c:pt>
                <c:pt idx="11">
                  <c:v>7.46</c:v>
                </c:pt>
                <c:pt idx="12">
                  <c:v>7.96</c:v>
                </c:pt>
                <c:pt idx="13">
                  <c:v>8.4600000000000009</c:v>
                </c:pt>
                <c:pt idx="14">
                  <c:v>8.9600000000000009</c:v>
                </c:pt>
                <c:pt idx="15">
                  <c:v>9.4600000000000009</c:v>
                </c:pt>
                <c:pt idx="16">
                  <c:v>9.9600000000000009</c:v>
                </c:pt>
                <c:pt idx="17">
                  <c:v>10.46</c:v>
                </c:pt>
                <c:pt idx="18">
                  <c:v>10.96</c:v>
                </c:pt>
                <c:pt idx="19">
                  <c:v>11.46</c:v>
                </c:pt>
                <c:pt idx="20">
                  <c:v>11.96</c:v>
                </c:pt>
                <c:pt idx="21">
                  <c:v>12.46</c:v>
                </c:pt>
                <c:pt idx="22">
                  <c:v>12.96</c:v>
                </c:pt>
                <c:pt idx="23">
                  <c:v>13.46</c:v>
                </c:pt>
                <c:pt idx="24">
                  <c:v>13.96</c:v>
                </c:pt>
                <c:pt idx="25">
                  <c:v>14.46</c:v>
                </c:pt>
                <c:pt idx="26">
                  <c:v>14.96</c:v>
                </c:pt>
                <c:pt idx="27">
                  <c:v>15.46</c:v>
                </c:pt>
                <c:pt idx="28">
                  <c:v>15.96</c:v>
                </c:pt>
                <c:pt idx="29">
                  <c:v>16.46</c:v>
                </c:pt>
                <c:pt idx="30">
                  <c:v>16.96</c:v>
                </c:pt>
                <c:pt idx="31">
                  <c:v>17.46</c:v>
                </c:pt>
                <c:pt idx="32">
                  <c:v>17.96</c:v>
                </c:pt>
                <c:pt idx="33">
                  <c:v>18.46</c:v>
                </c:pt>
                <c:pt idx="34">
                  <c:v>18.96</c:v>
                </c:pt>
                <c:pt idx="35">
                  <c:v>19.46</c:v>
                </c:pt>
                <c:pt idx="36">
                  <c:v>19.96</c:v>
                </c:pt>
                <c:pt idx="37">
                  <c:v>20.46</c:v>
                </c:pt>
                <c:pt idx="38">
                  <c:v>20.96</c:v>
                </c:pt>
                <c:pt idx="39">
                  <c:v>21.46</c:v>
                </c:pt>
                <c:pt idx="40">
                  <c:v>21.96</c:v>
                </c:pt>
                <c:pt idx="41">
                  <c:v>22.46</c:v>
                </c:pt>
                <c:pt idx="42">
                  <c:v>22.96</c:v>
                </c:pt>
                <c:pt idx="43">
                  <c:v>23.46</c:v>
                </c:pt>
                <c:pt idx="44">
                  <c:v>23.96</c:v>
                </c:pt>
                <c:pt idx="45">
                  <c:v>24.46</c:v>
                </c:pt>
                <c:pt idx="46">
                  <c:v>24.96</c:v>
                </c:pt>
                <c:pt idx="47">
                  <c:v>25.46</c:v>
                </c:pt>
                <c:pt idx="48">
                  <c:v>25.96</c:v>
                </c:pt>
                <c:pt idx="49">
                  <c:v>26.46</c:v>
                </c:pt>
                <c:pt idx="50">
                  <c:v>26.96</c:v>
                </c:pt>
                <c:pt idx="51">
                  <c:v>27.46</c:v>
                </c:pt>
                <c:pt idx="52">
                  <c:v>27.96</c:v>
                </c:pt>
                <c:pt idx="53">
                  <c:v>28.46</c:v>
                </c:pt>
                <c:pt idx="54">
                  <c:v>28.96</c:v>
                </c:pt>
                <c:pt idx="55">
                  <c:v>29.46</c:v>
                </c:pt>
                <c:pt idx="56">
                  <c:v>29.96</c:v>
                </c:pt>
                <c:pt idx="57">
                  <c:v>30.46</c:v>
                </c:pt>
                <c:pt idx="58">
                  <c:v>30.96</c:v>
                </c:pt>
                <c:pt idx="59">
                  <c:v>31.46</c:v>
                </c:pt>
                <c:pt idx="60">
                  <c:v>31.96</c:v>
                </c:pt>
                <c:pt idx="61">
                  <c:v>32.46</c:v>
                </c:pt>
                <c:pt idx="62">
                  <c:v>32.96</c:v>
                </c:pt>
                <c:pt idx="63">
                  <c:v>33.46</c:v>
                </c:pt>
                <c:pt idx="64">
                  <c:v>33.96</c:v>
                </c:pt>
                <c:pt idx="65">
                  <c:v>34.46</c:v>
                </c:pt>
                <c:pt idx="66">
                  <c:v>34.96</c:v>
                </c:pt>
                <c:pt idx="67">
                  <c:v>35.46</c:v>
                </c:pt>
                <c:pt idx="68">
                  <c:v>35.96</c:v>
                </c:pt>
                <c:pt idx="69">
                  <c:v>36.46</c:v>
                </c:pt>
                <c:pt idx="70">
                  <c:v>36.96</c:v>
                </c:pt>
                <c:pt idx="71">
                  <c:v>37.46</c:v>
                </c:pt>
                <c:pt idx="72">
                  <c:v>37.96</c:v>
                </c:pt>
              </c:numCache>
            </c:numRef>
          </c:cat>
          <c:val>
            <c:numRef>
              <c:f>T4_ClosedLoop!$B$2:$B$74</c:f>
              <c:numCache>
                <c:formatCode>General</c:formatCode>
                <c:ptCount val="73"/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19-43F0-BE0B-1F3CE59E3446}"/>
            </c:ext>
          </c:extLst>
        </c:ser>
        <c:ser>
          <c:idx val="1"/>
          <c:order val="1"/>
          <c:tx>
            <c:strRef>
              <c:f>T4_ClosedLoop!$C$1</c:f>
              <c:strCache>
                <c:ptCount val="1"/>
                <c:pt idx="0">
                  <c:v>Measured (lux)</c:v>
                </c:pt>
              </c:strCache>
            </c:strRef>
          </c:tx>
          <c:spPr>
            <a:ln w="26000">
              <a:solidFill>
                <a:srgbClr val="1F3A5F"/>
              </a:solidFill>
              <a:prstDash val="solid"/>
            </a:ln>
          </c:spPr>
          <c:marker>
            <c:symbol val="none"/>
          </c:marker>
          <c:cat>
            <c:numRef>
              <c:f>T4_ClosedLoop!$A$2:$A$74</c:f>
              <c:numCache>
                <c:formatCode>General</c:formatCode>
                <c:ptCount val="7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3.96</c:v>
                </c:pt>
                <c:pt idx="5">
                  <c:v>4.46</c:v>
                </c:pt>
                <c:pt idx="6">
                  <c:v>4.96</c:v>
                </c:pt>
                <c:pt idx="7">
                  <c:v>5.46</c:v>
                </c:pt>
                <c:pt idx="8">
                  <c:v>5.96</c:v>
                </c:pt>
                <c:pt idx="9">
                  <c:v>6.46</c:v>
                </c:pt>
                <c:pt idx="10">
                  <c:v>6.96</c:v>
                </c:pt>
                <c:pt idx="11">
                  <c:v>7.46</c:v>
                </c:pt>
                <c:pt idx="12">
                  <c:v>7.96</c:v>
                </c:pt>
                <c:pt idx="13">
                  <c:v>8.4600000000000009</c:v>
                </c:pt>
                <c:pt idx="14">
                  <c:v>8.9600000000000009</c:v>
                </c:pt>
                <c:pt idx="15">
                  <c:v>9.4600000000000009</c:v>
                </c:pt>
                <c:pt idx="16">
                  <c:v>9.9600000000000009</c:v>
                </c:pt>
                <c:pt idx="17">
                  <c:v>10.46</c:v>
                </c:pt>
                <c:pt idx="18">
                  <c:v>10.96</c:v>
                </c:pt>
                <c:pt idx="19">
                  <c:v>11.46</c:v>
                </c:pt>
                <c:pt idx="20">
                  <c:v>11.96</c:v>
                </c:pt>
                <c:pt idx="21">
                  <c:v>12.46</c:v>
                </c:pt>
                <c:pt idx="22">
                  <c:v>12.96</c:v>
                </c:pt>
                <c:pt idx="23">
                  <c:v>13.46</c:v>
                </c:pt>
                <c:pt idx="24">
                  <c:v>13.96</c:v>
                </c:pt>
                <c:pt idx="25">
                  <c:v>14.46</c:v>
                </c:pt>
                <c:pt idx="26">
                  <c:v>14.96</c:v>
                </c:pt>
                <c:pt idx="27">
                  <c:v>15.46</c:v>
                </c:pt>
                <c:pt idx="28">
                  <c:v>15.96</c:v>
                </c:pt>
                <c:pt idx="29">
                  <c:v>16.46</c:v>
                </c:pt>
                <c:pt idx="30">
                  <c:v>16.96</c:v>
                </c:pt>
                <c:pt idx="31">
                  <c:v>17.46</c:v>
                </c:pt>
                <c:pt idx="32">
                  <c:v>17.96</c:v>
                </c:pt>
                <c:pt idx="33">
                  <c:v>18.46</c:v>
                </c:pt>
                <c:pt idx="34">
                  <c:v>18.96</c:v>
                </c:pt>
                <c:pt idx="35">
                  <c:v>19.46</c:v>
                </c:pt>
                <c:pt idx="36">
                  <c:v>19.96</c:v>
                </c:pt>
                <c:pt idx="37">
                  <c:v>20.46</c:v>
                </c:pt>
                <c:pt idx="38">
                  <c:v>20.96</c:v>
                </c:pt>
                <c:pt idx="39">
                  <c:v>21.46</c:v>
                </c:pt>
                <c:pt idx="40">
                  <c:v>21.96</c:v>
                </c:pt>
                <c:pt idx="41">
                  <c:v>22.46</c:v>
                </c:pt>
                <c:pt idx="42">
                  <c:v>22.96</c:v>
                </c:pt>
                <c:pt idx="43">
                  <c:v>23.46</c:v>
                </c:pt>
                <c:pt idx="44">
                  <c:v>23.96</c:v>
                </c:pt>
                <c:pt idx="45">
                  <c:v>24.46</c:v>
                </c:pt>
                <c:pt idx="46">
                  <c:v>24.96</c:v>
                </c:pt>
                <c:pt idx="47">
                  <c:v>25.46</c:v>
                </c:pt>
                <c:pt idx="48">
                  <c:v>25.96</c:v>
                </c:pt>
                <c:pt idx="49">
                  <c:v>26.46</c:v>
                </c:pt>
                <c:pt idx="50">
                  <c:v>26.96</c:v>
                </c:pt>
                <c:pt idx="51">
                  <c:v>27.46</c:v>
                </c:pt>
                <c:pt idx="52">
                  <c:v>27.96</c:v>
                </c:pt>
                <c:pt idx="53">
                  <c:v>28.46</c:v>
                </c:pt>
                <c:pt idx="54">
                  <c:v>28.96</c:v>
                </c:pt>
                <c:pt idx="55">
                  <c:v>29.46</c:v>
                </c:pt>
                <c:pt idx="56">
                  <c:v>29.96</c:v>
                </c:pt>
                <c:pt idx="57">
                  <c:v>30.46</c:v>
                </c:pt>
                <c:pt idx="58">
                  <c:v>30.96</c:v>
                </c:pt>
                <c:pt idx="59">
                  <c:v>31.46</c:v>
                </c:pt>
                <c:pt idx="60">
                  <c:v>31.96</c:v>
                </c:pt>
                <c:pt idx="61">
                  <c:v>32.46</c:v>
                </c:pt>
                <c:pt idx="62">
                  <c:v>32.96</c:v>
                </c:pt>
                <c:pt idx="63">
                  <c:v>33.46</c:v>
                </c:pt>
                <c:pt idx="64">
                  <c:v>33.96</c:v>
                </c:pt>
                <c:pt idx="65">
                  <c:v>34.46</c:v>
                </c:pt>
                <c:pt idx="66">
                  <c:v>34.96</c:v>
                </c:pt>
                <c:pt idx="67">
                  <c:v>35.46</c:v>
                </c:pt>
                <c:pt idx="68">
                  <c:v>35.96</c:v>
                </c:pt>
                <c:pt idx="69">
                  <c:v>36.46</c:v>
                </c:pt>
                <c:pt idx="70">
                  <c:v>36.96</c:v>
                </c:pt>
                <c:pt idx="71">
                  <c:v>37.46</c:v>
                </c:pt>
                <c:pt idx="72">
                  <c:v>37.96</c:v>
                </c:pt>
              </c:numCache>
            </c:numRef>
          </c:cat>
          <c:val>
            <c:numRef>
              <c:f>T4_ClosedLoop!$C$2:$C$74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8.3800000000000008</c:v>
                </c:pt>
                <c:pt idx="5">
                  <c:v>8.3800000000000008</c:v>
                </c:pt>
                <c:pt idx="6">
                  <c:v>7.92</c:v>
                </c:pt>
                <c:pt idx="7">
                  <c:v>7.02</c:v>
                </c:pt>
                <c:pt idx="8">
                  <c:v>6.23</c:v>
                </c:pt>
                <c:pt idx="9">
                  <c:v>5.55</c:v>
                </c:pt>
                <c:pt idx="10">
                  <c:v>5.21</c:v>
                </c:pt>
                <c:pt idx="11">
                  <c:v>5.66</c:v>
                </c:pt>
                <c:pt idx="12">
                  <c:v>6.68</c:v>
                </c:pt>
                <c:pt idx="13">
                  <c:v>7.58</c:v>
                </c:pt>
                <c:pt idx="14">
                  <c:v>8.49</c:v>
                </c:pt>
                <c:pt idx="15">
                  <c:v>9.51</c:v>
                </c:pt>
                <c:pt idx="16">
                  <c:v>10.3</c:v>
                </c:pt>
                <c:pt idx="17">
                  <c:v>11.09</c:v>
                </c:pt>
                <c:pt idx="18">
                  <c:v>11.21</c:v>
                </c:pt>
                <c:pt idx="19">
                  <c:v>11.21</c:v>
                </c:pt>
                <c:pt idx="20">
                  <c:v>11.09</c:v>
                </c:pt>
                <c:pt idx="21">
                  <c:v>11.09</c:v>
                </c:pt>
                <c:pt idx="22">
                  <c:v>10.98</c:v>
                </c:pt>
                <c:pt idx="23">
                  <c:v>11.09</c:v>
                </c:pt>
                <c:pt idx="24">
                  <c:v>10.98</c:v>
                </c:pt>
                <c:pt idx="25">
                  <c:v>10.98</c:v>
                </c:pt>
                <c:pt idx="26">
                  <c:v>10.98</c:v>
                </c:pt>
                <c:pt idx="27">
                  <c:v>10.98</c:v>
                </c:pt>
                <c:pt idx="28">
                  <c:v>10.98</c:v>
                </c:pt>
                <c:pt idx="29">
                  <c:v>10.98</c:v>
                </c:pt>
                <c:pt idx="30">
                  <c:v>10.98</c:v>
                </c:pt>
                <c:pt idx="31">
                  <c:v>10.98</c:v>
                </c:pt>
                <c:pt idx="32">
                  <c:v>10.98</c:v>
                </c:pt>
                <c:pt idx="33">
                  <c:v>10.98</c:v>
                </c:pt>
                <c:pt idx="34">
                  <c:v>10.98</c:v>
                </c:pt>
                <c:pt idx="35">
                  <c:v>10.75</c:v>
                </c:pt>
                <c:pt idx="36">
                  <c:v>9.73</c:v>
                </c:pt>
                <c:pt idx="37">
                  <c:v>8.83</c:v>
                </c:pt>
                <c:pt idx="38">
                  <c:v>7.81</c:v>
                </c:pt>
                <c:pt idx="39">
                  <c:v>6</c:v>
                </c:pt>
                <c:pt idx="40">
                  <c:v>5.09</c:v>
                </c:pt>
                <c:pt idx="41">
                  <c:v>4.1900000000000004</c:v>
                </c:pt>
                <c:pt idx="42">
                  <c:v>3.62</c:v>
                </c:pt>
                <c:pt idx="43">
                  <c:v>3.28</c:v>
                </c:pt>
                <c:pt idx="44">
                  <c:v>2.94</c:v>
                </c:pt>
                <c:pt idx="45">
                  <c:v>2.83</c:v>
                </c:pt>
                <c:pt idx="46">
                  <c:v>2.94</c:v>
                </c:pt>
                <c:pt idx="47">
                  <c:v>2.94</c:v>
                </c:pt>
                <c:pt idx="48">
                  <c:v>2.94</c:v>
                </c:pt>
                <c:pt idx="49">
                  <c:v>2.94</c:v>
                </c:pt>
                <c:pt idx="50">
                  <c:v>3.06</c:v>
                </c:pt>
                <c:pt idx="51">
                  <c:v>3.06</c:v>
                </c:pt>
                <c:pt idx="52">
                  <c:v>3.06</c:v>
                </c:pt>
                <c:pt idx="53">
                  <c:v>2.94</c:v>
                </c:pt>
                <c:pt idx="54">
                  <c:v>2.94</c:v>
                </c:pt>
                <c:pt idx="55">
                  <c:v>2.94</c:v>
                </c:pt>
                <c:pt idx="56">
                  <c:v>3.06</c:v>
                </c:pt>
                <c:pt idx="57">
                  <c:v>3.06</c:v>
                </c:pt>
                <c:pt idx="58">
                  <c:v>3.06</c:v>
                </c:pt>
                <c:pt idx="59">
                  <c:v>2.94</c:v>
                </c:pt>
                <c:pt idx="60">
                  <c:v>2.94</c:v>
                </c:pt>
                <c:pt idx="61">
                  <c:v>3.06</c:v>
                </c:pt>
                <c:pt idx="62">
                  <c:v>3.06</c:v>
                </c:pt>
                <c:pt idx="63">
                  <c:v>2.94</c:v>
                </c:pt>
                <c:pt idx="64">
                  <c:v>2.94</c:v>
                </c:pt>
                <c:pt idx="65">
                  <c:v>3.06</c:v>
                </c:pt>
                <c:pt idx="66">
                  <c:v>2.94</c:v>
                </c:pt>
                <c:pt idx="67">
                  <c:v>2.94</c:v>
                </c:pt>
                <c:pt idx="68">
                  <c:v>3.06</c:v>
                </c:pt>
                <c:pt idx="69">
                  <c:v>3.06</c:v>
                </c:pt>
                <c:pt idx="70">
                  <c:v>3.06</c:v>
                </c:pt>
                <c:pt idx="71">
                  <c:v>3.06</c:v>
                </c:pt>
                <c:pt idx="72">
                  <c:v>3.06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19-43F0-BE0B-1F3CE59E3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8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Lux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Punch vs calm: six styles on two real songs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v3 styles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Music_Reactive!$J$2:$J$4</c:f>
              <c:numCache>
                <c:formatCode>0.0</c:formatCode>
                <c:ptCount val="3"/>
                <c:pt idx="0">
                  <c:v>32.5</c:v>
                </c:pt>
                <c:pt idx="1">
                  <c:v>21</c:v>
                </c:pt>
                <c:pt idx="2">
                  <c:v>51.5</c:v>
                </c:pt>
              </c:numCache>
            </c:numRef>
          </c:xVal>
          <c:yVal>
            <c:numRef>
              <c:f>Music_Reactive!$I$2:$I$4</c:f>
              <c:numCache>
                <c:formatCode>0.000</c:formatCode>
                <c:ptCount val="3"/>
                <c:pt idx="0">
                  <c:v>8.4999999999999992E-2</c:v>
                </c:pt>
                <c:pt idx="1">
                  <c:v>0.15</c:v>
                </c:pt>
                <c:pt idx="2">
                  <c:v>4.5000000000000005E-2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2D-49A2-B4EF-3728180A5DE8}"/>
            </c:ext>
          </c:extLst>
        </c:ser>
        <c:ser>
          <c:idx val="1"/>
          <c:order val="1"/>
          <c:tx>
            <c:v>v4 styles</c:v>
          </c:tx>
          <c:spPr>
            <a:ln>
              <a:noFill/>
              <a:prstDash val="solid"/>
            </a:ln>
          </c:spPr>
          <c:marker>
            <c:symbol val="circle"/>
            <c:size val="10"/>
            <c:spPr>
              <a:ln>
                <a:prstDash val="solid"/>
              </a:ln>
            </c:spPr>
          </c:marker>
          <c:xVal>
            <c:numRef>
              <c:f>Music_Reactive!$J$5:$J$7</c:f>
              <c:numCache>
                <c:formatCode>0.0</c:formatCode>
                <c:ptCount val="3"/>
                <c:pt idx="0">
                  <c:v>58</c:v>
                </c:pt>
                <c:pt idx="1">
                  <c:v>32.5</c:v>
                </c:pt>
                <c:pt idx="2">
                  <c:v>23</c:v>
                </c:pt>
              </c:numCache>
            </c:numRef>
          </c:xVal>
          <c:yVal>
            <c:numRef>
              <c:f>Music_Reactive!$I$5:$I$7</c:f>
              <c:numCache>
                <c:formatCode>0.000</c:formatCode>
                <c:ptCount val="3"/>
                <c:pt idx="0">
                  <c:v>0.46</c:v>
                </c:pt>
                <c:pt idx="1">
                  <c:v>0.56999999999999995</c:v>
                </c:pt>
                <c:pt idx="2">
                  <c:v>0.60499999999999998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D-49A2-B4EF-3728180A5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Brightness left on between beats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Beat contrast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30</xdr:row>
      <xdr:rowOff>0</xdr:rowOff>
    </xdr:from>
    <xdr:ext cx="64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3" displayName="tblB3" ref="A1:E114">
  <autoFilter ref="A1:E114" xr:uid="{00000000-0009-0000-0100-000001000000}"/>
  <tableColumns count="5">
    <tableColumn id="1" xr3:uid="{00000000-0010-0000-0000-000001000000}" name="Time (ms)"/>
    <tableColumn id="2" xr3:uid="{00000000-0010-0000-0000-000002000000}" name="Duty (%)"/>
    <tableColumn id="3" xr3:uid="{00000000-0010-0000-0000-000003000000}" name="Lux (raw)"/>
    <tableColumn id="4" xr3:uid="{00000000-0010-0000-0000-000004000000}" name="Lux (ambient removed)"/>
    <tableColumn id="5" xr3:uid="{00000000-0010-0000-0000-000005000000}" name="Use? (1 = settled sample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usic" displayName="tblMusic" ref="A1:J7">
  <autoFilter ref="A1:J7" xr:uid="{00000000-0009-0000-0100-000002000000}"/>
  <tableColumns count="10">
    <tableColumn id="1" xr3:uid="{00000000-0010-0000-0100-000001000000}" name="Style"/>
    <tableColumn id="2" xr3:uid="{00000000-0010-0000-0100-000002000000}" name="Version"/>
    <tableColumn id="3" xr3:uid="{00000000-0010-0000-0100-000003000000}" name="Contrast song 1"/>
    <tableColumn id="4" xr3:uid="{00000000-0010-0000-0100-000004000000}" name="Contrast song 2"/>
    <tableColumn id="5" xr3:uid="{00000000-0010-0000-0100-000005000000}" name="Dark between song 1 (%)"/>
    <tableColumn id="6" xr3:uid="{00000000-0010-0000-0100-000006000000}" name="Dark between song 2 (%)"/>
    <tableColumn id="7" xr3:uid="{00000000-0010-0000-0100-000007000000}" name="Kicks/beat song 1"/>
    <tableColumn id="8" xr3:uid="{00000000-0010-0000-0100-000008000000}" name="Kicks/beat song 2"/>
    <tableColumn id="9" xr3:uid="{00000000-0010-0000-0100-000009000000}" name="Mean contrast"/>
    <tableColumn id="10" xr3:uid="{00000000-0010-0000-0100-00000A000000}" name="Mean brightness between beats (%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showGridLines="0" tabSelected="1" workbookViewId="0"/>
  </sheetViews>
  <sheetFormatPr defaultRowHeight="14.4"/>
  <cols>
    <col min="1" max="1" width="3" customWidth="1"/>
    <col min="2" max="2" width="38" customWidth="1"/>
    <col min="3" max="3" width="62" customWidth="1"/>
  </cols>
  <sheetData>
    <row r="2" spans="2:3" ht="27">
      <c r="B2" s="1" t="s">
        <v>0</v>
      </c>
    </row>
    <row r="3" spans="2:3" ht="15">
      <c r="B3" s="2" t="s">
        <v>1</v>
      </c>
    </row>
    <row r="5" spans="2:3" ht="15">
      <c r="B5" s="3" t="s">
        <v>2</v>
      </c>
      <c r="C5" s="4">
        <f>B3_Linearity!I3</f>
        <v>2.6019281385281388</v>
      </c>
    </row>
    <row r="6" spans="2:3" ht="15">
      <c r="B6" s="3" t="s">
        <v>3</v>
      </c>
      <c r="C6" s="5">
        <f>B3_Linearity!I5</f>
        <v>0.99990691862109649</v>
      </c>
    </row>
    <row r="7" spans="2:3" ht="15">
      <c r="B7" s="3" t="s">
        <v>4</v>
      </c>
      <c r="C7" s="6">
        <f>B3_Linearity!I6</f>
        <v>5.1455231816512868E-3</v>
      </c>
    </row>
    <row r="8" spans="2:3" ht="15">
      <c r="B8" s="3" t="s">
        <v>5</v>
      </c>
      <c r="C8" s="7">
        <f>T4_ClosedLoop!H5</f>
        <v>0.21000000000000085</v>
      </c>
    </row>
    <row r="9" spans="2:3" ht="15">
      <c r="B9" s="3" t="s">
        <v>6</v>
      </c>
      <c r="C9" s="7">
        <f>T4_ClosedLoop!I6</f>
        <v>6.0000000000002274E-3</v>
      </c>
    </row>
    <row r="11" spans="2:3" ht="30" customHeight="1">
      <c r="B11" s="25" t="s">
        <v>7</v>
      </c>
      <c r="C11" s="26"/>
    </row>
  </sheetData>
  <mergeCells count="1">
    <mergeCell ref="B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  <pageSetUpPr fitToPage="1"/>
  </sheetPr>
  <dimension ref="A1:I11"/>
  <sheetViews>
    <sheetView workbookViewId="0"/>
  </sheetViews>
  <sheetFormatPr defaultRowHeight="14.4"/>
  <cols>
    <col min="1" max="1" width="10" customWidth="1"/>
    <col min="2" max="2" width="12" customWidth="1"/>
    <col min="3" max="3" width="10" customWidth="1"/>
    <col min="4" max="5" width="14" customWidth="1"/>
    <col min="6" max="6" width="22" customWidth="1"/>
    <col min="8" max="8" width="30" customWidth="1"/>
    <col min="9" max="9" width="14" customWidth="1"/>
  </cols>
  <sheetData>
    <row r="1" spans="1:9" ht="30" customHeight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</row>
    <row r="2" spans="1:9" ht="19.2">
      <c r="A2">
        <v>10</v>
      </c>
      <c r="B2" s="9">
        <f>AVERAGEIFS(B3_Raw!$D$2:$D$114,B3_Raw!$B$2:$B$114,A2,B3_Raw!$E$2:$E$114,1)</f>
        <v>25.90428571428572</v>
      </c>
      <c r="C2">
        <f>COUNTIFS(B3_Raw!$B$2:$B$114,A2,B3_Raw!$E$2:$E$114,1)</f>
        <v>7</v>
      </c>
      <c r="D2" s="9">
        <f t="shared" ref="D2:D11" si="0">$I$3*A2+$I$4</f>
        <v>25.827376623376622</v>
      </c>
      <c r="E2" s="9">
        <f t="shared" ref="E2:E11" si="1">B2-D2</f>
        <v>7.6909090909097699E-2</v>
      </c>
      <c r="F2" s="10">
        <f t="shared" ref="F2:F11" si="2">E2/MAX($B$2:$B$11)</f>
        <v>2.9496629703736299E-4</v>
      </c>
      <c r="H2" s="11" t="s">
        <v>14</v>
      </c>
    </row>
    <row r="3" spans="1:9" ht="15">
      <c r="A3">
        <v>20</v>
      </c>
      <c r="B3" s="9">
        <f>AVERAGEIFS(B3_Raw!$D$2:$D$114,B3_Raw!$B$2:$B$114,A3,B3_Raw!$E$2:$E$114,1)</f>
        <v>51.257142857142867</v>
      </c>
      <c r="C3">
        <f>COUNTIFS(B3_Raw!$B$2:$B$114,A3,B3_Raw!$E$2:$E$114,1)</f>
        <v>7</v>
      </c>
      <c r="D3" s="9">
        <f t="shared" si="0"/>
        <v>51.846658008658011</v>
      </c>
      <c r="E3" s="9">
        <f t="shared" si="1"/>
        <v>-0.589515151515144</v>
      </c>
      <c r="F3" s="10">
        <f t="shared" si="2"/>
        <v>-2.2609433973854532E-3</v>
      </c>
      <c r="H3" s="12" t="s">
        <v>15</v>
      </c>
      <c r="I3" s="13">
        <f>SLOPE(B2:B11,A2:A11)</f>
        <v>2.6019281385281388</v>
      </c>
    </row>
    <row r="4" spans="1:9" ht="15">
      <c r="A4">
        <v>30</v>
      </c>
      <c r="B4" s="9">
        <f>AVERAGEIFS(B3_Raw!$D$2:$D$114,B3_Raw!$B$2:$B$114,A4,B3_Raw!$E$2:$E$114,1)</f>
        <v>78.33</v>
      </c>
      <c r="C4">
        <f>COUNTIFS(B3_Raw!$B$2:$B$114,A4,B3_Raw!$E$2:$E$114,1)</f>
        <v>7</v>
      </c>
      <c r="D4" s="9">
        <f t="shared" si="0"/>
        <v>77.865939393939399</v>
      </c>
      <c r="E4" s="9">
        <f t="shared" si="1"/>
        <v>0.46406060606059896</v>
      </c>
      <c r="F4" s="10">
        <f t="shared" si="2"/>
        <v>1.779792700090508E-3</v>
      </c>
      <c r="H4" s="12" t="s">
        <v>16</v>
      </c>
      <c r="I4" s="14">
        <f>INTERCEPT(B2:B11,A2:A11)</f>
        <v>-0.19190476190476602</v>
      </c>
    </row>
    <row r="5" spans="1:9" ht="15">
      <c r="A5">
        <v>40</v>
      </c>
      <c r="B5" s="9">
        <f>AVERAGEIFS(B3_Raw!$D$2:$D$114,B3_Raw!$B$2:$B$114,A5,B3_Raw!$E$2:$E$114,1)</f>
        <v>103.73</v>
      </c>
      <c r="C5">
        <f>COUNTIFS(B3_Raw!$B$2:$B$114,A5,B3_Raw!$E$2:$E$114,1)</f>
        <v>7</v>
      </c>
      <c r="D5" s="9">
        <f t="shared" si="0"/>
        <v>103.88522077922079</v>
      </c>
      <c r="E5" s="9">
        <f t="shared" si="1"/>
        <v>-0.15522077922078381</v>
      </c>
      <c r="F5" s="10">
        <f t="shared" si="2"/>
        <v>-5.9531191864072204E-4</v>
      </c>
      <c r="H5" s="12" t="s">
        <v>17</v>
      </c>
      <c r="I5" s="15">
        <f>RSQ(B2:B11,A2:A11)</f>
        <v>0.99990691862109649</v>
      </c>
    </row>
    <row r="6" spans="1:9" ht="15">
      <c r="A6">
        <v>50</v>
      </c>
      <c r="B6" s="9">
        <f>AVERAGEIFS(B3_Raw!$D$2:$D$114,B3_Raw!$B$2:$B$114,A6,B3_Raw!$E$2:$E$114,1)</f>
        <v>130.69857142857146</v>
      </c>
      <c r="C6">
        <f>COUNTIFS(B3_Raw!$B$2:$B$114,A6,B3_Raw!$E$2:$E$114,1)</f>
        <v>7</v>
      </c>
      <c r="D6" s="9">
        <f t="shared" si="0"/>
        <v>129.90450216450216</v>
      </c>
      <c r="E6" s="9">
        <f t="shared" si="1"/>
        <v>0.79406926406929301</v>
      </c>
      <c r="F6" s="10">
        <f t="shared" si="2"/>
        <v>3.0454614356388997E-3</v>
      </c>
      <c r="H6" s="12" t="s">
        <v>18</v>
      </c>
      <c r="I6" s="16">
        <f>MAX(ABS(MIN(F2:F11)),MAX(F2:F11))</f>
        <v>5.1455231816512868E-3</v>
      </c>
    </row>
    <row r="7" spans="1:9" ht="15">
      <c r="A7">
        <v>60</v>
      </c>
      <c r="B7" s="9">
        <f>AVERAGEIFS(B3_Raw!$D$2:$D$114,B3_Raw!$B$2:$B$114,A7,B3_Raw!$E$2:$E$114,1)</f>
        <v>156.28</v>
      </c>
      <c r="C7">
        <f>COUNTIFS(B3_Raw!$B$2:$B$114,A7,B3_Raw!$E$2:$E$114,1)</f>
        <v>7</v>
      </c>
      <c r="D7" s="9">
        <f t="shared" si="0"/>
        <v>155.92378354978356</v>
      </c>
      <c r="E7" s="9">
        <f t="shared" si="1"/>
        <v>0.35621645021643644</v>
      </c>
      <c r="F7" s="10">
        <f t="shared" si="2"/>
        <v>1.3661824112356957E-3</v>
      </c>
      <c r="H7" s="12" t="s">
        <v>19</v>
      </c>
      <c r="I7" s="17">
        <f>B2/B11</f>
        <v>9.9349649621679095E-2</v>
      </c>
    </row>
    <row r="8" spans="1:9">
      <c r="A8">
        <v>70</v>
      </c>
      <c r="B8" s="9">
        <f>AVERAGEIFS(B3_Raw!$D$2:$D$114,B3_Raw!$B$2:$B$114,A8,B3_Raw!$E$2:$E$114,1)</f>
        <v>180.60142857142858</v>
      </c>
      <c r="C8">
        <f>COUNTIFS(B3_Raw!$B$2:$B$114,A8,B3_Raw!$E$2:$E$114,1)</f>
        <v>7</v>
      </c>
      <c r="D8" s="9">
        <f t="shared" si="0"/>
        <v>181.94306493506494</v>
      </c>
      <c r="E8" s="9">
        <f t="shared" si="1"/>
        <v>-1.3416363636363542</v>
      </c>
      <c r="F8" s="10">
        <f t="shared" si="2"/>
        <v>-5.1455231816512868E-3</v>
      </c>
    </row>
    <row r="9" spans="1:9">
      <c r="A9">
        <v>80</v>
      </c>
      <c r="B9" s="9">
        <f>AVERAGEIFS(B3_Raw!$D$2:$D$114,B3_Raw!$B$2:$B$114,A9,B3_Raw!$E$2:$E$114,1)</f>
        <v>208.64142857142861</v>
      </c>
      <c r="C9">
        <f>COUNTIFS(B3_Raw!$B$2:$B$114,A9,B3_Raw!$E$2:$E$114,1)</f>
        <v>7</v>
      </c>
      <c r="D9" s="9">
        <f t="shared" si="0"/>
        <v>207.96234632034634</v>
      </c>
      <c r="E9" s="9">
        <f t="shared" si="1"/>
        <v>0.67908225108226361</v>
      </c>
      <c r="F9" s="10">
        <f t="shared" si="2"/>
        <v>2.6044564383459323E-3</v>
      </c>
    </row>
    <row r="10" spans="1:9">
      <c r="A10">
        <v>90</v>
      </c>
      <c r="B10" s="9">
        <f>AVERAGEIFS(B3_Raw!$D$2:$D$114,B3_Raw!$B$2:$B$114,A10,B3_Raw!$E$2:$E$114,1)</f>
        <v>232.96</v>
      </c>
      <c r="C10">
        <f>COUNTIFS(B3_Raw!$B$2:$B$114,A10,B3_Raw!$E$2:$E$114,1)</f>
        <v>7</v>
      </c>
      <c r="D10" s="9">
        <f t="shared" si="0"/>
        <v>233.98162770562772</v>
      </c>
      <c r="E10" s="9">
        <f t="shared" si="1"/>
        <v>-1.0216277056277079</v>
      </c>
      <c r="F10" s="10">
        <f t="shared" si="2"/>
        <v>-3.9182070379164434E-3</v>
      </c>
    </row>
    <row r="11" spans="1:9">
      <c r="A11">
        <v>100</v>
      </c>
      <c r="B11" s="9">
        <f>AVERAGEIFS(B3_Raw!$D$2:$D$114,B3_Raw!$B$2:$B$114,A11,B3_Raw!$E$2:$E$114,1)</f>
        <v>260.73857142857145</v>
      </c>
      <c r="C11">
        <f>COUNTIFS(B3_Raw!$B$2:$B$114,A11,B3_Raw!$E$2:$E$114,1)</f>
        <v>7</v>
      </c>
      <c r="D11" s="9">
        <f t="shared" si="0"/>
        <v>260.00090909090909</v>
      </c>
      <c r="E11" s="9">
        <f t="shared" si="1"/>
        <v>0.737662337662357</v>
      </c>
      <c r="F11" s="10">
        <f t="shared" si="2"/>
        <v>2.8291262532457243E-3</v>
      </c>
    </row>
  </sheetData>
  <pageMargins left="0.75" right="0.75" top="1" bottom="1" header="0.5" footer="0.5"/>
  <pageSetup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</sheetPr>
  <dimension ref="A1:E114"/>
  <sheetViews>
    <sheetView workbookViewId="0"/>
  </sheetViews>
  <sheetFormatPr defaultRowHeight="14.4"/>
  <cols>
    <col min="1" max="1" width="12" customWidth="1"/>
    <col min="2" max="2" width="10" customWidth="1"/>
    <col min="3" max="3" width="11" customWidth="1"/>
    <col min="4" max="4" width="20" customWidth="1"/>
    <col min="5" max="5" width="22" customWidth="1"/>
  </cols>
  <sheetData>
    <row r="1" spans="1:5" ht="30" customHeight="1">
      <c r="A1" s="8" t="s">
        <v>20</v>
      </c>
      <c r="B1" s="8" t="s">
        <v>8</v>
      </c>
      <c r="C1" s="8" t="s">
        <v>21</v>
      </c>
      <c r="D1" s="8" t="s">
        <v>22</v>
      </c>
      <c r="E1" s="8" t="s">
        <v>23</v>
      </c>
    </row>
    <row r="2" spans="1:5">
      <c r="A2">
        <v>2000</v>
      </c>
      <c r="B2">
        <v>0</v>
      </c>
      <c r="C2">
        <v>0.11</v>
      </c>
      <c r="D2">
        <v>0.11</v>
      </c>
      <c r="E2">
        <v>0</v>
      </c>
    </row>
    <row r="3" spans="1:5">
      <c r="A3">
        <v>2500</v>
      </c>
      <c r="B3">
        <v>0</v>
      </c>
      <c r="C3">
        <v>0.11</v>
      </c>
      <c r="D3">
        <v>0.11</v>
      </c>
      <c r="E3">
        <v>1</v>
      </c>
    </row>
    <row r="4" spans="1:5">
      <c r="A4">
        <v>3000</v>
      </c>
      <c r="B4">
        <v>0</v>
      </c>
      <c r="C4">
        <v>0.11</v>
      </c>
      <c r="D4">
        <v>0.11</v>
      </c>
      <c r="E4">
        <v>1</v>
      </c>
    </row>
    <row r="5" spans="1:5">
      <c r="A5">
        <v>3500</v>
      </c>
      <c r="B5">
        <v>0</v>
      </c>
      <c r="C5">
        <v>0.11</v>
      </c>
      <c r="D5">
        <v>0</v>
      </c>
      <c r="E5">
        <v>1</v>
      </c>
    </row>
    <row r="6" spans="1:5">
      <c r="A6">
        <v>4000</v>
      </c>
      <c r="B6">
        <v>0</v>
      </c>
      <c r="C6">
        <v>0.11</v>
      </c>
      <c r="D6">
        <v>0</v>
      </c>
      <c r="E6">
        <v>1</v>
      </c>
    </row>
    <row r="7" spans="1:5">
      <c r="A7">
        <v>4500</v>
      </c>
      <c r="B7">
        <v>0</v>
      </c>
      <c r="C7">
        <v>0.11</v>
      </c>
      <c r="D7">
        <v>0</v>
      </c>
      <c r="E7">
        <v>1</v>
      </c>
    </row>
    <row r="8" spans="1:5">
      <c r="A8">
        <v>5000</v>
      </c>
      <c r="B8">
        <v>0</v>
      </c>
      <c r="C8">
        <v>0.11</v>
      </c>
      <c r="D8">
        <v>0</v>
      </c>
      <c r="E8">
        <v>1</v>
      </c>
    </row>
    <row r="9" spans="1:5">
      <c r="A9">
        <v>5500</v>
      </c>
      <c r="B9">
        <v>0</v>
      </c>
      <c r="C9">
        <v>0.11</v>
      </c>
      <c r="D9">
        <v>0</v>
      </c>
      <c r="E9">
        <v>1</v>
      </c>
    </row>
    <row r="10" spans="1:5">
      <c r="A10">
        <v>6000</v>
      </c>
      <c r="B10">
        <v>0</v>
      </c>
      <c r="C10">
        <v>0.11</v>
      </c>
      <c r="D10">
        <v>0</v>
      </c>
      <c r="E10">
        <v>1</v>
      </c>
    </row>
    <row r="11" spans="1:5">
      <c r="A11">
        <v>6500</v>
      </c>
      <c r="B11">
        <v>0</v>
      </c>
      <c r="C11">
        <v>0.11</v>
      </c>
      <c r="D11">
        <v>0</v>
      </c>
      <c r="E11">
        <v>1</v>
      </c>
    </row>
    <row r="12" spans="1:5">
      <c r="A12">
        <v>7000</v>
      </c>
      <c r="B12">
        <v>0</v>
      </c>
      <c r="C12">
        <v>0.11</v>
      </c>
      <c r="D12">
        <v>0</v>
      </c>
      <c r="E12">
        <v>1</v>
      </c>
    </row>
    <row r="13" spans="1:5">
      <c r="A13">
        <v>7500</v>
      </c>
      <c r="B13">
        <v>0</v>
      </c>
      <c r="C13">
        <v>0.11</v>
      </c>
      <c r="D13">
        <v>0</v>
      </c>
      <c r="E13">
        <v>1</v>
      </c>
    </row>
    <row r="14" spans="1:5">
      <c r="A14">
        <v>8000</v>
      </c>
      <c r="B14">
        <v>0</v>
      </c>
      <c r="C14">
        <v>0.11</v>
      </c>
      <c r="D14">
        <v>0</v>
      </c>
      <c r="E14">
        <v>1</v>
      </c>
    </row>
    <row r="15" spans="1:5">
      <c r="A15">
        <v>8500</v>
      </c>
      <c r="B15">
        <v>10</v>
      </c>
      <c r="C15">
        <v>4.87</v>
      </c>
      <c r="D15">
        <v>4.75</v>
      </c>
      <c r="E15">
        <v>0</v>
      </c>
    </row>
    <row r="16" spans="1:5">
      <c r="A16">
        <v>9000</v>
      </c>
      <c r="B16">
        <v>10</v>
      </c>
      <c r="C16">
        <v>26.03</v>
      </c>
      <c r="D16">
        <v>25.92</v>
      </c>
      <c r="E16">
        <v>1</v>
      </c>
    </row>
    <row r="17" spans="1:5">
      <c r="A17">
        <v>9500</v>
      </c>
      <c r="B17">
        <v>10</v>
      </c>
      <c r="C17">
        <v>25.92</v>
      </c>
      <c r="D17">
        <v>25.81</v>
      </c>
      <c r="E17">
        <v>1</v>
      </c>
    </row>
    <row r="18" spans="1:5">
      <c r="A18">
        <v>10000</v>
      </c>
      <c r="B18">
        <v>10</v>
      </c>
      <c r="C18">
        <v>26.03</v>
      </c>
      <c r="D18">
        <v>25.92</v>
      </c>
      <c r="E18">
        <v>1</v>
      </c>
    </row>
    <row r="19" spans="1:5">
      <c r="A19">
        <v>10500</v>
      </c>
      <c r="B19">
        <v>10</v>
      </c>
      <c r="C19">
        <v>26.03</v>
      </c>
      <c r="D19">
        <v>25.92</v>
      </c>
      <c r="E19">
        <v>1</v>
      </c>
    </row>
    <row r="20" spans="1:5">
      <c r="A20">
        <v>11000</v>
      </c>
      <c r="B20">
        <v>10</v>
      </c>
      <c r="C20">
        <v>26.03</v>
      </c>
      <c r="D20">
        <v>25.92</v>
      </c>
      <c r="E20">
        <v>1</v>
      </c>
    </row>
    <row r="21" spans="1:5">
      <c r="A21">
        <v>11500</v>
      </c>
      <c r="B21">
        <v>10</v>
      </c>
      <c r="C21">
        <v>26.03</v>
      </c>
      <c r="D21">
        <v>25.92</v>
      </c>
      <c r="E21">
        <v>1</v>
      </c>
    </row>
    <row r="22" spans="1:5">
      <c r="A22">
        <v>12000</v>
      </c>
      <c r="B22">
        <v>10</v>
      </c>
      <c r="C22">
        <v>26.03</v>
      </c>
      <c r="D22">
        <v>25.92</v>
      </c>
      <c r="E22">
        <v>1</v>
      </c>
    </row>
    <row r="23" spans="1:5">
      <c r="A23">
        <v>12500</v>
      </c>
      <c r="B23">
        <v>20</v>
      </c>
      <c r="C23">
        <v>26.03</v>
      </c>
      <c r="D23">
        <v>25.92</v>
      </c>
      <c r="E23">
        <v>0</v>
      </c>
    </row>
    <row r="24" spans="1:5">
      <c r="A24">
        <v>13000</v>
      </c>
      <c r="B24">
        <v>20</v>
      </c>
      <c r="C24">
        <v>45.62</v>
      </c>
      <c r="D24">
        <v>45.5</v>
      </c>
      <c r="E24">
        <v>1</v>
      </c>
    </row>
    <row r="25" spans="1:5">
      <c r="A25">
        <v>13500</v>
      </c>
      <c r="B25">
        <v>20</v>
      </c>
      <c r="C25">
        <v>52.29</v>
      </c>
      <c r="D25">
        <v>52.18</v>
      </c>
      <c r="E25">
        <v>1</v>
      </c>
    </row>
    <row r="26" spans="1:5">
      <c r="A26">
        <v>14000</v>
      </c>
      <c r="B26">
        <v>20</v>
      </c>
      <c r="C26">
        <v>52.29</v>
      </c>
      <c r="D26">
        <v>52.18</v>
      </c>
      <c r="E26">
        <v>1</v>
      </c>
    </row>
    <row r="27" spans="1:5">
      <c r="A27">
        <v>14500</v>
      </c>
      <c r="B27">
        <v>20</v>
      </c>
      <c r="C27">
        <v>52.29</v>
      </c>
      <c r="D27">
        <v>52.18</v>
      </c>
      <c r="E27">
        <v>1</v>
      </c>
    </row>
    <row r="28" spans="1:5">
      <c r="A28">
        <v>15000</v>
      </c>
      <c r="B28">
        <v>20</v>
      </c>
      <c r="C28">
        <v>52.29</v>
      </c>
      <c r="D28">
        <v>52.18</v>
      </c>
      <c r="E28">
        <v>1</v>
      </c>
    </row>
    <row r="29" spans="1:5">
      <c r="A29">
        <v>15500</v>
      </c>
      <c r="B29">
        <v>20</v>
      </c>
      <c r="C29">
        <v>52.41</v>
      </c>
      <c r="D29">
        <v>52.29</v>
      </c>
      <c r="E29">
        <v>1</v>
      </c>
    </row>
    <row r="30" spans="1:5">
      <c r="A30">
        <v>16000</v>
      </c>
      <c r="B30">
        <v>20</v>
      </c>
      <c r="C30">
        <v>52.41</v>
      </c>
      <c r="D30">
        <v>52.29</v>
      </c>
      <c r="E30">
        <v>1</v>
      </c>
    </row>
    <row r="31" spans="1:5">
      <c r="A31">
        <v>16500</v>
      </c>
      <c r="B31">
        <v>30</v>
      </c>
      <c r="C31">
        <v>52.41</v>
      </c>
      <c r="D31">
        <v>52.29</v>
      </c>
      <c r="E31">
        <v>0</v>
      </c>
    </row>
    <row r="32" spans="1:5">
      <c r="A32">
        <v>17000</v>
      </c>
      <c r="B32">
        <v>30</v>
      </c>
      <c r="C32">
        <v>78.44</v>
      </c>
      <c r="D32">
        <v>78.33</v>
      </c>
      <c r="E32">
        <v>1</v>
      </c>
    </row>
    <row r="33" spans="1:5">
      <c r="A33">
        <v>17500</v>
      </c>
      <c r="B33">
        <v>30</v>
      </c>
      <c r="C33">
        <v>78.44</v>
      </c>
      <c r="D33">
        <v>78.33</v>
      </c>
      <c r="E33">
        <v>1</v>
      </c>
    </row>
    <row r="34" spans="1:5">
      <c r="A34">
        <v>18000</v>
      </c>
      <c r="B34">
        <v>30</v>
      </c>
      <c r="C34">
        <v>78.44</v>
      </c>
      <c r="D34">
        <v>78.33</v>
      </c>
      <c r="E34">
        <v>1</v>
      </c>
    </row>
    <row r="35" spans="1:5">
      <c r="A35">
        <v>18500</v>
      </c>
      <c r="B35">
        <v>30</v>
      </c>
      <c r="C35">
        <v>78.44</v>
      </c>
      <c r="D35">
        <v>78.33</v>
      </c>
      <c r="E35">
        <v>1</v>
      </c>
    </row>
    <row r="36" spans="1:5">
      <c r="A36">
        <v>19000</v>
      </c>
      <c r="B36">
        <v>30</v>
      </c>
      <c r="C36">
        <v>78.44</v>
      </c>
      <c r="D36">
        <v>78.33</v>
      </c>
      <c r="E36">
        <v>1</v>
      </c>
    </row>
    <row r="37" spans="1:5">
      <c r="A37">
        <v>19500</v>
      </c>
      <c r="B37">
        <v>30</v>
      </c>
      <c r="C37">
        <v>78.44</v>
      </c>
      <c r="D37">
        <v>78.33</v>
      </c>
      <c r="E37">
        <v>1</v>
      </c>
    </row>
    <row r="38" spans="1:5">
      <c r="A38">
        <v>20000</v>
      </c>
      <c r="B38">
        <v>30</v>
      </c>
      <c r="C38">
        <v>78.44</v>
      </c>
      <c r="D38">
        <v>78.33</v>
      </c>
      <c r="E38">
        <v>1</v>
      </c>
    </row>
    <row r="39" spans="1:5">
      <c r="A39">
        <v>20500</v>
      </c>
      <c r="B39">
        <v>40</v>
      </c>
      <c r="C39">
        <v>78.44</v>
      </c>
      <c r="D39">
        <v>78.33</v>
      </c>
      <c r="E39">
        <v>0</v>
      </c>
    </row>
    <row r="40" spans="1:5">
      <c r="A40">
        <v>21000</v>
      </c>
      <c r="B40">
        <v>40</v>
      </c>
      <c r="C40">
        <v>100.06</v>
      </c>
      <c r="D40">
        <v>99.95</v>
      </c>
      <c r="E40">
        <v>1</v>
      </c>
    </row>
    <row r="41" spans="1:5">
      <c r="A41">
        <v>21500</v>
      </c>
      <c r="B41">
        <v>40</v>
      </c>
      <c r="C41">
        <v>104.47</v>
      </c>
      <c r="D41">
        <v>104.36</v>
      </c>
      <c r="E41">
        <v>1</v>
      </c>
    </row>
    <row r="42" spans="1:5">
      <c r="A42">
        <v>22000</v>
      </c>
      <c r="B42">
        <v>40</v>
      </c>
      <c r="C42">
        <v>104.47</v>
      </c>
      <c r="D42">
        <v>104.36</v>
      </c>
      <c r="E42">
        <v>1</v>
      </c>
    </row>
    <row r="43" spans="1:5">
      <c r="A43">
        <v>22500</v>
      </c>
      <c r="B43">
        <v>40</v>
      </c>
      <c r="C43">
        <v>104.47</v>
      </c>
      <c r="D43">
        <v>104.36</v>
      </c>
      <c r="E43">
        <v>1</v>
      </c>
    </row>
    <row r="44" spans="1:5">
      <c r="A44">
        <v>23000</v>
      </c>
      <c r="B44">
        <v>40</v>
      </c>
      <c r="C44">
        <v>104.47</v>
      </c>
      <c r="D44">
        <v>104.36</v>
      </c>
      <c r="E44">
        <v>1</v>
      </c>
    </row>
    <row r="45" spans="1:5">
      <c r="A45">
        <v>23500</v>
      </c>
      <c r="B45">
        <v>40</v>
      </c>
      <c r="C45">
        <v>104.47</v>
      </c>
      <c r="D45">
        <v>104.36</v>
      </c>
      <c r="E45">
        <v>1</v>
      </c>
    </row>
    <row r="46" spans="1:5">
      <c r="A46">
        <v>24000</v>
      </c>
      <c r="B46">
        <v>40</v>
      </c>
      <c r="C46">
        <v>104.47</v>
      </c>
      <c r="D46">
        <v>104.36</v>
      </c>
      <c r="E46">
        <v>1</v>
      </c>
    </row>
    <row r="47" spans="1:5">
      <c r="A47">
        <v>24500</v>
      </c>
      <c r="B47">
        <v>50</v>
      </c>
      <c r="C47">
        <v>104.47</v>
      </c>
      <c r="D47">
        <v>104.36</v>
      </c>
      <c r="E47">
        <v>0</v>
      </c>
    </row>
    <row r="48" spans="1:5">
      <c r="A48">
        <v>25000</v>
      </c>
      <c r="B48">
        <v>50</v>
      </c>
      <c r="C48">
        <v>130.72999999999999</v>
      </c>
      <c r="D48">
        <v>130.62</v>
      </c>
      <c r="E48">
        <v>1</v>
      </c>
    </row>
    <row r="49" spans="1:5">
      <c r="A49">
        <v>25500</v>
      </c>
      <c r="B49">
        <v>50</v>
      </c>
      <c r="C49">
        <v>130.85</v>
      </c>
      <c r="D49">
        <v>130.72999999999999</v>
      </c>
      <c r="E49">
        <v>1</v>
      </c>
    </row>
    <row r="50" spans="1:5">
      <c r="A50">
        <v>26000</v>
      </c>
      <c r="B50">
        <v>50</v>
      </c>
      <c r="C50">
        <v>130.72999999999999</v>
      </c>
      <c r="D50">
        <v>130.62</v>
      </c>
      <c r="E50">
        <v>1</v>
      </c>
    </row>
    <row r="51" spans="1:5">
      <c r="A51">
        <v>26500</v>
      </c>
      <c r="B51">
        <v>50</v>
      </c>
      <c r="C51">
        <v>130.85</v>
      </c>
      <c r="D51">
        <v>130.72999999999999</v>
      </c>
      <c r="E51">
        <v>1</v>
      </c>
    </row>
    <row r="52" spans="1:5">
      <c r="A52">
        <v>27000</v>
      </c>
      <c r="B52">
        <v>50</v>
      </c>
      <c r="C52">
        <v>130.85</v>
      </c>
      <c r="D52">
        <v>130.72999999999999</v>
      </c>
      <c r="E52">
        <v>1</v>
      </c>
    </row>
    <row r="53" spans="1:5">
      <c r="A53">
        <v>27500</v>
      </c>
      <c r="B53">
        <v>50</v>
      </c>
      <c r="C53">
        <v>130.85</v>
      </c>
      <c r="D53">
        <v>130.72999999999999</v>
      </c>
      <c r="E53">
        <v>1</v>
      </c>
    </row>
    <row r="54" spans="1:5">
      <c r="A54">
        <v>28000</v>
      </c>
      <c r="B54">
        <v>50</v>
      </c>
      <c r="C54">
        <v>130.85</v>
      </c>
      <c r="D54">
        <v>130.72999999999999</v>
      </c>
      <c r="E54">
        <v>1</v>
      </c>
    </row>
    <row r="55" spans="1:5">
      <c r="A55">
        <v>28500</v>
      </c>
      <c r="B55">
        <v>60</v>
      </c>
      <c r="C55">
        <v>130.85</v>
      </c>
      <c r="D55">
        <v>130.72999999999999</v>
      </c>
      <c r="E55">
        <v>0</v>
      </c>
    </row>
    <row r="56" spans="1:5">
      <c r="A56">
        <v>29000</v>
      </c>
      <c r="B56">
        <v>60</v>
      </c>
      <c r="C56">
        <v>154.05000000000001</v>
      </c>
      <c r="D56">
        <v>153.94</v>
      </c>
      <c r="E56">
        <v>1</v>
      </c>
    </row>
    <row r="57" spans="1:5">
      <c r="A57">
        <v>29500</v>
      </c>
      <c r="B57">
        <v>60</v>
      </c>
      <c r="C57">
        <v>156.77000000000001</v>
      </c>
      <c r="D57">
        <v>156.65</v>
      </c>
      <c r="E57">
        <v>1</v>
      </c>
    </row>
    <row r="58" spans="1:5">
      <c r="A58">
        <v>30000</v>
      </c>
      <c r="B58">
        <v>60</v>
      </c>
      <c r="C58">
        <v>156.88</v>
      </c>
      <c r="D58">
        <v>156.77000000000001</v>
      </c>
      <c r="E58">
        <v>1</v>
      </c>
    </row>
    <row r="59" spans="1:5">
      <c r="A59">
        <v>30500</v>
      </c>
      <c r="B59">
        <v>60</v>
      </c>
      <c r="C59">
        <v>156.77000000000001</v>
      </c>
      <c r="D59">
        <v>156.65</v>
      </c>
      <c r="E59">
        <v>1</v>
      </c>
    </row>
    <row r="60" spans="1:5">
      <c r="A60">
        <v>31000</v>
      </c>
      <c r="B60">
        <v>60</v>
      </c>
      <c r="C60">
        <v>156.77000000000001</v>
      </c>
      <c r="D60">
        <v>156.65</v>
      </c>
      <c r="E60">
        <v>1</v>
      </c>
    </row>
    <row r="61" spans="1:5">
      <c r="A61">
        <v>31500</v>
      </c>
      <c r="B61">
        <v>60</v>
      </c>
      <c r="C61">
        <v>156.77000000000001</v>
      </c>
      <c r="D61">
        <v>156.65</v>
      </c>
      <c r="E61">
        <v>1</v>
      </c>
    </row>
    <row r="62" spans="1:5">
      <c r="A62">
        <v>32000</v>
      </c>
      <c r="B62">
        <v>60</v>
      </c>
      <c r="C62">
        <v>156.77000000000001</v>
      </c>
      <c r="D62">
        <v>156.65</v>
      </c>
      <c r="E62">
        <v>1</v>
      </c>
    </row>
    <row r="63" spans="1:5">
      <c r="A63">
        <v>32500</v>
      </c>
      <c r="B63">
        <v>70</v>
      </c>
      <c r="C63">
        <v>156.77000000000001</v>
      </c>
      <c r="D63">
        <v>156.65</v>
      </c>
      <c r="E63">
        <v>0</v>
      </c>
    </row>
    <row r="64" spans="1:5">
      <c r="A64">
        <v>33000</v>
      </c>
      <c r="B64">
        <v>70</v>
      </c>
      <c r="C64">
        <v>168.43</v>
      </c>
      <c r="D64">
        <v>168.31</v>
      </c>
      <c r="E64">
        <v>1</v>
      </c>
    </row>
    <row r="65" spans="1:5">
      <c r="A65">
        <v>33500</v>
      </c>
      <c r="B65">
        <v>70</v>
      </c>
      <c r="C65">
        <v>182.8</v>
      </c>
      <c r="D65">
        <v>182.69</v>
      </c>
      <c r="E65">
        <v>1</v>
      </c>
    </row>
    <row r="66" spans="1:5">
      <c r="A66">
        <v>34000</v>
      </c>
      <c r="B66">
        <v>70</v>
      </c>
      <c r="C66">
        <v>182.8</v>
      </c>
      <c r="D66">
        <v>182.69</v>
      </c>
      <c r="E66">
        <v>1</v>
      </c>
    </row>
    <row r="67" spans="1:5">
      <c r="A67">
        <v>34500</v>
      </c>
      <c r="B67">
        <v>70</v>
      </c>
      <c r="C67">
        <v>182.69</v>
      </c>
      <c r="D67">
        <v>182.57</v>
      </c>
      <c r="E67">
        <v>1</v>
      </c>
    </row>
    <row r="68" spans="1:5">
      <c r="A68">
        <v>35000</v>
      </c>
      <c r="B68">
        <v>70</v>
      </c>
      <c r="C68">
        <v>182.8</v>
      </c>
      <c r="D68">
        <v>182.69</v>
      </c>
      <c r="E68">
        <v>1</v>
      </c>
    </row>
    <row r="69" spans="1:5">
      <c r="A69">
        <v>35500</v>
      </c>
      <c r="B69">
        <v>70</v>
      </c>
      <c r="C69">
        <v>182.8</v>
      </c>
      <c r="D69">
        <v>182.69</v>
      </c>
      <c r="E69">
        <v>1</v>
      </c>
    </row>
    <row r="70" spans="1:5">
      <c r="A70">
        <v>36000</v>
      </c>
      <c r="B70">
        <v>70</v>
      </c>
      <c r="C70">
        <v>182.69</v>
      </c>
      <c r="D70">
        <v>182.57</v>
      </c>
      <c r="E70">
        <v>1</v>
      </c>
    </row>
    <row r="71" spans="1:5">
      <c r="A71">
        <v>36500</v>
      </c>
      <c r="B71">
        <v>80</v>
      </c>
      <c r="C71">
        <v>182.8</v>
      </c>
      <c r="D71">
        <v>182.69</v>
      </c>
      <c r="E71">
        <v>0</v>
      </c>
    </row>
    <row r="72" spans="1:5">
      <c r="A72">
        <v>37000</v>
      </c>
      <c r="B72">
        <v>80</v>
      </c>
      <c r="C72">
        <v>208.72</v>
      </c>
      <c r="D72">
        <v>208.61</v>
      </c>
      <c r="E72">
        <v>1</v>
      </c>
    </row>
    <row r="73" spans="1:5">
      <c r="A73">
        <v>37500</v>
      </c>
      <c r="B73">
        <v>80</v>
      </c>
      <c r="C73">
        <v>208.83</v>
      </c>
      <c r="D73">
        <v>208.72</v>
      </c>
      <c r="E73">
        <v>1</v>
      </c>
    </row>
    <row r="74" spans="1:5">
      <c r="A74">
        <v>38000</v>
      </c>
      <c r="B74">
        <v>80</v>
      </c>
      <c r="C74">
        <v>208.83</v>
      </c>
      <c r="D74">
        <v>208.72</v>
      </c>
      <c r="E74">
        <v>1</v>
      </c>
    </row>
    <row r="75" spans="1:5">
      <c r="A75">
        <v>38500</v>
      </c>
      <c r="B75">
        <v>80</v>
      </c>
      <c r="C75">
        <v>208.72</v>
      </c>
      <c r="D75">
        <v>208.61</v>
      </c>
      <c r="E75">
        <v>1</v>
      </c>
    </row>
    <row r="76" spans="1:5">
      <c r="A76">
        <v>39000</v>
      </c>
      <c r="B76">
        <v>80</v>
      </c>
      <c r="C76">
        <v>208.72</v>
      </c>
      <c r="D76">
        <v>208.61</v>
      </c>
      <c r="E76">
        <v>1</v>
      </c>
    </row>
    <row r="77" spans="1:5">
      <c r="A77">
        <v>39500</v>
      </c>
      <c r="B77">
        <v>80</v>
      </c>
      <c r="C77">
        <v>208.72</v>
      </c>
      <c r="D77">
        <v>208.61</v>
      </c>
      <c r="E77">
        <v>1</v>
      </c>
    </row>
    <row r="78" spans="1:5">
      <c r="A78">
        <v>40000</v>
      </c>
      <c r="B78">
        <v>80</v>
      </c>
      <c r="C78">
        <v>208.72</v>
      </c>
      <c r="D78">
        <v>208.61</v>
      </c>
      <c r="E78">
        <v>1</v>
      </c>
    </row>
    <row r="79" spans="1:5">
      <c r="A79">
        <v>40500</v>
      </c>
      <c r="B79">
        <v>90</v>
      </c>
      <c r="C79">
        <v>208.72</v>
      </c>
      <c r="D79">
        <v>208.61</v>
      </c>
      <c r="E79">
        <v>0</v>
      </c>
    </row>
    <row r="80" spans="1:5">
      <c r="A80">
        <v>41000</v>
      </c>
      <c r="B80">
        <v>90</v>
      </c>
      <c r="C80">
        <v>222.87</v>
      </c>
      <c r="D80">
        <v>222.76</v>
      </c>
      <c r="E80">
        <v>1</v>
      </c>
    </row>
    <row r="81" spans="1:5">
      <c r="A81">
        <v>41500</v>
      </c>
      <c r="B81">
        <v>90</v>
      </c>
      <c r="C81">
        <v>234.87</v>
      </c>
      <c r="D81">
        <v>234.75</v>
      </c>
      <c r="E81">
        <v>1</v>
      </c>
    </row>
    <row r="82" spans="1:5">
      <c r="A82">
        <v>42000</v>
      </c>
      <c r="B82">
        <v>90</v>
      </c>
      <c r="C82">
        <v>235.21</v>
      </c>
      <c r="D82">
        <v>235.09</v>
      </c>
      <c r="E82">
        <v>1</v>
      </c>
    </row>
    <row r="83" spans="1:5">
      <c r="A83">
        <v>42500</v>
      </c>
      <c r="B83">
        <v>90</v>
      </c>
      <c r="C83">
        <v>234.64</v>
      </c>
      <c r="D83">
        <v>234.53</v>
      </c>
      <c r="E83">
        <v>1</v>
      </c>
    </row>
    <row r="84" spans="1:5">
      <c r="A84">
        <v>43000</v>
      </c>
      <c r="B84">
        <v>90</v>
      </c>
      <c r="C84">
        <v>234.64</v>
      </c>
      <c r="D84">
        <v>234.53</v>
      </c>
      <c r="E84">
        <v>1</v>
      </c>
    </row>
    <row r="85" spans="1:5">
      <c r="A85">
        <v>43500</v>
      </c>
      <c r="B85">
        <v>90</v>
      </c>
      <c r="C85">
        <v>234.64</v>
      </c>
      <c r="D85">
        <v>234.53</v>
      </c>
      <c r="E85">
        <v>1</v>
      </c>
    </row>
    <row r="86" spans="1:5">
      <c r="A86">
        <v>44000</v>
      </c>
      <c r="B86">
        <v>90</v>
      </c>
      <c r="C86">
        <v>234.64</v>
      </c>
      <c r="D86">
        <v>234.53</v>
      </c>
      <c r="E86">
        <v>1</v>
      </c>
    </row>
    <row r="87" spans="1:5">
      <c r="A87">
        <v>44500</v>
      </c>
      <c r="B87">
        <v>100</v>
      </c>
      <c r="C87">
        <v>236.45</v>
      </c>
      <c r="D87">
        <v>236.34</v>
      </c>
      <c r="E87">
        <v>0</v>
      </c>
    </row>
    <row r="88" spans="1:5">
      <c r="A88">
        <v>45000</v>
      </c>
      <c r="B88">
        <v>100</v>
      </c>
      <c r="C88">
        <v>260.89999999999998</v>
      </c>
      <c r="D88">
        <v>260.79000000000002</v>
      </c>
      <c r="E88">
        <v>1</v>
      </c>
    </row>
    <row r="89" spans="1:5">
      <c r="A89">
        <v>45500</v>
      </c>
      <c r="B89">
        <v>100</v>
      </c>
      <c r="C89">
        <v>260.89999999999998</v>
      </c>
      <c r="D89">
        <v>260.79000000000002</v>
      </c>
      <c r="E89">
        <v>1</v>
      </c>
    </row>
    <row r="90" spans="1:5">
      <c r="A90">
        <v>46000</v>
      </c>
      <c r="B90">
        <v>100</v>
      </c>
      <c r="C90">
        <v>260.89999999999998</v>
      </c>
      <c r="D90">
        <v>260.79000000000002</v>
      </c>
      <c r="E90">
        <v>1</v>
      </c>
    </row>
    <row r="91" spans="1:5">
      <c r="A91">
        <v>46500</v>
      </c>
      <c r="B91">
        <v>100</v>
      </c>
      <c r="C91">
        <v>260.89999999999998</v>
      </c>
      <c r="D91">
        <v>260.79000000000002</v>
      </c>
      <c r="E91">
        <v>1</v>
      </c>
    </row>
    <row r="92" spans="1:5">
      <c r="A92">
        <v>47000</v>
      </c>
      <c r="B92">
        <v>100</v>
      </c>
      <c r="C92">
        <v>260.79000000000002</v>
      </c>
      <c r="D92">
        <v>260.67</v>
      </c>
      <c r="E92">
        <v>1</v>
      </c>
    </row>
    <row r="93" spans="1:5">
      <c r="A93">
        <v>47500</v>
      </c>
      <c r="B93">
        <v>100</v>
      </c>
      <c r="C93">
        <v>260.79000000000002</v>
      </c>
      <c r="D93">
        <v>260.67</v>
      </c>
      <c r="E93">
        <v>1</v>
      </c>
    </row>
    <row r="94" spans="1:5">
      <c r="A94">
        <v>48000</v>
      </c>
      <c r="B94">
        <v>100</v>
      </c>
      <c r="C94">
        <v>260.79000000000002</v>
      </c>
      <c r="D94">
        <v>260.67</v>
      </c>
      <c r="E94">
        <v>1</v>
      </c>
    </row>
    <row r="95" spans="1:5">
      <c r="A95">
        <v>48500</v>
      </c>
      <c r="B95">
        <v>0</v>
      </c>
      <c r="C95">
        <v>260.79000000000002</v>
      </c>
      <c r="D95">
        <v>260.67</v>
      </c>
      <c r="E95">
        <v>0</v>
      </c>
    </row>
    <row r="96" spans="1:5">
      <c r="A96">
        <v>49000</v>
      </c>
      <c r="B96">
        <v>0</v>
      </c>
      <c r="C96">
        <v>104.93</v>
      </c>
      <c r="D96">
        <v>104.81</v>
      </c>
      <c r="E96">
        <v>1</v>
      </c>
    </row>
    <row r="97" spans="1:5">
      <c r="A97">
        <v>49500</v>
      </c>
      <c r="B97">
        <v>0</v>
      </c>
      <c r="C97">
        <v>0.11</v>
      </c>
      <c r="D97">
        <v>0</v>
      </c>
      <c r="E97">
        <v>1</v>
      </c>
    </row>
    <row r="98" spans="1:5">
      <c r="A98">
        <v>50000</v>
      </c>
      <c r="B98">
        <v>0</v>
      </c>
      <c r="C98">
        <v>0.11</v>
      </c>
      <c r="D98">
        <v>0</v>
      </c>
      <c r="E98">
        <v>1</v>
      </c>
    </row>
    <row r="99" spans="1:5">
      <c r="A99">
        <v>50500</v>
      </c>
      <c r="B99">
        <v>0</v>
      </c>
      <c r="C99">
        <v>0.11</v>
      </c>
      <c r="D99">
        <v>0</v>
      </c>
      <c r="E99">
        <v>1</v>
      </c>
    </row>
    <row r="100" spans="1:5">
      <c r="A100">
        <v>51000</v>
      </c>
      <c r="B100">
        <v>0</v>
      </c>
      <c r="C100">
        <v>0.11</v>
      </c>
      <c r="D100">
        <v>0</v>
      </c>
      <c r="E100">
        <v>1</v>
      </c>
    </row>
    <row r="101" spans="1:5">
      <c r="A101">
        <v>51500</v>
      </c>
      <c r="B101">
        <v>0</v>
      </c>
      <c r="C101">
        <v>0.11</v>
      </c>
      <c r="D101">
        <v>0</v>
      </c>
      <c r="E101">
        <v>1</v>
      </c>
    </row>
    <row r="102" spans="1:5">
      <c r="A102">
        <v>52000</v>
      </c>
      <c r="B102">
        <v>0</v>
      </c>
      <c r="C102">
        <v>0.11</v>
      </c>
      <c r="D102">
        <v>0</v>
      </c>
      <c r="E102">
        <v>1</v>
      </c>
    </row>
    <row r="103" spans="1:5">
      <c r="A103">
        <v>52500</v>
      </c>
      <c r="B103">
        <v>0</v>
      </c>
      <c r="C103">
        <v>0.11</v>
      </c>
      <c r="D103">
        <v>0</v>
      </c>
      <c r="E103">
        <v>1</v>
      </c>
    </row>
    <row r="104" spans="1:5">
      <c r="A104">
        <v>53000</v>
      </c>
      <c r="B104">
        <v>0</v>
      </c>
      <c r="C104">
        <v>0.11</v>
      </c>
      <c r="D104">
        <v>0</v>
      </c>
      <c r="E104">
        <v>1</v>
      </c>
    </row>
    <row r="105" spans="1:5">
      <c r="A105">
        <v>53500</v>
      </c>
      <c r="B105">
        <v>0</v>
      </c>
      <c r="C105">
        <v>0.11</v>
      </c>
      <c r="D105">
        <v>0</v>
      </c>
      <c r="E105">
        <v>1</v>
      </c>
    </row>
    <row r="106" spans="1:5">
      <c r="A106">
        <v>54000</v>
      </c>
      <c r="B106">
        <v>0</v>
      </c>
      <c r="C106">
        <v>0.11</v>
      </c>
      <c r="D106">
        <v>0</v>
      </c>
      <c r="E106">
        <v>1</v>
      </c>
    </row>
    <row r="107" spans="1:5">
      <c r="A107">
        <v>54500</v>
      </c>
      <c r="B107">
        <v>0</v>
      </c>
      <c r="C107">
        <v>0.11</v>
      </c>
      <c r="D107">
        <v>0</v>
      </c>
      <c r="E107">
        <v>1</v>
      </c>
    </row>
    <row r="108" spans="1:5">
      <c r="A108">
        <v>55000</v>
      </c>
      <c r="B108">
        <v>0</v>
      </c>
      <c r="C108">
        <v>0.11</v>
      </c>
      <c r="D108">
        <v>0</v>
      </c>
      <c r="E108">
        <v>1</v>
      </c>
    </row>
    <row r="109" spans="1:5">
      <c r="A109">
        <v>55500</v>
      </c>
      <c r="B109">
        <v>0</v>
      </c>
      <c r="C109">
        <v>0.11</v>
      </c>
      <c r="D109">
        <v>0</v>
      </c>
      <c r="E109">
        <v>1</v>
      </c>
    </row>
    <row r="110" spans="1:5">
      <c r="A110">
        <v>56000</v>
      </c>
      <c r="B110">
        <v>0</v>
      </c>
      <c r="C110">
        <v>0.11</v>
      </c>
      <c r="D110">
        <v>0</v>
      </c>
      <c r="E110">
        <v>1</v>
      </c>
    </row>
    <row r="111" spans="1:5">
      <c r="A111">
        <v>56500</v>
      </c>
      <c r="B111">
        <v>0</v>
      </c>
      <c r="C111">
        <v>0.11</v>
      </c>
      <c r="D111">
        <v>0</v>
      </c>
      <c r="E111">
        <v>1</v>
      </c>
    </row>
    <row r="112" spans="1:5">
      <c r="A112">
        <v>57000</v>
      </c>
      <c r="B112">
        <v>0</v>
      </c>
      <c r="C112">
        <v>0.11</v>
      </c>
      <c r="D112">
        <v>0</v>
      </c>
      <c r="E112">
        <v>1</v>
      </c>
    </row>
    <row r="113" spans="1:5">
      <c r="A113">
        <v>57500</v>
      </c>
      <c r="B113">
        <v>0</v>
      </c>
      <c r="C113">
        <v>0.11</v>
      </c>
      <c r="D113">
        <v>0</v>
      </c>
      <c r="E113">
        <v>1</v>
      </c>
    </row>
    <row r="114" spans="1:5">
      <c r="A114">
        <v>58000</v>
      </c>
      <c r="B114">
        <v>0</v>
      </c>
      <c r="C114">
        <v>0.11</v>
      </c>
      <c r="D114">
        <v>0</v>
      </c>
      <c r="E114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9D8F"/>
  </sheetPr>
  <dimension ref="A1:I74"/>
  <sheetViews>
    <sheetView workbookViewId="0"/>
  </sheetViews>
  <sheetFormatPr defaultRowHeight="14.4"/>
  <cols>
    <col min="1" max="1" width="10" customWidth="1"/>
    <col min="2" max="2" width="13" customWidth="1"/>
    <col min="3" max="3" width="14" customWidth="1"/>
    <col min="4" max="4" width="18" customWidth="1"/>
    <col min="5" max="5" width="11" customWidth="1"/>
    <col min="7" max="7" width="34" customWidth="1"/>
    <col min="8" max="9" width="12" customWidth="1"/>
  </cols>
  <sheetData>
    <row r="1" spans="1:9" ht="30" customHeight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G1" s="11" t="s">
        <v>29</v>
      </c>
    </row>
    <row r="2" spans="1:9" ht="15">
      <c r="A2">
        <v>0</v>
      </c>
      <c r="C2">
        <v>0</v>
      </c>
      <c r="D2">
        <v>0</v>
      </c>
      <c r="E2" s="9" t="str">
        <f t="shared" ref="E2:E33" si="0">IF(B2="","",C2-B2)</f>
        <v/>
      </c>
      <c r="H2" s="12" t="s">
        <v>30</v>
      </c>
      <c r="I2" s="12" t="s">
        <v>31</v>
      </c>
    </row>
    <row r="3" spans="1:9" ht="15">
      <c r="A3">
        <v>0.5</v>
      </c>
      <c r="C3">
        <v>0</v>
      </c>
      <c r="D3">
        <v>0</v>
      </c>
      <c r="E3" s="9" t="str">
        <f t="shared" si="0"/>
        <v/>
      </c>
      <c r="G3" s="12" t="s">
        <v>32</v>
      </c>
      <c r="H3" s="18">
        <f>AVERAGEIFS(C2:C74,B2:B74,11,A2:A74,"&gt;=15")</f>
        <v>10.980000000000002</v>
      </c>
      <c r="I3" s="18">
        <f>AVERAGEIFS(C2:C74,B2:B74,3,A2:A74,"&gt;=28")</f>
        <v>3.0060000000000002</v>
      </c>
    </row>
    <row r="4" spans="1:9" ht="15">
      <c r="A4">
        <v>1</v>
      </c>
      <c r="C4">
        <v>0</v>
      </c>
      <c r="D4">
        <v>0</v>
      </c>
      <c r="E4" s="9" t="str">
        <f t="shared" si="0"/>
        <v/>
      </c>
      <c r="G4" s="12" t="s">
        <v>33</v>
      </c>
      <c r="H4" s="18">
        <f>_xlfn.MAXIFS(C2:C74,B2:B74,11)</f>
        <v>11.21</v>
      </c>
      <c r="I4" s="18">
        <f>_xlfn.MINIFS(C2:C74,B2:B74,3)</f>
        <v>2.83</v>
      </c>
    </row>
    <row r="5" spans="1:9" ht="15">
      <c r="A5">
        <v>1.5</v>
      </c>
      <c r="C5">
        <v>0</v>
      </c>
      <c r="D5">
        <v>0</v>
      </c>
      <c r="E5" s="9" t="str">
        <f t="shared" si="0"/>
        <v/>
      </c>
      <c r="G5" s="12" t="s">
        <v>34</v>
      </c>
      <c r="H5" s="18">
        <f>H4-11</f>
        <v>0.21000000000000085</v>
      </c>
      <c r="I5" s="18">
        <f>3-I4</f>
        <v>0.16999999999999993</v>
      </c>
    </row>
    <row r="6" spans="1:9" ht="15">
      <c r="A6">
        <v>3.96</v>
      </c>
      <c r="C6">
        <v>8.3800000000000008</v>
      </c>
      <c r="D6">
        <v>60</v>
      </c>
      <c r="E6" s="9" t="str">
        <f t="shared" si="0"/>
        <v/>
      </c>
      <c r="G6" s="12" t="s">
        <v>35</v>
      </c>
      <c r="H6" s="18">
        <f>H3-11</f>
        <v>-1.9999999999997797E-2</v>
      </c>
      <c r="I6" s="18">
        <f>I3-3</f>
        <v>6.0000000000002274E-3</v>
      </c>
    </row>
    <row r="7" spans="1:9">
      <c r="A7">
        <v>4.46</v>
      </c>
      <c r="B7">
        <v>5</v>
      </c>
      <c r="C7">
        <v>8.3800000000000008</v>
      </c>
      <c r="D7">
        <v>60</v>
      </c>
      <c r="E7" s="9">
        <f t="shared" si="0"/>
        <v>3.3800000000000008</v>
      </c>
    </row>
    <row r="8" spans="1:9">
      <c r="A8">
        <v>4.96</v>
      </c>
      <c r="B8">
        <v>5</v>
      </c>
      <c r="C8">
        <v>7.92</v>
      </c>
      <c r="D8">
        <v>52.02</v>
      </c>
      <c r="E8" s="9">
        <f t="shared" si="0"/>
        <v>2.92</v>
      </c>
    </row>
    <row r="9" spans="1:9">
      <c r="A9">
        <v>5.46</v>
      </c>
      <c r="B9">
        <v>5</v>
      </c>
      <c r="C9">
        <v>7.02</v>
      </c>
      <c r="D9">
        <v>44.77</v>
      </c>
      <c r="E9" s="9">
        <f t="shared" si="0"/>
        <v>2.0199999999999996</v>
      </c>
    </row>
    <row r="10" spans="1:9">
      <c r="A10">
        <v>5.96</v>
      </c>
      <c r="B10">
        <v>5</v>
      </c>
      <c r="C10">
        <v>6.23</v>
      </c>
      <c r="D10">
        <v>39.79</v>
      </c>
      <c r="E10" s="9">
        <f t="shared" si="0"/>
        <v>1.2300000000000004</v>
      </c>
    </row>
    <row r="11" spans="1:9">
      <c r="A11">
        <v>6.46</v>
      </c>
      <c r="B11">
        <v>5</v>
      </c>
      <c r="C11">
        <v>5.55</v>
      </c>
      <c r="D11">
        <v>36.75</v>
      </c>
      <c r="E11" s="9">
        <f t="shared" si="0"/>
        <v>0.54999999999999982</v>
      </c>
    </row>
    <row r="12" spans="1:9">
      <c r="A12">
        <v>6.96</v>
      </c>
      <c r="B12">
        <v>11</v>
      </c>
      <c r="C12">
        <v>5.21</v>
      </c>
      <c r="D12">
        <v>36.450000000000003</v>
      </c>
      <c r="E12" s="9">
        <f t="shared" si="0"/>
        <v>-5.79</v>
      </c>
    </row>
    <row r="13" spans="1:9">
      <c r="A13">
        <v>7.46</v>
      </c>
      <c r="B13">
        <v>11</v>
      </c>
      <c r="C13">
        <v>5.66</v>
      </c>
      <c r="D13">
        <v>44.45</v>
      </c>
      <c r="E13" s="9">
        <f t="shared" si="0"/>
        <v>-5.34</v>
      </c>
    </row>
    <row r="14" spans="1:9">
      <c r="A14">
        <v>7.96</v>
      </c>
      <c r="B14">
        <v>11</v>
      </c>
      <c r="C14">
        <v>6.68</v>
      </c>
      <c r="D14">
        <v>52.43</v>
      </c>
      <c r="E14" s="9">
        <f t="shared" si="0"/>
        <v>-4.32</v>
      </c>
    </row>
    <row r="15" spans="1:9">
      <c r="A15">
        <v>8.4600000000000009</v>
      </c>
      <c r="B15">
        <v>11</v>
      </c>
      <c r="C15">
        <v>7.58</v>
      </c>
      <c r="D15">
        <v>60.45</v>
      </c>
      <c r="E15" s="9">
        <f t="shared" si="0"/>
        <v>-3.42</v>
      </c>
    </row>
    <row r="16" spans="1:9">
      <c r="A16">
        <v>8.9600000000000009</v>
      </c>
      <c r="B16">
        <v>11</v>
      </c>
      <c r="C16">
        <v>8.49</v>
      </c>
      <c r="D16">
        <v>68.430000000000007</v>
      </c>
      <c r="E16" s="9">
        <f t="shared" si="0"/>
        <v>-2.5099999999999998</v>
      </c>
    </row>
    <row r="17" spans="1:5">
      <c r="A17">
        <v>9.4600000000000009</v>
      </c>
      <c r="B17">
        <v>11</v>
      </c>
      <c r="C17">
        <v>9.51</v>
      </c>
      <c r="D17">
        <v>74.66</v>
      </c>
      <c r="E17" s="9">
        <f t="shared" si="0"/>
        <v>-1.4900000000000002</v>
      </c>
    </row>
    <row r="18" spans="1:5">
      <c r="A18">
        <v>9.9600000000000009</v>
      </c>
      <c r="B18">
        <v>11</v>
      </c>
      <c r="C18">
        <v>10.3</v>
      </c>
      <c r="D18">
        <v>78.34</v>
      </c>
      <c r="E18" s="9">
        <f t="shared" si="0"/>
        <v>-0.69999999999999929</v>
      </c>
    </row>
    <row r="19" spans="1:5">
      <c r="A19">
        <v>10.46</v>
      </c>
      <c r="B19">
        <v>11</v>
      </c>
      <c r="C19">
        <v>11.09</v>
      </c>
      <c r="D19">
        <v>80.08</v>
      </c>
      <c r="E19" s="9">
        <f t="shared" si="0"/>
        <v>8.9999999999999858E-2</v>
      </c>
    </row>
    <row r="20" spans="1:5">
      <c r="A20">
        <v>10.96</v>
      </c>
      <c r="B20">
        <v>11</v>
      </c>
      <c r="C20">
        <v>11.21</v>
      </c>
      <c r="D20">
        <v>79.849999999999994</v>
      </c>
      <c r="E20" s="9">
        <f t="shared" si="0"/>
        <v>0.21000000000000085</v>
      </c>
    </row>
    <row r="21" spans="1:5">
      <c r="A21">
        <v>11.46</v>
      </c>
      <c r="B21">
        <v>11</v>
      </c>
      <c r="C21">
        <v>11.21</v>
      </c>
      <c r="D21">
        <v>79.34</v>
      </c>
      <c r="E21" s="9">
        <f t="shared" si="0"/>
        <v>0.21000000000000085</v>
      </c>
    </row>
    <row r="22" spans="1:5">
      <c r="A22">
        <v>11.96</v>
      </c>
      <c r="B22">
        <v>11</v>
      </c>
      <c r="C22">
        <v>11.09</v>
      </c>
      <c r="D22">
        <v>78.83</v>
      </c>
      <c r="E22" s="9">
        <f t="shared" si="0"/>
        <v>8.9999999999999858E-2</v>
      </c>
    </row>
    <row r="23" spans="1:5">
      <c r="A23">
        <v>12.46</v>
      </c>
      <c r="B23">
        <v>11</v>
      </c>
      <c r="C23">
        <v>11.09</v>
      </c>
      <c r="D23">
        <v>78.599999999999994</v>
      </c>
      <c r="E23" s="9">
        <f t="shared" si="0"/>
        <v>8.9999999999999858E-2</v>
      </c>
    </row>
    <row r="24" spans="1:5">
      <c r="A24">
        <v>12.96</v>
      </c>
      <c r="B24">
        <v>11</v>
      </c>
      <c r="C24">
        <v>10.98</v>
      </c>
      <c r="D24">
        <v>78.38</v>
      </c>
      <c r="E24" s="9">
        <f t="shared" si="0"/>
        <v>-1.9999999999999574E-2</v>
      </c>
    </row>
    <row r="25" spans="1:5">
      <c r="A25">
        <v>13.46</v>
      </c>
      <c r="B25">
        <v>11</v>
      </c>
      <c r="C25">
        <v>11.09</v>
      </c>
      <c r="D25">
        <v>78.430000000000007</v>
      </c>
      <c r="E25" s="9">
        <f t="shared" si="0"/>
        <v>8.9999999999999858E-2</v>
      </c>
    </row>
    <row r="26" spans="1:5">
      <c r="A26">
        <v>13.96</v>
      </c>
      <c r="B26">
        <v>11</v>
      </c>
      <c r="C26">
        <v>10.98</v>
      </c>
      <c r="D26">
        <v>78.2</v>
      </c>
      <c r="E26" s="9">
        <f t="shared" si="0"/>
        <v>-1.9999999999999574E-2</v>
      </c>
    </row>
    <row r="27" spans="1:5">
      <c r="A27">
        <v>14.46</v>
      </c>
      <c r="B27">
        <v>11</v>
      </c>
      <c r="C27">
        <v>10.98</v>
      </c>
      <c r="D27">
        <v>78.25</v>
      </c>
      <c r="E27" s="9">
        <f t="shared" si="0"/>
        <v>-1.9999999999999574E-2</v>
      </c>
    </row>
    <row r="28" spans="1:5">
      <c r="A28">
        <v>14.96</v>
      </c>
      <c r="B28">
        <v>11</v>
      </c>
      <c r="C28">
        <v>10.98</v>
      </c>
      <c r="D28">
        <v>78.3</v>
      </c>
      <c r="E28" s="9">
        <f t="shared" si="0"/>
        <v>-1.9999999999999574E-2</v>
      </c>
    </row>
    <row r="29" spans="1:5">
      <c r="A29">
        <v>15.46</v>
      </c>
      <c r="B29">
        <v>11</v>
      </c>
      <c r="C29">
        <v>10.98</v>
      </c>
      <c r="D29">
        <v>78.349999999999994</v>
      </c>
      <c r="E29" s="9">
        <f t="shared" si="0"/>
        <v>-1.9999999999999574E-2</v>
      </c>
    </row>
    <row r="30" spans="1:5">
      <c r="A30">
        <v>15.96</v>
      </c>
      <c r="B30">
        <v>11</v>
      </c>
      <c r="C30">
        <v>10.98</v>
      </c>
      <c r="D30">
        <v>78.400000000000006</v>
      </c>
      <c r="E30" s="9">
        <f t="shared" si="0"/>
        <v>-1.9999999999999574E-2</v>
      </c>
    </row>
    <row r="31" spans="1:5">
      <c r="A31">
        <v>16.46</v>
      </c>
      <c r="B31">
        <v>11</v>
      </c>
      <c r="C31">
        <v>10.98</v>
      </c>
      <c r="D31">
        <v>78.45</v>
      </c>
      <c r="E31" s="9">
        <f t="shared" si="0"/>
        <v>-1.9999999999999574E-2</v>
      </c>
    </row>
    <row r="32" spans="1:5">
      <c r="A32">
        <v>16.96</v>
      </c>
      <c r="B32">
        <v>11</v>
      </c>
      <c r="C32">
        <v>10.98</v>
      </c>
      <c r="D32">
        <v>78.5</v>
      </c>
      <c r="E32" s="9">
        <f t="shared" si="0"/>
        <v>-1.9999999999999574E-2</v>
      </c>
    </row>
    <row r="33" spans="1:5">
      <c r="A33">
        <v>17.46</v>
      </c>
      <c r="B33">
        <v>11</v>
      </c>
      <c r="C33">
        <v>10.98</v>
      </c>
      <c r="D33">
        <v>78.56</v>
      </c>
      <c r="E33" s="9">
        <f t="shared" si="0"/>
        <v>-1.9999999999999574E-2</v>
      </c>
    </row>
    <row r="34" spans="1:5">
      <c r="A34">
        <v>17.96</v>
      </c>
      <c r="B34">
        <v>11</v>
      </c>
      <c r="C34">
        <v>10.98</v>
      </c>
      <c r="D34">
        <v>78.61</v>
      </c>
      <c r="E34" s="9">
        <f t="shared" ref="E34:E65" si="1">IF(B34="","",C34-B34)</f>
        <v>-1.9999999999999574E-2</v>
      </c>
    </row>
    <row r="35" spans="1:5">
      <c r="A35">
        <v>18.46</v>
      </c>
      <c r="B35">
        <v>11</v>
      </c>
      <c r="C35">
        <v>10.98</v>
      </c>
      <c r="D35">
        <v>78.66</v>
      </c>
      <c r="E35" s="9">
        <f t="shared" si="1"/>
        <v>-1.9999999999999574E-2</v>
      </c>
    </row>
    <row r="36" spans="1:5">
      <c r="A36">
        <v>18.96</v>
      </c>
      <c r="B36">
        <v>3</v>
      </c>
      <c r="C36">
        <v>10.98</v>
      </c>
      <c r="D36">
        <v>78.67</v>
      </c>
      <c r="E36" s="9">
        <f t="shared" si="1"/>
        <v>7.98</v>
      </c>
    </row>
    <row r="37" spans="1:5">
      <c r="A37">
        <v>19.46</v>
      </c>
      <c r="B37">
        <v>3</v>
      </c>
      <c r="C37">
        <v>10.75</v>
      </c>
      <c r="D37">
        <v>70.67</v>
      </c>
      <c r="E37" s="9">
        <f t="shared" si="1"/>
        <v>7.75</v>
      </c>
    </row>
    <row r="38" spans="1:5">
      <c r="A38">
        <v>19.96</v>
      </c>
      <c r="B38">
        <v>3</v>
      </c>
      <c r="C38">
        <v>9.73</v>
      </c>
      <c r="D38">
        <v>62.69</v>
      </c>
      <c r="E38" s="9">
        <f t="shared" si="1"/>
        <v>6.73</v>
      </c>
    </row>
    <row r="39" spans="1:5">
      <c r="A39">
        <v>20.46</v>
      </c>
      <c r="B39">
        <v>3</v>
      </c>
      <c r="C39">
        <v>8.83</v>
      </c>
      <c r="D39">
        <v>54.67</v>
      </c>
      <c r="E39" s="9">
        <f t="shared" si="1"/>
        <v>5.83</v>
      </c>
    </row>
    <row r="40" spans="1:5">
      <c r="A40">
        <v>20.96</v>
      </c>
      <c r="B40">
        <v>3</v>
      </c>
      <c r="C40">
        <v>7.81</v>
      </c>
      <c r="D40">
        <v>46.69</v>
      </c>
      <c r="E40" s="9">
        <f t="shared" si="1"/>
        <v>4.8099999999999996</v>
      </c>
    </row>
    <row r="41" spans="1:5">
      <c r="A41">
        <v>21.46</v>
      </c>
      <c r="B41">
        <v>3</v>
      </c>
      <c r="C41">
        <v>6</v>
      </c>
      <c r="D41">
        <v>38.67</v>
      </c>
      <c r="E41" s="9">
        <f t="shared" si="1"/>
        <v>3</v>
      </c>
    </row>
    <row r="42" spans="1:5">
      <c r="A42">
        <v>21.96</v>
      </c>
      <c r="B42">
        <v>3</v>
      </c>
      <c r="C42">
        <v>5.09</v>
      </c>
      <c r="D42">
        <v>31.27</v>
      </c>
      <c r="E42" s="9">
        <f t="shared" si="1"/>
        <v>2.09</v>
      </c>
    </row>
    <row r="43" spans="1:5">
      <c r="A43">
        <v>22.46</v>
      </c>
      <c r="B43">
        <v>3</v>
      </c>
      <c r="C43">
        <v>4.1900000000000004</v>
      </c>
      <c r="D43">
        <v>26.07</v>
      </c>
      <c r="E43" s="9">
        <f t="shared" si="1"/>
        <v>1.1900000000000004</v>
      </c>
    </row>
    <row r="44" spans="1:5">
      <c r="A44">
        <v>22.96</v>
      </c>
      <c r="B44">
        <v>3</v>
      </c>
      <c r="C44">
        <v>3.62</v>
      </c>
      <c r="D44">
        <v>23.14</v>
      </c>
      <c r="E44" s="9">
        <f t="shared" si="1"/>
        <v>0.62000000000000011</v>
      </c>
    </row>
    <row r="45" spans="1:5">
      <c r="A45">
        <v>23.46</v>
      </c>
      <c r="B45">
        <v>3</v>
      </c>
      <c r="C45">
        <v>3.28</v>
      </c>
      <c r="D45">
        <v>21.6</v>
      </c>
      <c r="E45" s="9">
        <f t="shared" si="1"/>
        <v>0.2799999999999998</v>
      </c>
    </row>
    <row r="46" spans="1:5">
      <c r="A46">
        <v>23.96</v>
      </c>
      <c r="B46">
        <v>3</v>
      </c>
      <c r="C46">
        <v>2.94</v>
      </c>
      <c r="D46">
        <v>20.9</v>
      </c>
      <c r="E46" s="9">
        <f t="shared" si="1"/>
        <v>-6.0000000000000053E-2</v>
      </c>
    </row>
    <row r="47" spans="1:5">
      <c r="A47">
        <v>24.46</v>
      </c>
      <c r="B47">
        <v>3</v>
      </c>
      <c r="C47">
        <v>2.83</v>
      </c>
      <c r="D47">
        <v>21.04</v>
      </c>
      <c r="E47" s="9">
        <f t="shared" si="1"/>
        <v>-0.16999999999999993</v>
      </c>
    </row>
    <row r="48" spans="1:5">
      <c r="A48">
        <v>24.96</v>
      </c>
      <c r="B48">
        <v>3</v>
      </c>
      <c r="C48">
        <v>2.94</v>
      </c>
      <c r="D48">
        <v>21.46</v>
      </c>
      <c r="E48" s="9">
        <f t="shared" si="1"/>
        <v>-6.0000000000000053E-2</v>
      </c>
    </row>
    <row r="49" spans="1:5">
      <c r="A49">
        <v>25.46</v>
      </c>
      <c r="B49">
        <v>3</v>
      </c>
      <c r="C49">
        <v>2.94</v>
      </c>
      <c r="D49">
        <v>21.6</v>
      </c>
      <c r="E49" s="9">
        <f t="shared" si="1"/>
        <v>-6.0000000000000053E-2</v>
      </c>
    </row>
    <row r="50" spans="1:5">
      <c r="A50">
        <v>25.96</v>
      </c>
      <c r="B50">
        <v>3</v>
      </c>
      <c r="C50">
        <v>2.94</v>
      </c>
      <c r="D50">
        <v>21.74</v>
      </c>
      <c r="E50" s="9">
        <f t="shared" si="1"/>
        <v>-6.0000000000000053E-2</v>
      </c>
    </row>
    <row r="51" spans="1:5">
      <c r="A51">
        <v>26.46</v>
      </c>
      <c r="B51">
        <v>3</v>
      </c>
      <c r="C51">
        <v>2.94</v>
      </c>
      <c r="D51">
        <v>21.88</v>
      </c>
      <c r="E51" s="9">
        <f t="shared" si="1"/>
        <v>-6.0000000000000053E-2</v>
      </c>
    </row>
    <row r="52" spans="1:5">
      <c r="A52">
        <v>26.96</v>
      </c>
      <c r="B52">
        <v>3</v>
      </c>
      <c r="C52">
        <v>3.06</v>
      </c>
      <c r="D52">
        <v>22.02</v>
      </c>
      <c r="E52" s="9">
        <f t="shared" si="1"/>
        <v>6.0000000000000053E-2</v>
      </c>
    </row>
    <row r="53" spans="1:5">
      <c r="A53">
        <v>27.46</v>
      </c>
      <c r="B53">
        <v>3</v>
      </c>
      <c r="C53">
        <v>3.06</v>
      </c>
      <c r="D53">
        <v>21.89</v>
      </c>
      <c r="E53" s="9">
        <f t="shared" si="1"/>
        <v>6.0000000000000053E-2</v>
      </c>
    </row>
    <row r="54" spans="1:5">
      <c r="A54">
        <v>27.96</v>
      </c>
      <c r="B54">
        <v>3</v>
      </c>
      <c r="C54">
        <v>3.06</v>
      </c>
      <c r="D54">
        <v>21.75</v>
      </c>
      <c r="E54" s="9">
        <f t="shared" si="1"/>
        <v>6.0000000000000053E-2</v>
      </c>
    </row>
    <row r="55" spans="1:5">
      <c r="A55">
        <v>28.46</v>
      </c>
      <c r="B55">
        <v>3</v>
      </c>
      <c r="C55">
        <v>2.94</v>
      </c>
      <c r="D55">
        <v>21.61</v>
      </c>
      <c r="E55" s="9">
        <f t="shared" si="1"/>
        <v>-6.0000000000000053E-2</v>
      </c>
    </row>
    <row r="56" spans="1:5">
      <c r="A56">
        <v>28.96</v>
      </c>
      <c r="B56">
        <v>3</v>
      </c>
      <c r="C56">
        <v>2.94</v>
      </c>
      <c r="D56">
        <v>21.75</v>
      </c>
      <c r="E56" s="9">
        <f t="shared" si="1"/>
        <v>-6.0000000000000053E-2</v>
      </c>
    </row>
    <row r="57" spans="1:5">
      <c r="A57">
        <v>29.46</v>
      </c>
      <c r="B57">
        <v>3</v>
      </c>
      <c r="C57">
        <v>2.94</v>
      </c>
      <c r="D57">
        <v>21.89</v>
      </c>
      <c r="E57" s="9">
        <f t="shared" si="1"/>
        <v>-6.0000000000000053E-2</v>
      </c>
    </row>
    <row r="58" spans="1:5">
      <c r="A58">
        <v>29.96</v>
      </c>
      <c r="B58">
        <v>3</v>
      </c>
      <c r="C58">
        <v>3.06</v>
      </c>
      <c r="D58">
        <v>22.03</v>
      </c>
      <c r="E58" s="9">
        <f t="shared" si="1"/>
        <v>6.0000000000000053E-2</v>
      </c>
    </row>
    <row r="59" spans="1:5">
      <c r="A59">
        <v>30.46</v>
      </c>
      <c r="B59">
        <v>3</v>
      </c>
      <c r="C59">
        <v>3.06</v>
      </c>
      <c r="D59">
        <v>21.89</v>
      </c>
      <c r="E59" s="9">
        <f t="shared" si="1"/>
        <v>6.0000000000000053E-2</v>
      </c>
    </row>
    <row r="60" spans="1:5">
      <c r="A60">
        <v>30.96</v>
      </c>
      <c r="B60">
        <v>3</v>
      </c>
      <c r="C60">
        <v>3.06</v>
      </c>
      <c r="D60">
        <v>21.75</v>
      </c>
      <c r="E60" s="9">
        <f t="shared" si="1"/>
        <v>6.0000000000000053E-2</v>
      </c>
    </row>
    <row r="61" spans="1:5">
      <c r="A61">
        <v>31.46</v>
      </c>
      <c r="B61">
        <v>3</v>
      </c>
      <c r="C61">
        <v>2.94</v>
      </c>
      <c r="D61">
        <v>21.61</v>
      </c>
      <c r="E61" s="9">
        <f t="shared" si="1"/>
        <v>-6.0000000000000053E-2</v>
      </c>
    </row>
    <row r="62" spans="1:5">
      <c r="A62">
        <v>31.96</v>
      </c>
      <c r="B62">
        <v>3</v>
      </c>
      <c r="C62">
        <v>2.94</v>
      </c>
      <c r="D62">
        <v>21.76</v>
      </c>
      <c r="E62" s="9">
        <f t="shared" si="1"/>
        <v>-6.0000000000000053E-2</v>
      </c>
    </row>
    <row r="63" spans="1:5">
      <c r="A63">
        <v>32.46</v>
      </c>
      <c r="B63">
        <v>3</v>
      </c>
      <c r="C63">
        <v>3.06</v>
      </c>
      <c r="D63">
        <v>21.9</v>
      </c>
      <c r="E63" s="9">
        <f t="shared" si="1"/>
        <v>6.0000000000000053E-2</v>
      </c>
    </row>
    <row r="64" spans="1:5">
      <c r="A64">
        <v>32.96</v>
      </c>
      <c r="B64">
        <v>3</v>
      </c>
      <c r="C64">
        <v>3.06</v>
      </c>
      <c r="D64">
        <v>21.76</v>
      </c>
      <c r="E64" s="9">
        <f t="shared" si="1"/>
        <v>6.0000000000000053E-2</v>
      </c>
    </row>
    <row r="65" spans="1:5">
      <c r="A65">
        <v>33.46</v>
      </c>
      <c r="B65">
        <v>3</v>
      </c>
      <c r="C65">
        <v>2.94</v>
      </c>
      <c r="D65">
        <v>21.62</v>
      </c>
      <c r="E65" s="9">
        <f t="shared" si="1"/>
        <v>-6.0000000000000053E-2</v>
      </c>
    </row>
    <row r="66" spans="1:5">
      <c r="A66">
        <v>33.96</v>
      </c>
      <c r="B66">
        <v>3</v>
      </c>
      <c r="C66">
        <v>2.94</v>
      </c>
      <c r="D66">
        <v>21.76</v>
      </c>
      <c r="E66" s="9">
        <f t="shared" ref="E66:E74" si="2">IF(B66="","",C66-B66)</f>
        <v>-6.0000000000000053E-2</v>
      </c>
    </row>
    <row r="67" spans="1:5">
      <c r="A67">
        <v>34.46</v>
      </c>
      <c r="B67">
        <v>3</v>
      </c>
      <c r="C67">
        <v>3.06</v>
      </c>
      <c r="D67">
        <v>21.9</v>
      </c>
      <c r="E67" s="9">
        <f t="shared" si="2"/>
        <v>6.0000000000000053E-2</v>
      </c>
    </row>
    <row r="68" spans="1:5">
      <c r="A68">
        <v>34.96</v>
      </c>
      <c r="B68">
        <v>3</v>
      </c>
      <c r="C68">
        <v>2.94</v>
      </c>
      <c r="D68">
        <v>21.76</v>
      </c>
      <c r="E68" s="9">
        <f t="shared" si="2"/>
        <v>-6.0000000000000053E-2</v>
      </c>
    </row>
    <row r="69" spans="1:5">
      <c r="A69">
        <v>35.46</v>
      </c>
      <c r="B69">
        <v>3</v>
      </c>
      <c r="C69">
        <v>2.94</v>
      </c>
      <c r="D69">
        <v>21.9</v>
      </c>
      <c r="E69" s="9">
        <f t="shared" si="2"/>
        <v>-6.0000000000000053E-2</v>
      </c>
    </row>
    <row r="70" spans="1:5">
      <c r="A70">
        <v>35.96</v>
      </c>
      <c r="B70">
        <v>3</v>
      </c>
      <c r="C70">
        <v>3.06</v>
      </c>
      <c r="D70">
        <v>22.05</v>
      </c>
      <c r="E70" s="9">
        <f t="shared" si="2"/>
        <v>6.0000000000000053E-2</v>
      </c>
    </row>
    <row r="71" spans="1:5">
      <c r="A71">
        <v>36.46</v>
      </c>
      <c r="B71">
        <v>3</v>
      </c>
      <c r="C71">
        <v>3.06</v>
      </c>
      <c r="D71">
        <v>21.91</v>
      </c>
      <c r="E71" s="9">
        <f t="shared" si="2"/>
        <v>6.0000000000000053E-2</v>
      </c>
    </row>
    <row r="72" spans="1:5">
      <c r="A72">
        <v>36.96</v>
      </c>
      <c r="B72">
        <v>3</v>
      </c>
      <c r="C72">
        <v>3.06</v>
      </c>
      <c r="D72">
        <v>21.77</v>
      </c>
      <c r="E72" s="9">
        <f t="shared" si="2"/>
        <v>6.0000000000000053E-2</v>
      </c>
    </row>
    <row r="73" spans="1:5">
      <c r="A73">
        <v>37.46</v>
      </c>
      <c r="B73">
        <v>3</v>
      </c>
      <c r="C73">
        <v>3.06</v>
      </c>
      <c r="D73">
        <v>21.63</v>
      </c>
      <c r="E73" s="9">
        <f t="shared" si="2"/>
        <v>6.0000000000000053E-2</v>
      </c>
    </row>
    <row r="74" spans="1:5">
      <c r="A74">
        <v>37.96</v>
      </c>
      <c r="B74">
        <v>3</v>
      </c>
      <c r="C74">
        <v>3.06</v>
      </c>
      <c r="D74">
        <v>21.49</v>
      </c>
      <c r="E74" s="9">
        <f t="shared" si="2"/>
        <v>6.0000000000000053E-2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A23B"/>
  </sheetPr>
  <dimension ref="A1:M7"/>
  <sheetViews>
    <sheetView workbookViewId="0"/>
  </sheetViews>
  <sheetFormatPr defaultRowHeight="14.4"/>
  <cols>
    <col min="1" max="1" width="10" customWidth="1"/>
    <col min="2" max="2" width="9" customWidth="1"/>
    <col min="3" max="4" width="14" customWidth="1"/>
    <col min="5" max="6" width="18" customWidth="1"/>
    <col min="7" max="8" width="15" customWidth="1"/>
    <col min="9" max="9" width="13" customWidth="1"/>
    <col min="10" max="10" width="22" customWidth="1"/>
  </cols>
  <sheetData>
    <row r="1" spans="1:13" ht="30" customHeight="1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</row>
    <row r="2" spans="1:13" ht="15">
      <c r="A2" t="s">
        <v>46</v>
      </c>
      <c r="B2" t="s">
        <v>47</v>
      </c>
      <c r="C2">
        <v>0.06</v>
      </c>
      <c r="D2">
        <v>0.11</v>
      </c>
      <c r="E2">
        <v>31</v>
      </c>
      <c r="F2">
        <v>34</v>
      </c>
      <c r="G2">
        <v>0.12</v>
      </c>
      <c r="H2">
        <v>0.33</v>
      </c>
      <c r="I2" s="19">
        <f t="shared" ref="I2:I7" si="0">AVERAGE(C2:D2)</f>
        <v>8.4999999999999992E-2</v>
      </c>
      <c r="J2" s="20">
        <f t="shared" ref="J2:J7" si="1">AVERAGE(E2:F2)</f>
        <v>32.5</v>
      </c>
      <c r="L2" s="12" t="s">
        <v>48</v>
      </c>
      <c r="M2" s="21">
        <f>D5/D2</f>
        <v>5.8181818181818183</v>
      </c>
    </row>
    <row r="3" spans="1:13">
      <c r="A3" t="s">
        <v>49</v>
      </c>
      <c r="B3" t="s">
        <v>47</v>
      </c>
      <c r="C3">
        <v>0.08</v>
      </c>
      <c r="D3">
        <v>0.22</v>
      </c>
      <c r="E3">
        <v>18</v>
      </c>
      <c r="F3">
        <v>24</v>
      </c>
      <c r="G3">
        <v>0.12</v>
      </c>
      <c r="H3">
        <v>0.33</v>
      </c>
      <c r="I3" s="19">
        <f t="shared" si="0"/>
        <v>0.15</v>
      </c>
      <c r="J3" s="20">
        <f t="shared" si="1"/>
        <v>21</v>
      </c>
      <c r="L3" t="s">
        <v>50</v>
      </c>
    </row>
    <row r="4" spans="1:13">
      <c r="A4" t="s">
        <v>51</v>
      </c>
      <c r="B4" t="s">
        <v>47</v>
      </c>
      <c r="C4">
        <v>0.02</v>
      </c>
      <c r="D4">
        <v>7.0000000000000007E-2</v>
      </c>
      <c r="E4">
        <v>49</v>
      </c>
      <c r="F4">
        <v>54</v>
      </c>
      <c r="G4">
        <v>0.12</v>
      </c>
      <c r="H4">
        <v>0.33</v>
      </c>
      <c r="I4" s="19">
        <f t="shared" si="0"/>
        <v>4.5000000000000005E-2</v>
      </c>
      <c r="J4" s="20">
        <f t="shared" si="1"/>
        <v>51.5</v>
      </c>
    </row>
    <row r="5" spans="1:13">
      <c r="A5" s="22" t="s">
        <v>52</v>
      </c>
      <c r="B5" s="22" t="s">
        <v>53</v>
      </c>
      <c r="C5" s="22">
        <v>0.28000000000000003</v>
      </c>
      <c r="D5" s="22">
        <v>0.64</v>
      </c>
      <c r="E5" s="22">
        <v>58</v>
      </c>
      <c r="F5" s="22">
        <v>58</v>
      </c>
      <c r="G5" s="22">
        <v>1.02</v>
      </c>
      <c r="H5" s="22">
        <v>1.35</v>
      </c>
      <c r="I5" s="23">
        <f t="shared" si="0"/>
        <v>0.46</v>
      </c>
      <c r="J5" s="24">
        <f t="shared" si="1"/>
        <v>58</v>
      </c>
    </row>
    <row r="6" spans="1:13">
      <c r="A6" t="s">
        <v>54</v>
      </c>
      <c r="B6" t="s">
        <v>53</v>
      </c>
      <c r="C6">
        <v>0.32</v>
      </c>
      <c r="D6">
        <v>0.82</v>
      </c>
      <c r="E6">
        <v>36</v>
      </c>
      <c r="F6">
        <v>29</v>
      </c>
      <c r="G6">
        <v>1.1299999999999999</v>
      </c>
      <c r="H6">
        <v>1.51</v>
      </c>
      <c r="I6" s="19">
        <f t="shared" si="0"/>
        <v>0.56999999999999995</v>
      </c>
      <c r="J6" s="20">
        <f t="shared" si="1"/>
        <v>32.5</v>
      </c>
    </row>
    <row r="7" spans="1:13">
      <c r="A7" t="s">
        <v>55</v>
      </c>
      <c r="B7" t="s">
        <v>53</v>
      </c>
      <c r="C7">
        <v>0.36</v>
      </c>
      <c r="D7">
        <v>0.85</v>
      </c>
      <c r="E7">
        <v>28</v>
      </c>
      <c r="F7">
        <v>18</v>
      </c>
      <c r="G7">
        <v>1.29</v>
      </c>
      <c r="H7">
        <v>1.48</v>
      </c>
      <c r="I7" s="19">
        <f t="shared" si="0"/>
        <v>0.60499999999999998</v>
      </c>
      <c r="J7" s="20">
        <f t="shared" si="1"/>
        <v>23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B3_Linearity</vt:lpstr>
      <vt:lpstr>B3_Raw</vt:lpstr>
      <vt:lpstr>T4_ClosedLoop</vt:lpstr>
      <vt:lpstr>Music_Reactive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Bhandohal</cp:lastModifiedBy>
  <cp:lastPrinted>2026-10-29T22:54:23Z</cp:lastPrinted>
  <dcterms:created xsi:type="dcterms:W3CDTF">2026-10-29T22:54:18Z</dcterms:created>
  <dcterms:modified xsi:type="dcterms:W3CDTF">2026-10-29T22:54:23Z</dcterms:modified>
</cp:coreProperties>
</file>