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nmol\projects\showcase\out\"/>
    </mc:Choice>
  </mc:AlternateContent>
  <xr:revisionPtr revIDLastSave="0" documentId="13_ncr:1_{F7B23581-755D-49D0-976D-6669200D0DE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Overview" sheetId="1" r:id="rId1"/>
    <sheet name="Summary" sheetId="2" r:id="rId2"/>
    <sheet name="Dashboard" sheetId="3" r:id="rId3"/>
    <sheet name="RoomA_Night1" sheetId="4" r:id="rId4"/>
    <sheet name="RoomB_Pending" sheetId="5" r:id="rId5"/>
    <sheet name="Weather_Hourly" sheetId="6" r:id="rId6"/>
    <sheet name="Calibration_Pending" sheetId="7" r:id="rId7"/>
    <sheet name="Furnace_Cycles" sheetId="8" r:id="rId8"/>
    <sheet name="ML_Forecas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9" l="1"/>
  <c r="C9" i="9"/>
  <c r="B9" i="9"/>
  <c r="D8" i="9"/>
  <c r="C8" i="9"/>
  <c r="B8" i="9"/>
  <c r="E12" i="8"/>
  <c r="G10" i="8"/>
  <c r="D10" i="8"/>
  <c r="F10" i="8" s="1"/>
  <c r="G9" i="8"/>
  <c r="D9" i="8"/>
  <c r="F9" i="8" s="1"/>
  <c r="G8" i="8"/>
  <c r="D8" i="8"/>
  <c r="F8" i="8" s="1"/>
  <c r="G7" i="8"/>
  <c r="D7" i="8"/>
  <c r="F7" i="8" s="1"/>
  <c r="G6" i="8"/>
  <c r="D6" i="8"/>
  <c r="F6" i="8" s="1"/>
  <c r="G5" i="8"/>
  <c r="D5" i="8"/>
  <c r="F5" i="8" s="1"/>
  <c r="G4" i="8"/>
  <c r="D4" i="8"/>
  <c r="F4" i="8" s="1"/>
  <c r="G3" i="8"/>
  <c r="G12" i="8" s="1"/>
  <c r="D3" i="8"/>
  <c r="F3" i="8" s="1"/>
  <c r="D2" i="8"/>
  <c r="H1441" i="7"/>
  <c r="E1441" i="7"/>
  <c r="D1441" i="7"/>
  <c r="H1440" i="7"/>
  <c r="E1440" i="7"/>
  <c r="D1440" i="7"/>
  <c r="H1439" i="7"/>
  <c r="E1439" i="7"/>
  <c r="D1439" i="7"/>
  <c r="H1438" i="7"/>
  <c r="E1438" i="7"/>
  <c r="D1438" i="7"/>
  <c r="H1437" i="7"/>
  <c r="E1437" i="7"/>
  <c r="D1437" i="7"/>
  <c r="H1436" i="7"/>
  <c r="E1436" i="7"/>
  <c r="D1436" i="7"/>
  <c r="H1435" i="7"/>
  <c r="E1435" i="7"/>
  <c r="D1435" i="7"/>
  <c r="H1434" i="7"/>
  <c r="E1434" i="7"/>
  <c r="D1434" i="7"/>
  <c r="H1433" i="7"/>
  <c r="E1433" i="7"/>
  <c r="D1433" i="7"/>
  <c r="H1432" i="7"/>
  <c r="E1432" i="7"/>
  <c r="D1432" i="7"/>
  <c r="H1431" i="7"/>
  <c r="E1431" i="7"/>
  <c r="D1431" i="7"/>
  <c r="H1430" i="7"/>
  <c r="E1430" i="7"/>
  <c r="D1430" i="7"/>
  <c r="H1429" i="7"/>
  <c r="E1429" i="7"/>
  <c r="D1429" i="7"/>
  <c r="H1428" i="7"/>
  <c r="E1428" i="7"/>
  <c r="D1428" i="7"/>
  <c r="H1427" i="7"/>
  <c r="E1427" i="7"/>
  <c r="D1427" i="7"/>
  <c r="H1426" i="7"/>
  <c r="E1426" i="7"/>
  <c r="D1426" i="7"/>
  <c r="H1425" i="7"/>
  <c r="E1425" i="7"/>
  <c r="D1425" i="7"/>
  <c r="H1424" i="7"/>
  <c r="E1424" i="7"/>
  <c r="D1424" i="7"/>
  <c r="H1423" i="7"/>
  <c r="E1423" i="7"/>
  <c r="D1423" i="7"/>
  <c r="H1422" i="7"/>
  <c r="E1422" i="7"/>
  <c r="D1422" i="7"/>
  <c r="H1421" i="7"/>
  <c r="E1421" i="7"/>
  <c r="D1421" i="7"/>
  <c r="H1420" i="7"/>
  <c r="E1420" i="7"/>
  <c r="D1420" i="7"/>
  <c r="H1419" i="7"/>
  <c r="E1419" i="7"/>
  <c r="D1419" i="7"/>
  <c r="H1418" i="7"/>
  <c r="E1418" i="7"/>
  <c r="D1418" i="7"/>
  <c r="H1417" i="7"/>
  <c r="E1417" i="7"/>
  <c r="D1417" i="7"/>
  <c r="H1416" i="7"/>
  <c r="E1416" i="7"/>
  <c r="D1416" i="7"/>
  <c r="H1415" i="7"/>
  <c r="E1415" i="7"/>
  <c r="D1415" i="7"/>
  <c r="H1414" i="7"/>
  <c r="E1414" i="7"/>
  <c r="D1414" i="7"/>
  <c r="H1413" i="7"/>
  <c r="E1413" i="7"/>
  <c r="D1413" i="7"/>
  <c r="H1412" i="7"/>
  <c r="E1412" i="7"/>
  <c r="D1412" i="7"/>
  <c r="H1411" i="7"/>
  <c r="E1411" i="7"/>
  <c r="D1411" i="7"/>
  <c r="H1410" i="7"/>
  <c r="E1410" i="7"/>
  <c r="D1410" i="7"/>
  <c r="H1409" i="7"/>
  <c r="E1409" i="7"/>
  <c r="D1409" i="7"/>
  <c r="H1408" i="7"/>
  <c r="E1408" i="7"/>
  <c r="D1408" i="7"/>
  <c r="H1407" i="7"/>
  <c r="E1407" i="7"/>
  <c r="D1407" i="7"/>
  <c r="H1406" i="7"/>
  <c r="E1406" i="7"/>
  <c r="D1406" i="7"/>
  <c r="H1405" i="7"/>
  <c r="E1405" i="7"/>
  <c r="D1405" i="7"/>
  <c r="H1404" i="7"/>
  <c r="E1404" i="7"/>
  <c r="D1404" i="7"/>
  <c r="H1403" i="7"/>
  <c r="E1403" i="7"/>
  <c r="D1403" i="7"/>
  <c r="H1402" i="7"/>
  <c r="E1402" i="7"/>
  <c r="D1402" i="7"/>
  <c r="H1401" i="7"/>
  <c r="E1401" i="7"/>
  <c r="D1401" i="7"/>
  <c r="H1400" i="7"/>
  <c r="E1400" i="7"/>
  <c r="D1400" i="7"/>
  <c r="H1399" i="7"/>
  <c r="E1399" i="7"/>
  <c r="D1399" i="7"/>
  <c r="H1398" i="7"/>
  <c r="E1398" i="7"/>
  <c r="D1398" i="7"/>
  <c r="H1397" i="7"/>
  <c r="E1397" i="7"/>
  <c r="D1397" i="7"/>
  <c r="H1396" i="7"/>
  <c r="E1396" i="7"/>
  <c r="D1396" i="7"/>
  <c r="H1395" i="7"/>
  <c r="E1395" i="7"/>
  <c r="D1395" i="7"/>
  <c r="H1394" i="7"/>
  <c r="E1394" i="7"/>
  <c r="D1394" i="7"/>
  <c r="H1393" i="7"/>
  <c r="E1393" i="7"/>
  <c r="D1393" i="7"/>
  <c r="H1392" i="7"/>
  <c r="E1392" i="7"/>
  <c r="D1392" i="7"/>
  <c r="H1391" i="7"/>
  <c r="E1391" i="7"/>
  <c r="D1391" i="7"/>
  <c r="H1390" i="7"/>
  <c r="E1390" i="7"/>
  <c r="D1390" i="7"/>
  <c r="H1389" i="7"/>
  <c r="E1389" i="7"/>
  <c r="D1389" i="7"/>
  <c r="H1388" i="7"/>
  <c r="E1388" i="7"/>
  <c r="D1388" i="7"/>
  <c r="H1387" i="7"/>
  <c r="E1387" i="7"/>
  <c r="D1387" i="7"/>
  <c r="H1386" i="7"/>
  <c r="E1386" i="7"/>
  <c r="D1386" i="7"/>
  <c r="H1385" i="7"/>
  <c r="E1385" i="7"/>
  <c r="D1385" i="7"/>
  <c r="H1384" i="7"/>
  <c r="E1384" i="7"/>
  <c r="D1384" i="7"/>
  <c r="H1383" i="7"/>
  <c r="E1383" i="7"/>
  <c r="D1383" i="7"/>
  <c r="H1382" i="7"/>
  <c r="E1382" i="7"/>
  <c r="D1382" i="7"/>
  <c r="H1381" i="7"/>
  <c r="E1381" i="7"/>
  <c r="D1381" i="7"/>
  <c r="H1380" i="7"/>
  <c r="E1380" i="7"/>
  <c r="D1380" i="7"/>
  <c r="H1379" i="7"/>
  <c r="E1379" i="7"/>
  <c r="D1379" i="7"/>
  <c r="H1378" i="7"/>
  <c r="E1378" i="7"/>
  <c r="D1378" i="7"/>
  <c r="H1377" i="7"/>
  <c r="E1377" i="7"/>
  <c r="D1377" i="7"/>
  <c r="H1376" i="7"/>
  <c r="E1376" i="7"/>
  <c r="D1376" i="7"/>
  <c r="H1375" i="7"/>
  <c r="E1375" i="7"/>
  <c r="D1375" i="7"/>
  <c r="H1374" i="7"/>
  <c r="E1374" i="7"/>
  <c r="D1374" i="7"/>
  <c r="H1373" i="7"/>
  <c r="E1373" i="7"/>
  <c r="D1373" i="7"/>
  <c r="H1372" i="7"/>
  <c r="E1372" i="7"/>
  <c r="D1372" i="7"/>
  <c r="H1371" i="7"/>
  <c r="E1371" i="7"/>
  <c r="D1371" i="7"/>
  <c r="H1370" i="7"/>
  <c r="E1370" i="7"/>
  <c r="D1370" i="7"/>
  <c r="H1369" i="7"/>
  <c r="E1369" i="7"/>
  <c r="D1369" i="7"/>
  <c r="H1368" i="7"/>
  <c r="E1368" i="7"/>
  <c r="D1368" i="7"/>
  <c r="H1367" i="7"/>
  <c r="E1367" i="7"/>
  <c r="D1367" i="7"/>
  <c r="H1366" i="7"/>
  <c r="E1366" i="7"/>
  <c r="D1366" i="7"/>
  <c r="H1365" i="7"/>
  <c r="E1365" i="7"/>
  <c r="D1365" i="7"/>
  <c r="H1364" i="7"/>
  <c r="E1364" i="7"/>
  <c r="D1364" i="7"/>
  <c r="H1363" i="7"/>
  <c r="E1363" i="7"/>
  <c r="D1363" i="7"/>
  <c r="H1362" i="7"/>
  <c r="E1362" i="7"/>
  <c r="D1362" i="7"/>
  <c r="H1361" i="7"/>
  <c r="E1361" i="7"/>
  <c r="D1361" i="7"/>
  <c r="H1360" i="7"/>
  <c r="E1360" i="7"/>
  <c r="D1360" i="7"/>
  <c r="H1359" i="7"/>
  <c r="E1359" i="7"/>
  <c r="D1359" i="7"/>
  <c r="H1358" i="7"/>
  <c r="E1358" i="7"/>
  <c r="D1358" i="7"/>
  <c r="H1357" i="7"/>
  <c r="E1357" i="7"/>
  <c r="D1357" i="7"/>
  <c r="H1356" i="7"/>
  <c r="E1356" i="7"/>
  <c r="D1356" i="7"/>
  <c r="H1355" i="7"/>
  <c r="E1355" i="7"/>
  <c r="D1355" i="7"/>
  <c r="H1354" i="7"/>
  <c r="E1354" i="7"/>
  <c r="D1354" i="7"/>
  <c r="H1353" i="7"/>
  <c r="E1353" i="7"/>
  <c r="D1353" i="7"/>
  <c r="H1352" i="7"/>
  <c r="E1352" i="7"/>
  <c r="D1352" i="7"/>
  <c r="H1351" i="7"/>
  <c r="E1351" i="7"/>
  <c r="D1351" i="7"/>
  <c r="H1350" i="7"/>
  <c r="E1350" i="7"/>
  <c r="D1350" i="7"/>
  <c r="H1349" i="7"/>
  <c r="E1349" i="7"/>
  <c r="D1349" i="7"/>
  <c r="H1348" i="7"/>
  <c r="E1348" i="7"/>
  <c r="D1348" i="7"/>
  <c r="H1347" i="7"/>
  <c r="E1347" i="7"/>
  <c r="D1347" i="7"/>
  <c r="H1346" i="7"/>
  <c r="E1346" i="7"/>
  <c r="D1346" i="7"/>
  <c r="H1345" i="7"/>
  <c r="E1345" i="7"/>
  <c r="D1345" i="7"/>
  <c r="H1344" i="7"/>
  <c r="E1344" i="7"/>
  <c r="D1344" i="7"/>
  <c r="H1343" i="7"/>
  <c r="E1343" i="7"/>
  <c r="D1343" i="7"/>
  <c r="H1342" i="7"/>
  <c r="E1342" i="7"/>
  <c r="D1342" i="7"/>
  <c r="H1341" i="7"/>
  <c r="E1341" i="7"/>
  <c r="D1341" i="7"/>
  <c r="H1340" i="7"/>
  <c r="E1340" i="7"/>
  <c r="D1340" i="7"/>
  <c r="H1339" i="7"/>
  <c r="E1339" i="7"/>
  <c r="D1339" i="7"/>
  <c r="H1338" i="7"/>
  <c r="E1338" i="7"/>
  <c r="D1338" i="7"/>
  <c r="H1337" i="7"/>
  <c r="E1337" i="7"/>
  <c r="D1337" i="7"/>
  <c r="H1336" i="7"/>
  <c r="E1336" i="7"/>
  <c r="D1336" i="7"/>
  <c r="H1335" i="7"/>
  <c r="E1335" i="7"/>
  <c r="D1335" i="7"/>
  <c r="H1334" i="7"/>
  <c r="E1334" i="7"/>
  <c r="D1334" i="7"/>
  <c r="H1333" i="7"/>
  <c r="E1333" i="7"/>
  <c r="D1333" i="7"/>
  <c r="H1332" i="7"/>
  <c r="E1332" i="7"/>
  <c r="D1332" i="7"/>
  <c r="H1331" i="7"/>
  <c r="E1331" i="7"/>
  <c r="D1331" i="7"/>
  <c r="H1330" i="7"/>
  <c r="E1330" i="7"/>
  <c r="D1330" i="7"/>
  <c r="H1329" i="7"/>
  <c r="E1329" i="7"/>
  <c r="D1329" i="7"/>
  <c r="H1328" i="7"/>
  <c r="E1328" i="7"/>
  <c r="D1328" i="7"/>
  <c r="H1327" i="7"/>
  <c r="E1327" i="7"/>
  <c r="D1327" i="7"/>
  <c r="H1326" i="7"/>
  <c r="E1326" i="7"/>
  <c r="D1326" i="7"/>
  <c r="H1325" i="7"/>
  <c r="E1325" i="7"/>
  <c r="D1325" i="7"/>
  <c r="H1324" i="7"/>
  <c r="E1324" i="7"/>
  <c r="D1324" i="7"/>
  <c r="H1323" i="7"/>
  <c r="E1323" i="7"/>
  <c r="D1323" i="7"/>
  <c r="H1322" i="7"/>
  <c r="E1322" i="7"/>
  <c r="D1322" i="7"/>
  <c r="H1321" i="7"/>
  <c r="E1321" i="7"/>
  <c r="D1321" i="7"/>
  <c r="H1320" i="7"/>
  <c r="E1320" i="7"/>
  <c r="D1320" i="7"/>
  <c r="H1319" i="7"/>
  <c r="E1319" i="7"/>
  <c r="D1319" i="7"/>
  <c r="H1318" i="7"/>
  <c r="E1318" i="7"/>
  <c r="D1318" i="7"/>
  <c r="H1317" i="7"/>
  <c r="E1317" i="7"/>
  <c r="D1317" i="7"/>
  <c r="H1316" i="7"/>
  <c r="E1316" i="7"/>
  <c r="D1316" i="7"/>
  <c r="H1315" i="7"/>
  <c r="E1315" i="7"/>
  <c r="D1315" i="7"/>
  <c r="H1314" i="7"/>
  <c r="E1314" i="7"/>
  <c r="D1314" i="7"/>
  <c r="H1313" i="7"/>
  <c r="E1313" i="7"/>
  <c r="D1313" i="7"/>
  <c r="H1312" i="7"/>
  <c r="E1312" i="7"/>
  <c r="D1312" i="7"/>
  <c r="H1311" i="7"/>
  <c r="E1311" i="7"/>
  <c r="D1311" i="7"/>
  <c r="H1310" i="7"/>
  <c r="E1310" i="7"/>
  <c r="D1310" i="7"/>
  <c r="H1309" i="7"/>
  <c r="E1309" i="7"/>
  <c r="D1309" i="7"/>
  <c r="H1308" i="7"/>
  <c r="E1308" i="7"/>
  <c r="D1308" i="7"/>
  <c r="H1307" i="7"/>
  <c r="E1307" i="7"/>
  <c r="D1307" i="7"/>
  <c r="H1306" i="7"/>
  <c r="E1306" i="7"/>
  <c r="D1306" i="7"/>
  <c r="H1305" i="7"/>
  <c r="E1305" i="7"/>
  <c r="D1305" i="7"/>
  <c r="H1304" i="7"/>
  <c r="E1304" i="7"/>
  <c r="D1304" i="7"/>
  <c r="H1303" i="7"/>
  <c r="E1303" i="7"/>
  <c r="D1303" i="7"/>
  <c r="H1302" i="7"/>
  <c r="E1302" i="7"/>
  <c r="D1302" i="7"/>
  <c r="H1301" i="7"/>
  <c r="E1301" i="7"/>
  <c r="D1301" i="7"/>
  <c r="H1300" i="7"/>
  <c r="E1300" i="7"/>
  <c r="D1300" i="7"/>
  <c r="H1299" i="7"/>
  <c r="E1299" i="7"/>
  <c r="D1299" i="7"/>
  <c r="H1298" i="7"/>
  <c r="E1298" i="7"/>
  <c r="D1298" i="7"/>
  <c r="H1297" i="7"/>
  <c r="E1297" i="7"/>
  <c r="D1297" i="7"/>
  <c r="H1296" i="7"/>
  <c r="E1296" i="7"/>
  <c r="D1296" i="7"/>
  <c r="H1295" i="7"/>
  <c r="E1295" i="7"/>
  <c r="D1295" i="7"/>
  <c r="H1294" i="7"/>
  <c r="E1294" i="7"/>
  <c r="D1294" i="7"/>
  <c r="H1293" i="7"/>
  <c r="E1293" i="7"/>
  <c r="D1293" i="7"/>
  <c r="H1292" i="7"/>
  <c r="E1292" i="7"/>
  <c r="D1292" i="7"/>
  <c r="H1291" i="7"/>
  <c r="E1291" i="7"/>
  <c r="D1291" i="7"/>
  <c r="H1290" i="7"/>
  <c r="E1290" i="7"/>
  <c r="D1290" i="7"/>
  <c r="H1289" i="7"/>
  <c r="E1289" i="7"/>
  <c r="D1289" i="7"/>
  <c r="H1288" i="7"/>
  <c r="E1288" i="7"/>
  <c r="D1288" i="7"/>
  <c r="H1287" i="7"/>
  <c r="E1287" i="7"/>
  <c r="D1287" i="7"/>
  <c r="H1286" i="7"/>
  <c r="E1286" i="7"/>
  <c r="D1286" i="7"/>
  <c r="H1285" i="7"/>
  <c r="E1285" i="7"/>
  <c r="D1285" i="7"/>
  <c r="H1284" i="7"/>
  <c r="E1284" i="7"/>
  <c r="D1284" i="7"/>
  <c r="H1283" i="7"/>
  <c r="E1283" i="7"/>
  <c r="D1283" i="7"/>
  <c r="H1282" i="7"/>
  <c r="E1282" i="7"/>
  <c r="D1282" i="7"/>
  <c r="H1281" i="7"/>
  <c r="E1281" i="7"/>
  <c r="D1281" i="7"/>
  <c r="H1280" i="7"/>
  <c r="E1280" i="7"/>
  <c r="D1280" i="7"/>
  <c r="H1279" i="7"/>
  <c r="E1279" i="7"/>
  <c r="D1279" i="7"/>
  <c r="H1278" i="7"/>
  <c r="E1278" i="7"/>
  <c r="D1278" i="7"/>
  <c r="H1277" i="7"/>
  <c r="E1277" i="7"/>
  <c r="D1277" i="7"/>
  <c r="H1276" i="7"/>
  <c r="E1276" i="7"/>
  <c r="D1276" i="7"/>
  <c r="H1275" i="7"/>
  <c r="E1275" i="7"/>
  <c r="D1275" i="7"/>
  <c r="H1274" i="7"/>
  <c r="E1274" i="7"/>
  <c r="D1274" i="7"/>
  <c r="H1273" i="7"/>
  <c r="E1273" i="7"/>
  <c r="D1273" i="7"/>
  <c r="H1272" i="7"/>
  <c r="E1272" i="7"/>
  <c r="D1272" i="7"/>
  <c r="H1271" i="7"/>
  <c r="E1271" i="7"/>
  <c r="D1271" i="7"/>
  <c r="H1270" i="7"/>
  <c r="E1270" i="7"/>
  <c r="D1270" i="7"/>
  <c r="H1269" i="7"/>
  <c r="E1269" i="7"/>
  <c r="D1269" i="7"/>
  <c r="H1268" i="7"/>
  <c r="E1268" i="7"/>
  <c r="D1268" i="7"/>
  <c r="H1267" i="7"/>
  <c r="E1267" i="7"/>
  <c r="D1267" i="7"/>
  <c r="H1266" i="7"/>
  <c r="E1266" i="7"/>
  <c r="D1266" i="7"/>
  <c r="H1265" i="7"/>
  <c r="E1265" i="7"/>
  <c r="D1265" i="7"/>
  <c r="H1264" i="7"/>
  <c r="E1264" i="7"/>
  <c r="D1264" i="7"/>
  <c r="H1263" i="7"/>
  <c r="E1263" i="7"/>
  <c r="D1263" i="7"/>
  <c r="H1262" i="7"/>
  <c r="E1262" i="7"/>
  <c r="D1262" i="7"/>
  <c r="H1261" i="7"/>
  <c r="E1261" i="7"/>
  <c r="D1261" i="7"/>
  <c r="H1260" i="7"/>
  <c r="E1260" i="7"/>
  <c r="D1260" i="7"/>
  <c r="H1259" i="7"/>
  <c r="E1259" i="7"/>
  <c r="D1259" i="7"/>
  <c r="H1258" i="7"/>
  <c r="E1258" i="7"/>
  <c r="D1258" i="7"/>
  <c r="H1257" i="7"/>
  <c r="E1257" i="7"/>
  <c r="D1257" i="7"/>
  <c r="H1256" i="7"/>
  <c r="E1256" i="7"/>
  <c r="D1256" i="7"/>
  <c r="H1255" i="7"/>
  <c r="E1255" i="7"/>
  <c r="D1255" i="7"/>
  <c r="H1254" i="7"/>
  <c r="E1254" i="7"/>
  <c r="D1254" i="7"/>
  <c r="H1253" i="7"/>
  <c r="E1253" i="7"/>
  <c r="D1253" i="7"/>
  <c r="H1252" i="7"/>
  <c r="E1252" i="7"/>
  <c r="D1252" i="7"/>
  <c r="H1251" i="7"/>
  <c r="E1251" i="7"/>
  <c r="D1251" i="7"/>
  <c r="H1250" i="7"/>
  <c r="E1250" i="7"/>
  <c r="D1250" i="7"/>
  <c r="H1249" i="7"/>
  <c r="E1249" i="7"/>
  <c r="D1249" i="7"/>
  <c r="H1248" i="7"/>
  <c r="E1248" i="7"/>
  <c r="D1248" i="7"/>
  <c r="H1247" i="7"/>
  <c r="E1247" i="7"/>
  <c r="D1247" i="7"/>
  <c r="H1246" i="7"/>
  <c r="E1246" i="7"/>
  <c r="D1246" i="7"/>
  <c r="H1245" i="7"/>
  <c r="E1245" i="7"/>
  <c r="D1245" i="7"/>
  <c r="H1244" i="7"/>
  <c r="E1244" i="7"/>
  <c r="D1244" i="7"/>
  <c r="H1243" i="7"/>
  <c r="E1243" i="7"/>
  <c r="D1243" i="7"/>
  <c r="H1242" i="7"/>
  <c r="E1242" i="7"/>
  <c r="D1242" i="7"/>
  <c r="H1241" i="7"/>
  <c r="E1241" i="7"/>
  <c r="D1241" i="7"/>
  <c r="H1240" i="7"/>
  <c r="E1240" i="7"/>
  <c r="D1240" i="7"/>
  <c r="H1239" i="7"/>
  <c r="E1239" i="7"/>
  <c r="D1239" i="7"/>
  <c r="H1238" i="7"/>
  <c r="E1238" i="7"/>
  <c r="D1238" i="7"/>
  <c r="H1237" i="7"/>
  <c r="E1237" i="7"/>
  <c r="D1237" i="7"/>
  <c r="H1236" i="7"/>
  <c r="E1236" i="7"/>
  <c r="D1236" i="7"/>
  <c r="H1235" i="7"/>
  <c r="E1235" i="7"/>
  <c r="D1235" i="7"/>
  <c r="H1234" i="7"/>
  <c r="E1234" i="7"/>
  <c r="D1234" i="7"/>
  <c r="H1233" i="7"/>
  <c r="E1233" i="7"/>
  <c r="D1233" i="7"/>
  <c r="H1232" i="7"/>
  <c r="E1232" i="7"/>
  <c r="D1232" i="7"/>
  <c r="H1231" i="7"/>
  <c r="E1231" i="7"/>
  <c r="D1231" i="7"/>
  <c r="H1230" i="7"/>
  <c r="E1230" i="7"/>
  <c r="D1230" i="7"/>
  <c r="H1229" i="7"/>
  <c r="E1229" i="7"/>
  <c r="D1229" i="7"/>
  <c r="H1228" i="7"/>
  <c r="E1228" i="7"/>
  <c r="D1228" i="7"/>
  <c r="H1227" i="7"/>
  <c r="E1227" i="7"/>
  <c r="D1227" i="7"/>
  <c r="H1226" i="7"/>
  <c r="E1226" i="7"/>
  <c r="D1226" i="7"/>
  <c r="H1225" i="7"/>
  <c r="E1225" i="7"/>
  <c r="D1225" i="7"/>
  <c r="H1224" i="7"/>
  <c r="E1224" i="7"/>
  <c r="D1224" i="7"/>
  <c r="H1223" i="7"/>
  <c r="E1223" i="7"/>
  <c r="D1223" i="7"/>
  <c r="H1222" i="7"/>
  <c r="E1222" i="7"/>
  <c r="D1222" i="7"/>
  <c r="H1221" i="7"/>
  <c r="E1221" i="7"/>
  <c r="D1221" i="7"/>
  <c r="H1220" i="7"/>
  <c r="E1220" i="7"/>
  <c r="D1220" i="7"/>
  <c r="H1219" i="7"/>
  <c r="E1219" i="7"/>
  <c r="D1219" i="7"/>
  <c r="H1218" i="7"/>
  <c r="E1218" i="7"/>
  <c r="D1218" i="7"/>
  <c r="H1217" i="7"/>
  <c r="E1217" i="7"/>
  <c r="D1217" i="7"/>
  <c r="H1216" i="7"/>
  <c r="E1216" i="7"/>
  <c r="D1216" i="7"/>
  <c r="H1215" i="7"/>
  <c r="E1215" i="7"/>
  <c r="D1215" i="7"/>
  <c r="H1214" i="7"/>
  <c r="E1214" i="7"/>
  <c r="D1214" i="7"/>
  <c r="H1213" i="7"/>
  <c r="E1213" i="7"/>
  <c r="D1213" i="7"/>
  <c r="H1212" i="7"/>
  <c r="E1212" i="7"/>
  <c r="D1212" i="7"/>
  <c r="H1211" i="7"/>
  <c r="E1211" i="7"/>
  <c r="D1211" i="7"/>
  <c r="H1210" i="7"/>
  <c r="E1210" i="7"/>
  <c r="D1210" i="7"/>
  <c r="H1209" i="7"/>
  <c r="E1209" i="7"/>
  <c r="D1209" i="7"/>
  <c r="H1208" i="7"/>
  <c r="E1208" i="7"/>
  <c r="D1208" i="7"/>
  <c r="H1207" i="7"/>
  <c r="E1207" i="7"/>
  <c r="D1207" i="7"/>
  <c r="H1206" i="7"/>
  <c r="E1206" i="7"/>
  <c r="D1206" i="7"/>
  <c r="H1205" i="7"/>
  <c r="E1205" i="7"/>
  <c r="D1205" i="7"/>
  <c r="H1204" i="7"/>
  <c r="E1204" i="7"/>
  <c r="D1204" i="7"/>
  <c r="H1203" i="7"/>
  <c r="E1203" i="7"/>
  <c r="D1203" i="7"/>
  <c r="H1202" i="7"/>
  <c r="E1202" i="7"/>
  <c r="D1202" i="7"/>
  <c r="H1201" i="7"/>
  <c r="E1201" i="7"/>
  <c r="D1201" i="7"/>
  <c r="H1200" i="7"/>
  <c r="E1200" i="7"/>
  <c r="D1200" i="7"/>
  <c r="H1199" i="7"/>
  <c r="E1199" i="7"/>
  <c r="D1199" i="7"/>
  <c r="H1198" i="7"/>
  <c r="E1198" i="7"/>
  <c r="D1198" i="7"/>
  <c r="H1197" i="7"/>
  <c r="E1197" i="7"/>
  <c r="D1197" i="7"/>
  <c r="H1196" i="7"/>
  <c r="E1196" i="7"/>
  <c r="D1196" i="7"/>
  <c r="H1195" i="7"/>
  <c r="E1195" i="7"/>
  <c r="D1195" i="7"/>
  <c r="H1194" i="7"/>
  <c r="E1194" i="7"/>
  <c r="D1194" i="7"/>
  <c r="H1193" i="7"/>
  <c r="E1193" i="7"/>
  <c r="D1193" i="7"/>
  <c r="H1192" i="7"/>
  <c r="E1192" i="7"/>
  <c r="D1192" i="7"/>
  <c r="H1191" i="7"/>
  <c r="E1191" i="7"/>
  <c r="D1191" i="7"/>
  <c r="H1190" i="7"/>
  <c r="E1190" i="7"/>
  <c r="D1190" i="7"/>
  <c r="H1189" i="7"/>
  <c r="E1189" i="7"/>
  <c r="D1189" i="7"/>
  <c r="H1188" i="7"/>
  <c r="E1188" i="7"/>
  <c r="D1188" i="7"/>
  <c r="H1187" i="7"/>
  <c r="E1187" i="7"/>
  <c r="D1187" i="7"/>
  <c r="H1186" i="7"/>
  <c r="E1186" i="7"/>
  <c r="D1186" i="7"/>
  <c r="H1185" i="7"/>
  <c r="E1185" i="7"/>
  <c r="D1185" i="7"/>
  <c r="H1184" i="7"/>
  <c r="E1184" i="7"/>
  <c r="D1184" i="7"/>
  <c r="H1183" i="7"/>
  <c r="E1183" i="7"/>
  <c r="D1183" i="7"/>
  <c r="H1182" i="7"/>
  <c r="E1182" i="7"/>
  <c r="D1182" i="7"/>
  <c r="H1181" i="7"/>
  <c r="E1181" i="7"/>
  <c r="D1181" i="7"/>
  <c r="H1180" i="7"/>
  <c r="E1180" i="7"/>
  <c r="D1180" i="7"/>
  <c r="H1179" i="7"/>
  <c r="E1179" i="7"/>
  <c r="D1179" i="7"/>
  <c r="H1178" i="7"/>
  <c r="E1178" i="7"/>
  <c r="D1178" i="7"/>
  <c r="H1177" i="7"/>
  <c r="E1177" i="7"/>
  <c r="D1177" i="7"/>
  <c r="H1176" i="7"/>
  <c r="E1176" i="7"/>
  <c r="D1176" i="7"/>
  <c r="H1175" i="7"/>
  <c r="E1175" i="7"/>
  <c r="D1175" i="7"/>
  <c r="H1174" i="7"/>
  <c r="E1174" i="7"/>
  <c r="D1174" i="7"/>
  <c r="H1173" i="7"/>
  <c r="E1173" i="7"/>
  <c r="D1173" i="7"/>
  <c r="H1172" i="7"/>
  <c r="E1172" i="7"/>
  <c r="D1172" i="7"/>
  <c r="H1171" i="7"/>
  <c r="E1171" i="7"/>
  <c r="D1171" i="7"/>
  <c r="H1170" i="7"/>
  <c r="E1170" i="7"/>
  <c r="D1170" i="7"/>
  <c r="H1169" i="7"/>
  <c r="E1169" i="7"/>
  <c r="D1169" i="7"/>
  <c r="H1168" i="7"/>
  <c r="E1168" i="7"/>
  <c r="D1168" i="7"/>
  <c r="H1167" i="7"/>
  <c r="E1167" i="7"/>
  <c r="D1167" i="7"/>
  <c r="H1166" i="7"/>
  <c r="E1166" i="7"/>
  <c r="D1166" i="7"/>
  <c r="H1165" i="7"/>
  <c r="E1165" i="7"/>
  <c r="D1165" i="7"/>
  <c r="H1164" i="7"/>
  <c r="E1164" i="7"/>
  <c r="D1164" i="7"/>
  <c r="H1163" i="7"/>
  <c r="E1163" i="7"/>
  <c r="D1163" i="7"/>
  <c r="H1162" i="7"/>
  <c r="E1162" i="7"/>
  <c r="D1162" i="7"/>
  <c r="H1161" i="7"/>
  <c r="E1161" i="7"/>
  <c r="D1161" i="7"/>
  <c r="H1160" i="7"/>
  <c r="E1160" i="7"/>
  <c r="D1160" i="7"/>
  <c r="H1159" i="7"/>
  <c r="E1159" i="7"/>
  <c r="D1159" i="7"/>
  <c r="H1158" i="7"/>
  <c r="E1158" i="7"/>
  <c r="D1158" i="7"/>
  <c r="H1157" i="7"/>
  <c r="E1157" i="7"/>
  <c r="D1157" i="7"/>
  <c r="H1156" i="7"/>
  <c r="E1156" i="7"/>
  <c r="D1156" i="7"/>
  <c r="H1155" i="7"/>
  <c r="E1155" i="7"/>
  <c r="D1155" i="7"/>
  <c r="H1154" i="7"/>
  <c r="E1154" i="7"/>
  <c r="D1154" i="7"/>
  <c r="H1153" i="7"/>
  <c r="E1153" i="7"/>
  <c r="D1153" i="7"/>
  <c r="H1152" i="7"/>
  <c r="E1152" i="7"/>
  <c r="D1152" i="7"/>
  <c r="H1151" i="7"/>
  <c r="E1151" i="7"/>
  <c r="D1151" i="7"/>
  <c r="H1150" i="7"/>
  <c r="E1150" i="7"/>
  <c r="D1150" i="7"/>
  <c r="H1149" i="7"/>
  <c r="E1149" i="7"/>
  <c r="D1149" i="7"/>
  <c r="H1148" i="7"/>
  <c r="E1148" i="7"/>
  <c r="D1148" i="7"/>
  <c r="H1147" i="7"/>
  <c r="E1147" i="7"/>
  <c r="D1147" i="7"/>
  <c r="H1146" i="7"/>
  <c r="E1146" i="7"/>
  <c r="D1146" i="7"/>
  <c r="H1145" i="7"/>
  <c r="E1145" i="7"/>
  <c r="D1145" i="7"/>
  <c r="H1144" i="7"/>
  <c r="E1144" i="7"/>
  <c r="D1144" i="7"/>
  <c r="H1143" i="7"/>
  <c r="E1143" i="7"/>
  <c r="D1143" i="7"/>
  <c r="H1142" i="7"/>
  <c r="E1142" i="7"/>
  <c r="D1142" i="7"/>
  <c r="H1141" i="7"/>
  <c r="E1141" i="7"/>
  <c r="D1141" i="7"/>
  <c r="H1140" i="7"/>
  <c r="E1140" i="7"/>
  <c r="D1140" i="7"/>
  <c r="H1139" i="7"/>
  <c r="E1139" i="7"/>
  <c r="D1139" i="7"/>
  <c r="H1138" i="7"/>
  <c r="E1138" i="7"/>
  <c r="D1138" i="7"/>
  <c r="H1137" i="7"/>
  <c r="E1137" i="7"/>
  <c r="D1137" i="7"/>
  <c r="H1136" i="7"/>
  <c r="E1136" i="7"/>
  <c r="D1136" i="7"/>
  <c r="H1135" i="7"/>
  <c r="E1135" i="7"/>
  <c r="D1135" i="7"/>
  <c r="H1134" i="7"/>
  <c r="E1134" i="7"/>
  <c r="D1134" i="7"/>
  <c r="H1133" i="7"/>
  <c r="E1133" i="7"/>
  <c r="D1133" i="7"/>
  <c r="H1132" i="7"/>
  <c r="E1132" i="7"/>
  <c r="D1132" i="7"/>
  <c r="H1131" i="7"/>
  <c r="E1131" i="7"/>
  <c r="D1131" i="7"/>
  <c r="H1130" i="7"/>
  <c r="E1130" i="7"/>
  <c r="D1130" i="7"/>
  <c r="H1129" i="7"/>
  <c r="E1129" i="7"/>
  <c r="D1129" i="7"/>
  <c r="H1128" i="7"/>
  <c r="E1128" i="7"/>
  <c r="D1128" i="7"/>
  <c r="H1127" i="7"/>
  <c r="E1127" i="7"/>
  <c r="D1127" i="7"/>
  <c r="H1126" i="7"/>
  <c r="E1126" i="7"/>
  <c r="D1126" i="7"/>
  <c r="H1125" i="7"/>
  <c r="E1125" i="7"/>
  <c r="D1125" i="7"/>
  <c r="H1124" i="7"/>
  <c r="E1124" i="7"/>
  <c r="D1124" i="7"/>
  <c r="H1123" i="7"/>
  <c r="E1123" i="7"/>
  <c r="D1123" i="7"/>
  <c r="H1122" i="7"/>
  <c r="E1122" i="7"/>
  <c r="D1122" i="7"/>
  <c r="H1121" i="7"/>
  <c r="E1121" i="7"/>
  <c r="D1121" i="7"/>
  <c r="H1120" i="7"/>
  <c r="E1120" i="7"/>
  <c r="D1120" i="7"/>
  <c r="H1119" i="7"/>
  <c r="E1119" i="7"/>
  <c r="D1119" i="7"/>
  <c r="H1118" i="7"/>
  <c r="E1118" i="7"/>
  <c r="D1118" i="7"/>
  <c r="H1117" i="7"/>
  <c r="E1117" i="7"/>
  <c r="D1117" i="7"/>
  <c r="H1116" i="7"/>
  <c r="E1116" i="7"/>
  <c r="D1116" i="7"/>
  <c r="H1115" i="7"/>
  <c r="E1115" i="7"/>
  <c r="D1115" i="7"/>
  <c r="H1114" i="7"/>
  <c r="E1114" i="7"/>
  <c r="D1114" i="7"/>
  <c r="H1113" i="7"/>
  <c r="E1113" i="7"/>
  <c r="D1113" i="7"/>
  <c r="H1112" i="7"/>
  <c r="E1112" i="7"/>
  <c r="D1112" i="7"/>
  <c r="H1111" i="7"/>
  <c r="E1111" i="7"/>
  <c r="D1111" i="7"/>
  <c r="H1110" i="7"/>
  <c r="E1110" i="7"/>
  <c r="D1110" i="7"/>
  <c r="H1109" i="7"/>
  <c r="E1109" i="7"/>
  <c r="D1109" i="7"/>
  <c r="H1108" i="7"/>
  <c r="E1108" i="7"/>
  <c r="D1108" i="7"/>
  <c r="H1107" i="7"/>
  <c r="E1107" i="7"/>
  <c r="D1107" i="7"/>
  <c r="H1106" i="7"/>
  <c r="E1106" i="7"/>
  <c r="D1106" i="7"/>
  <c r="H1105" i="7"/>
  <c r="E1105" i="7"/>
  <c r="D1105" i="7"/>
  <c r="H1104" i="7"/>
  <c r="E1104" i="7"/>
  <c r="D1104" i="7"/>
  <c r="H1103" i="7"/>
  <c r="E1103" i="7"/>
  <c r="D1103" i="7"/>
  <c r="H1102" i="7"/>
  <c r="E1102" i="7"/>
  <c r="D1102" i="7"/>
  <c r="H1101" i="7"/>
  <c r="E1101" i="7"/>
  <c r="D1101" i="7"/>
  <c r="H1100" i="7"/>
  <c r="E1100" i="7"/>
  <c r="D1100" i="7"/>
  <c r="H1099" i="7"/>
  <c r="E1099" i="7"/>
  <c r="D1099" i="7"/>
  <c r="H1098" i="7"/>
  <c r="E1098" i="7"/>
  <c r="D1098" i="7"/>
  <c r="H1097" i="7"/>
  <c r="E1097" i="7"/>
  <c r="D1097" i="7"/>
  <c r="H1096" i="7"/>
  <c r="E1096" i="7"/>
  <c r="D1096" i="7"/>
  <c r="H1095" i="7"/>
  <c r="E1095" i="7"/>
  <c r="D1095" i="7"/>
  <c r="H1094" i="7"/>
  <c r="E1094" i="7"/>
  <c r="D1094" i="7"/>
  <c r="H1093" i="7"/>
  <c r="E1093" i="7"/>
  <c r="D1093" i="7"/>
  <c r="H1092" i="7"/>
  <c r="E1092" i="7"/>
  <c r="D1092" i="7"/>
  <c r="H1091" i="7"/>
  <c r="E1091" i="7"/>
  <c r="D1091" i="7"/>
  <c r="H1090" i="7"/>
  <c r="E1090" i="7"/>
  <c r="D1090" i="7"/>
  <c r="H1089" i="7"/>
  <c r="E1089" i="7"/>
  <c r="D1089" i="7"/>
  <c r="H1088" i="7"/>
  <c r="E1088" i="7"/>
  <c r="D1088" i="7"/>
  <c r="H1087" i="7"/>
  <c r="E1087" i="7"/>
  <c r="D1087" i="7"/>
  <c r="H1086" i="7"/>
  <c r="E1086" i="7"/>
  <c r="D1086" i="7"/>
  <c r="H1085" i="7"/>
  <c r="E1085" i="7"/>
  <c r="D1085" i="7"/>
  <c r="H1084" i="7"/>
  <c r="E1084" i="7"/>
  <c r="D1084" i="7"/>
  <c r="H1083" i="7"/>
  <c r="E1083" i="7"/>
  <c r="D1083" i="7"/>
  <c r="H1082" i="7"/>
  <c r="E1082" i="7"/>
  <c r="D1082" i="7"/>
  <c r="H1081" i="7"/>
  <c r="E1081" i="7"/>
  <c r="D1081" i="7"/>
  <c r="H1080" i="7"/>
  <c r="E1080" i="7"/>
  <c r="D1080" i="7"/>
  <c r="H1079" i="7"/>
  <c r="E1079" i="7"/>
  <c r="D1079" i="7"/>
  <c r="H1078" i="7"/>
  <c r="E1078" i="7"/>
  <c r="D1078" i="7"/>
  <c r="H1077" i="7"/>
  <c r="E1077" i="7"/>
  <c r="D1077" i="7"/>
  <c r="H1076" i="7"/>
  <c r="E1076" i="7"/>
  <c r="D1076" i="7"/>
  <c r="H1075" i="7"/>
  <c r="E1075" i="7"/>
  <c r="D1075" i="7"/>
  <c r="H1074" i="7"/>
  <c r="E1074" i="7"/>
  <c r="D1074" i="7"/>
  <c r="H1073" i="7"/>
  <c r="E1073" i="7"/>
  <c r="D1073" i="7"/>
  <c r="H1072" i="7"/>
  <c r="E1072" i="7"/>
  <c r="D1072" i="7"/>
  <c r="H1071" i="7"/>
  <c r="E1071" i="7"/>
  <c r="D1071" i="7"/>
  <c r="H1070" i="7"/>
  <c r="E1070" i="7"/>
  <c r="D1070" i="7"/>
  <c r="H1069" i="7"/>
  <c r="E1069" i="7"/>
  <c r="D1069" i="7"/>
  <c r="H1068" i="7"/>
  <c r="E1068" i="7"/>
  <c r="D1068" i="7"/>
  <c r="H1067" i="7"/>
  <c r="E1067" i="7"/>
  <c r="D1067" i="7"/>
  <c r="H1066" i="7"/>
  <c r="E1066" i="7"/>
  <c r="D1066" i="7"/>
  <c r="H1065" i="7"/>
  <c r="E1065" i="7"/>
  <c r="D1065" i="7"/>
  <c r="H1064" i="7"/>
  <c r="E1064" i="7"/>
  <c r="D1064" i="7"/>
  <c r="H1063" i="7"/>
  <c r="E1063" i="7"/>
  <c r="D1063" i="7"/>
  <c r="H1062" i="7"/>
  <c r="E1062" i="7"/>
  <c r="D1062" i="7"/>
  <c r="H1061" i="7"/>
  <c r="E1061" i="7"/>
  <c r="D1061" i="7"/>
  <c r="H1060" i="7"/>
  <c r="E1060" i="7"/>
  <c r="D1060" i="7"/>
  <c r="H1059" i="7"/>
  <c r="E1059" i="7"/>
  <c r="D1059" i="7"/>
  <c r="H1058" i="7"/>
  <c r="E1058" i="7"/>
  <c r="D1058" i="7"/>
  <c r="H1057" i="7"/>
  <c r="E1057" i="7"/>
  <c r="D1057" i="7"/>
  <c r="H1056" i="7"/>
  <c r="E1056" i="7"/>
  <c r="D1056" i="7"/>
  <c r="H1055" i="7"/>
  <c r="E1055" i="7"/>
  <c r="D1055" i="7"/>
  <c r="H1054" i="7"/>
  <c r="E1054" i="7"/>
  <c r="D1054" i="7"/>
  <c r="H1053" i="7"/>
  <c r="E1053" i="7"/>
  <c r="D1053" i="7"/>
  <c r="H1052" i="7"/>
  <c r="E1052" i="7"/>
  <c r="D1052" i="7"/>
  <c r="H1051" i="7"/>
  <c r="E1051" i="7"/>
  <c r="D1051" i="7"/>
  <c r="H1050" i="7"/>
  <c r="E1050" i="7"/>
  <c r="D1050" i="7"/>
  <c r="H1049" i="7"/>
  <c r="E1049" i="7"/>
  <c r="D1049" i="7"/>
  <c r="H1048" i="7"/>
  <c r="E1048" i="7"/>
  <c r="D1048" i="7"/>
  <c r="H1047" i="7"/>
  <c r="E1047" i="7"/>
  <c r="D1047" i="7"/>
  <c r="H1046" i="7"/>
  <c r="E1046" i="7"/>
  <c r="D1046" i="7"/>
  <c r="H1045" i="7"/>
  <c r="E1045" i="7"/>
  <c r="D1045" i="7"/>
  <c r="H1044" i="7"/>
  <c r="E1044" i="7"/>
  <c r="D1044" i="7"/>
  <c r="H1043" i="7"/>
  <c r="E1043" i="7"/>
  <c r="D1043" i="7"/>
  <c r="H1042" i="7"/>
  <c r="E1042" i="7"/>
  <c r="D1042" i="7"/>
  <c r="H1041" i="7"/>
  <c r="E1041" i="7"/>
  <c r="D1041" i="7"/>
  <c r="H1040" i="7"/>
  <c r="E1040" i="7"/>
  <c r="D1040" i="7"/>
  <c r="H1039" i="7"/>
  <c r="E1039" i="7"/>
  <c r="D1039" i="7"/>
  <c r="H1038" i="7"/>
  <c r="E1038" i="7"/>
  <c r="D1038" i="7"/>
  <c r="H1037" i="7"/>
  <c r="E1037" i="7"/>
  <c r="D1037" i="7"/>
  <c r="H1036" i="7"/>
  <c r="E1036" i="7"/>
  <c r="D1036" i="7"/>
  <c r="H1035" i="7"/>
  <c r="E1035" i="7"/>
  <c r="D1035" i="7"/>
  <c r="H1034" i="7"/>
  <c r="E1034" i="7"/>
  <c r="D1034" i="7"/>
  <c r="H1033" i="7"/>
  <c r="E1033" i="7"/>
  <c r="D1033" i="7"/>
  <c r="H1032" i="7"/>
  <c r="E1032" i="7"/>
  <c r="D1032" i="7"/>
  <c r="H1031" i="7"/>
  <c r="E1031" i="7"/>
  <c r="D1031" i="7"/>
  <c r="H1030" i="7"/>
  <c r="E1030" i="7"/>
  <c r="D1030" i="7"/>
  <c r="H1029" i="7"/>
  <c r="E1029" i="7"/>
  <c r="D1029" i="7"/>
  <c r="H1028" i="7"/>
  <c r="E1028" i="7"/>
  <c r="D1028" i="7"/>
  <c r="H1027" i="7"/>
  <c r="E1027" i="7"/>
  <c r="D1027" i="7"/>
  <c r="H1026" i="7"/>
  <c r="E1026" i="7"/>
  <c r="D1026" i="7"/>
  <c r="H1025" i="7"/>
  <c r="E1025" i="7"/>
  <c r="D1025" i="7"/>
  <c r="H1024" i="7"/>
  <c r="E1024" i="7"/>
  <c r="D1024" i="7"/>
  <c r="H1023" i="7"/>
  <c r="E1023" i="7"/>
  <c r="D1023" i="7"/>
  <c r="H1022" i="7"/>
  <c r="E1022" i="7"/>
  <c r="D1022" i="7"/>
  <c r="H1021" i="7"/>
  <c r="E1021" i="7"/>
  <c r="D1021" i="7"/>
  <c r="H1020" i="7"/>
  <c r="E1020" i="7"/>
  <c r="D1020" i="7"/>
  <c r="H1019" i="7"/>
  <c r="E1019" i="7"/>
  <c r="D1019" i="7"/>
  <c r="H1018" i="7"/>
  <c r="E1018" i="7"/>
  <c r="D1018" i="7"/>
  <c r="H1017" i="7"/>
  <c r="E1017" i="7"/>
  <c r="D1017" i="7"/>
  <c r="H1016" i="7"/>
  <c r="E1016" i="7"/>
  <c r="D1016" i="7"/>
  <c r="H1015" i="7"/>
  <c r="E1015" i="7"/>
  <c r="D1015" i="7"/>
  <c r="H1014" i="7"/>
  <c r="E1014" i="7"/>
  <c r="D1014" i="7"/>
  <c r="H1013" i="7"/>
  <c r="E1013" i="7"/>
  <c r="D1013" i="7"/>
  <c r="H1012" i="7"/>
  <c r="E1012" i="7"/>
  <c r="D1012" i="7"/>
  <c r="H1011" i="7"/>
  <c r="E1011" i="7"/>
  <c r="D1011" i="7"/>
  <c r="H1010" i="7"/>
  <c r="E1010" i="7"/>
  <c r="D1010" i="7"/>
  <c r="H1009" i="7"/>
  <c r="E1009" i="7"/>
  <c r="D1009" i="7"/>
  <c r="H1008" i="7"/>
  <c r="E1008" i="7"/>
  <c r="D1008" i="7"/>
  <c r="H1007" i="7"/>
  <c r="E1007" i="7"/>
  <c r="D1007" i="7"/>
  <c r="H1006" i="7"/>
  <c r="E1006" i="7"/>
  <c r="D1006" i="7"/>
  <c r="H1005" i="7"/>
  <c r="E1005" i="7"/>
  <c r="D1005" i="7"/>
  <c r="H1004" i="7"/>
  <c r="E1004" i="7"/>
  <c r="D1004" i="7"/>
  <c r="H1003" i="7"/>
  <c r="E1003" i="7"/>
  <c r="D1003" i="7"/>
  <c r="H1002" i="7"/>
  <c r="E1002" i="7"/>
  <c r="D1002" i="7"/>
  <c r="H1001" i="7"/>
  <c r="E1001" i="7"/>
  <c r="D1001" i="7"/>
  <c r="H1000" i="7"/>
  <c r="E1000" i="7"/>
  <c r="D1000" i="7"/>
  <c r="H999" i="7"/>
  <c r="E999" i="7"/>
  <c r="D999" i="7"/>
  <c r="H998" i="7"/>
  <c r="E998" i="7"/>
  <c r="D998" i="7"/>
  <c r="H997" i="7"/>
  <c r="E997" i="7"/>
  <c r="D997" i="7"/>
  <c r="H996" i="7"/>
  <c r="E996" i="7"/>
  <c r="D996" i="7"/>
  <c r="H995" i="7"/>
  <c r="E995" i="7"/>
  <c r="D995" i="7"/>
  <c r="H994" i="7"/>
  <c r="E994" i="7"/>
  <c r="D994" i="7"/>
  <c r="H993" i="7"/>
  <c r="E993" i="7"/>
  <c r="D993" i="7"/>
  <c r="H992" i="7"/>
  <c r="E992" i="7"/>
  <c r="D992" i="7"/>
  <c r="H991" i="7"/>
  <c r="E991" i="7"/>
  <c r="D991" i="7"/>
  <c r="H990" i="7"/>
  <c r="E990" i="7"/>
  <c r="D990" i="7"/>
  <c r="H989" i="7"/>
  <c r="E989" i="7"/>
  <c r="D989" i="7"/>
  <c r="H988" i="7"/>
  <c r="E988" i="7"/>
  <c r="D988" i="7"/>
  <c r="H987" i="7"/>
  <c r="E987" i="7"/>
  <c r="D987" i="7"/>
  <c r="H986" i="7"/>
  <c r="E986" i="7"/>
  <c r="D986" i="7"/>
  <c r="H985" i="7"/>
  <c r="E985" i="7"/>
  <c r="D985" i="7"/>
  <c r="H984" i="7"/>
  <c r="E984" i="7"/>
  <c r="D984" i="7"/>
  <c r="H983" i="7"/>
  <c r="E983" i="7"/>
  <c r="D983" i="7"/>
  <c r="H982" i="7"/>
  <c r="E982" i="7"/>
  <c r="D982" i="7"/>
  <c r="H981" i="7"/>
  <c r="E981" i="7"/>
  <c r="D981" i="7"/>
  <c r="H980" i="7"/>
  <c r="E980" i="7"/>
  <c r="D980" i="7"/>
  <c r="H979" i="7"/>
  <c r="E979" i="7"/>
  <c r="D979" i="7"/>
  <c r="H978" i="7"/>
  <c r="E978" i="7"/>
  <c r="D978" i="7"/>
  <c r="H977" i="7"/>
  <c r="E977" i="7"/>
  <c r="D977" i="7"/>
  <c r="H976" i="7"/>
  <c r="E976" i="7"/>
  <c r="D976" i="7"/>
  <c r="H975" i="7"/>
  <c r="E975" i="7"/>
  <c r="D975" i="7"/>
  <c r="H974" i="7"/>
  <c r="E974" i="7"/>
  <c r="D974" i="7"/>
  <c r="H973" i="7"/>
  <c r="E973" i="7"/>
  <c r="D973" i="7"/>
  <c r="H972" i="7"/>
  <c r="E972" i="7"/>
  <c r="D972" i="7"/>
  <c r="H971" i="7"/>
  <c r="E971" i="7"/>
  <c r="D971" i="7"/>
  <c r="H970" i="7"/>
  <c r="E970" i="7"/>
  <c r="D970" i="7"/>
  <c r="H969" i="7"/>
  <c r="E969" i="7"/>
  <c r="D969" i="7"/>
  <c r="H968" i="7"/>
  <c r="E968" i="7"/>
  <c r="D968" i="7"/>
  <c r="H967" i="7"/>
  <c r="E967" i="7"/>
  <c r="D967" i="7"/>
  <c r="H966" i="7"/>
  <c r="E966" i="7"/>
  <c r="D966" i="7"/>
  <c r="H965" i="7"/>
  <c r="E965" i="7"/>
  <c r="D965" i="7"/>
  <c r="H964" i="7"/>
  <c r="E964" i="7"/>
  <c r="D964" i="7"/>
  <c r="H963" i="7"/>
  <c r="E963" i="7"/>
  <c r="D963" i="7"/>
  <c r="H962" i="7"/>
  <c r="E962" i="7"/>
  <c r="D962" i="7"/>
  <c r="H961" i="7"/>
  <c r="E961" i="7"/>
  <c r="D961" i="7"/>
  <c r="H960" i="7"/>
  <c r="E960" i="7"/>
  <c r="D960" i="7"/>
  <c r="H959" i="7"/>
  <c r="E959" i="7"/>
  <c r="D959" i="7"/>
  <c r="H958" i="7"/>
  <c r="E958" i="7"/>
  <c r="D958" i="7"/>
  <c r="H957" i="7"/>
  <c r="E957" i="7"/>
  <c r="D957" i="7"/>
  <c r="H956" i="7"/>
  <c r="E956" i="7"/>
  <c r="D956" i="7"/>
  <c r="H955" i="7"/>
  <c r="E955" i="7"/>
  <c r="D955" i="7"/>
  <c r="H954" i="7"/>
  <c r="E954" i="7"/>
  <c r="D954" i="7"/>
  <c r="H953" i="7"/>
  <c r="E953" i="7"/>
  <c r="D953" i="7"/>
  <c r="H952" i="7"/>
  <c r="E952" i="7"/>
  <c r="D952" i="7"/>
  <c r="H951" i="7"/>
  <c r="E951" i="7"/>
  <c r="D951" i="7"/>
  <c r="H950" i="7"/>
  <c r="E950" i="7"/>
  <c r="D950" i="7"/>
  <c r="H949" i="7"/>
  <c r="E949" i="7"/>
  <c r="D949" i="7"/>
  <c r="H948" i="7"/>
  <c r="E948" i="7"/>
  <c r="D948" i="7"/>
  <c r="H947" i="7"/>
  <c r="E947" i="7"/>
  <c r="D947" i="7"/>
  <c r="H946" i="7"/>
  <c r="E946" i="7"/>
  <c r="D946" i="7"/>
  <c r="H945" i="7"/>
  <c r="E945" i="7"/>
  <c r="D945" i="7"/>
  <c r="H944" i="7"/>
  <c r="E944" i="7"/>
  <c r="D944" i="7"/>
  <c r="H943" i="7"/>
  <c r="E943" i="7"/>
  <c r="D943" i="7"/>
  <c r="H942" i="7"/>
  <c r="E942" i="7"/>
  <c r="D942" i="7"/>
  <c r="H941" i="7"/>
  <c r="E941" i="7"/>
  <c r="D941" i="7"/>
  <c r="H940" i="7"/>
  <c r="E940" i="7"/>
  <c r="D940" i="7"/>
  <c r="H939" i="7"/>
  <c r="E939" i="7"/>
  <c r="D939" i="7"/>
  <c r="H938" i="7"/>
  <c r="E938" i="7"/>
  <c r="D938" i="7"/>
  <c r="H937" i="7"/>
  <c r="E937" i="7"/>
  <c r="D937" i="7"/>
  <c r="H936" i="7"/>
  <c r="E936" i="7"/>
  <c r="D936" i="7"/>
  <c r="H935" i="7"/>
  <c r="E935" i="7"/>
  <c r="D935" i="7"/>
  <c r="H934" i="7"/>
  <c r="E934" i="7"/>
  <c r="D934" i="7"/>
  <c r="H933" i="7"/>
  <c r="E933" i="7"/>
  <c r="D933" i="7"/>
  <c r="H932" i="7"/>
  <c r="E932" i="7"/>
  <c r="D932" i="7"/>
  <c r="H931" i="7"/>
  <c r="E931" i="7"/>
  <c r="D931" i="7"/>
  <c r="H930" i="7"/>
  <c r="E930" i="7"/>
  <c r="D930" i="7"/>
  <c r="H929" i="7"/>
  <c r="E929" i="7"/>
  <c r="D929" i="7"/>
  <c r="H928" i="7"/>
  <c r="E928" i="7"/>
  <c r="D928" i="7"/>
  <c r="H927" i="7"/>
  <c r="E927" i="7"/>
  <c r="D927" i="7"/>
  <c r="H926" i="7"/>
  <c r="E926" i="7"/>
  <c r="D926" i="7"/>
  <c r="H925" i="7"/>
  <c r="E925" i="7"/>
  <c r="D925" i="7"/>
  <c r="H924" i="7"/>
  <c r="E924" i="7"/>
  <c r="D924" i="7"/>
  <c r="H923" i="7"/>
  <c r="E923" i="7"/>
  <c r="D923" i="7"/>
  <c r="H922" i="7"/>
  <c r="E922" i="7"/>
  <c r="D922" i="7"/>
  <c r="H921" i="7"/>
  <c r="E921" i="7"/>
  <c r="D921" i="7"/>
  <c r="H920" i="7"/>
  <c r="E920" i="7"/>
  <c r="D920" i="7"/>
  <c r="H919" i="7"/>
  <c r="E919" i="7"/>
  <c r="D919" i="7"/>
  <c r="H918" i="7"/>
  <c r="E918" i="7"/>
  <c r="D918" i="7"/>
  <c r="H917" i="7"/>
  <c r="E917" i="7"/>
  <c r="D917" i="7"/>
  <c r="H916" i="7"/>
  <c r="E916" i="7"/>
  <c r="D916" i="7"/>
  <c r="H915" i="7"/>
  <c r="E915" i="7"/>
  <c r="D915" i="7"/>
  <c r="H914" i="7"/>
  <c r="E914" i="7"/>
  <c r="D914" i="7"/>
  <c r="H913" i="7"/>
  <c r="E913" i="7"/>
  <c r="D913" i="7"/>
  <c r="H912" i="7"/>
  <c r="E912" i="7"/>
  <c r="D912" i="7"/>
  <c r="H911" i="7"/>
  <c r="E911" i="7"/>
  <c r="D911" i="7"/>
  <c r="H910" i="7"/>
  <c r="E910" i="7"/>
  <c r="D910" i="7"/>
  <c r="H909" i="7"/>
  <c r="E909" i="7"/>
  <c r="D909" i="7"/>
  <c r="H908" i="7"/>
  <c r="E908" i="7"/>
  <c r="D908" i="7"/>
  <c r="H907" i="7"/>
  <c r="E907" i="7"/>
  <c r="D907" i="7"/>
  <c r="H906" i="7"/>
  <c r="E906" i="7"/>
  <c r="D906" i="7"/>
  <c r="H905" i="7"/>
  <c r="E905" i="7"/>
  <c r="D905" i="7"/>
  <c r="H904" i="7"/>
  <c r="E904" i="7"/>
  <c r="D904" i="7"/>
  <c r="H903" i="7"/>
  <c r="E903" i="7"/>
  <c r="D903" i="7"/>
  <c r="H902" i="7"/>
  <c r="E902" i="7"/>
  <c r="D902" i="7"/>
  <c r="H901" i="7"/>
  <c r="E901" i="7"/>
  <c r="D901" i="7"/>
  <c r="H900" i="7"/>
  <c r="E900" i="7"/>
  <c r="D900" i="7"/>
  <c r="H899" i="7"/>
  <c r="E899" i="7"/>
  <c r="D899" i="7"/>
  <c r="H898" i="7"/>
  <c r="E898" i="7"/>
  <c r="D898" i="7"/>
  <c r="H897" i="7"/>
  <c r="E897" i="7"/>
  <c r="D897" i="7"/>
  <c r="H896" i="7"/>
  <c r="E896" i="7"/>
  <c r="D896" i="7"/>
  <c r="H895" i="7"/>
  <c r="E895" i="7"/>
  <c r="D895" i="7"/>
  <c r="H894" i="7"/>
  <c r="E894" i="7"/>
  <c r="D894" i="7"/>
  <c r="H893" i="7"/>
  <c r="E893" i="7"/>
  <c r="D893" i="7"/>
  <c r="H892" i="7"/>
  <c r="E892" i="7"/>
  <c r="D892" i="7"/>
  <c r="H891" i="7"/>
  <c r="E891" i="7"/>
  <c r="D891" i="7"/>
  <c r="H890" i="7"/>
  <c r="E890" i="7"/>
  <c r="D890" i="7"/>
  <c r="H889" i="7"/>
  <c r="E889" i="7"/>
  <c r="D889" i="7"/>
  <c r="H888" i="7"/>
  <c r="E888" i="7"/>
  <c r="D888" i="7"/>
  <c r="H887" i="7"/>
  <c r="E887" i="7"/>
  <c r="D887" i="7"/>
  <c r="H886" i="7"/>
  <c r="E886" i="7"/>
  <c r="D886" i="7"/>
  <c r="H885" i="7"/>
  <c r="E885" i="7"/>
  <c r="D885" i="7"/>
  <c r="H884" i="7"/>
  <c r="E884" i="7"/>
  <c r="D884" i="7"/>
  <c r="H883" i="7"/>
  <c r="E883" i="7"/>
  <c r="D883" i="7"/>
  <c r="H882" i="7"/>
  <c r="E882" i="7"/>
  <c r="D882" i="7"/>
  <c r="H881" i="7"/>
  <c r="E881" i="7"/>
  <c r="D881" i="7"/>
  <c r="H880" i="7"/>
  <c r="E880" i="7"/>
  <c r="D880" i="7"/>
  <c r="H879" i="7"/>
  <c r="E879" i="7"/>
  <c r="D879" i="7"/>
  <c r="H878" i="7"/>
  <c r="E878" i="7"/>
  <c r="D878" i="7"/>
  <c r="H877" i="7"/>
  <c r="E877" i="7"/>
  <c r="D877" i="7"/>
  <c r="H876" i="7"/>
  <c r="E876" i="7"/>
  <c r="D876" i="7"/>
  <c r="H875" i="7"/>
  <c r="E875" i="7"/>
  <c r="D875" i="7"/>
  <c r="H874" i="7"/>
  <c r="E874" i="7"/>
  <c r="D874" i="7"/>
  <c r="H873" i="7"/>
  <c r="E873" i="7"/>
  <c r="D873" i="7"/>
  <c r="H872" i="7"/>
  <c r="E872" i="7"/>
  <c r="D872" i="7"/>
  <c r="H871" i="7"/>
  <c r="E871" i="7"/>
  <c r="D871" i="7"/>
  <c r="H870" i="7"/>
  <c r="E870" i="7"/>
  <c r="D870" i="7"/>
  <c r="H869" i="7"/>
  <c r="E869" i="7"/>
  <c r="D869" i="7"/>
  <c r="H868" i="7"/>
  <c r="E868" i="7"/>
  <c r="D868" i="7"/>
  <c r="H867" i="7"/>
  <c r="E867" i="7"/>
  <c r="D867" i="7"/>
  <c r="H866" i="7"/>
  <c r="E866" i="7"/>
  <c r="D866" i="7"/>
  <c r="H865" i="7"/>
  <c r="E865" i="7"/>
  <c r="D865" i="7"/>
  <c r="H864" i="7"/>
  <c r="E864" i="7"/>
  <c r="D864" i="7"/>
  <c r="H863" i="7"/>
  <c r="E863" i="7"/>
  <c r="D863" i="7"/>
  <c r="H862" i="7"/>
  <c r="E862" i="7"/>
  <c r="D862" i="7"/>
  <c r="H861" i="7"/>
  <c r="E861" i="7"/>
  <c r="D861" i="7"/>
  <c r="H860" i="7"/>
  <c r="E860" i="7"/>
  <c r="D860" i="7"/>
  <c r="H859" i="7"/>
  <c r="E859" i="7"/>
  <c r="D859" i="7"/>
  <c r="H858" i="7"/>
  <c r="E858" i="7"/>
  <c r="D858" i="7"/>
  <c r="H857" i="7"/>
  <c r="E857" i="7"/>
  <c r="D857" i="7"/>
  <c r="H856" i="7"/>
  <c r="E856" i="7"/>
  <c r="D856" i="7"/>
  <c r="H855" i="7"/>
  <c r="E855" i="7"/>
  <c r="D855" i="7"/>
  <c r="H854" i="7"/>
  <c r="E854" i="7"/>
  <c r="D854" i="7"/>
  <c r="H853" i="7"/>
  <c r="E853" i="7"/>
  <c r="D853" i="7"/>
  <c r="H852" i="7"/>
  <c r="E852" i="7"/>
  <c r="D852" i="7"/>
  <c r="H851" i="7"/>
  <c r="E851" i="7"/>
  <c r="D851" i="7"/>
  <c r="H850" i="7"/>
  <c r="E850" i="7"/>
  <c r="D850" i="7"/>
  <c r="H849" i="7"/>
  <c r="E849" i="7"/>
  <c r="D849" i="7"/>
  <c r="H848" i="7"/>
  <c r="E848" i="7"/>
  <c r="D848" i="7"/>
  <c r="H847" i="7"/>
  <c r="E847" i="7"/>
  <c r="D847" i="7"/>
  <c r="H846" i="7"/>
  <c r="E846" i="7"/>
  <c r="D846" i="7"/>
  <c r="H845" i="7"/>
  <c r="E845" i="7"/>
  <c r="D845" i="7"/>
  <c r="H844" i="7"/>
  <c r="E844" i="7"/>
  <c r="D844" i="7"/>
  <c r="H843" i="7"/>
  <c r="E843" i="7"/>
  <c r="D843" i="7"/>
  <c r="H842" i="7"/>
  <c r="E842" i="7"/>
  <c r="D842" i="7"/>
  <c r="H841" i="7"/>
  <c r="E841" i="7"/>
  <c r="D841" i="7"/>
  <c r="H840" i="7"/>
  <c r="E840" i="7"/>
  <c r="D840" i="7"/>
  <c r="H839" i="7"/>
  <c r="E839" i="7"/>
  <c r="D839" i="7"/>
  <c r="H838" i="7"/>
  <c r="E838" i="7"/>
  <c r="D838" i="7"/>
  <c r="H837" i="7"/>
  <c r="E837" i="7"/>
  <c r="D837" i="7"/>
  <c r="H836" i="7"/>
  <c r="E836" i="7"/>
  <c r="D836" i="7"/>
  <c r="H835" i="7"/>
  <c r="E835" i="7"/>
  <c r="D835" i="7"/>
  <c r="H834" i="7"/>
  <c r="E834" i="7"/>
  <c r="D834" i="7"/>
  <c r="H833" i="7"/>
  <c r="E833" i="7"/>
  <c r="D833" i="7"/>
  <c r="H832" i="7"/>
  <c r="E832" i="7"/>
  <c r="D832" i="7"/>
  <c r="H831" i="7"/>
  <c r="E831" i="7"/>
  <c r="D831" i="7"/>
  <c r="H830" i="7"/>
  <c r="E830" i="7"/>
  <c r="D830" i="7"/>
  <c r="H829" i="7"/>
  <c r="E829" i="7"/>
  <c r="D829" i="7"/>
  <c r="H828" i="7"/>
  <c r="E828" i="7"/>
  <c r="D828" i="7"/>
  <c r="H827" i="7"/>
  <c r="E827" i="7"/>
  <c r="D827" i="7"/>
  <c r="H826" i="7"/>
  <c r="E826" i="7"/>
  <c r="D826" i="7"/>
  <c r="H825" i="7"/>
  <c r="E825" i="7"/>
  <c r="D825" i="7"/>
  <c r="H824" i="7"/>
  <c r="E824" i="7"/>
  <c r="D824" i="7"/>
  <c r="H823" i="7"/>
  <c r="E823" i="7"/>
  <c r="D823" i="7"/>
  <c r="H822" i="7"/>
  <c r="E822" i="7"/>
  <c r="D822" i="7"/>
  <c r="H821" i="7"/>
  <c r="E821" i="7"/>
  <c r="D821" i="7"/>
  <c r="H820" i="7"/>
  <c r="E820" i="7"/>
  <c r="D820" i="7"/>
  <c r="H819" i="7"/>
  <c r="E819" i="7"/>
  <c r="D819" i="7"/>
  <c r="H818" i="7"/>
  <c r="E818" i="7"/>
  <c r="D818" i="7"/>
  <c r="H817" i="7"/>
  <c r="E817" i="7"/>
  <c r="D817" i="7"/>
  <c r="H816" i="7"/>
  <c r="E816" i="7"/>
  <c r="D816" i="7"/>
  <c r="H815" i="7"/>
  <c r="E815" i="7"/>
  <c r="D815" i="7"/>
  <c r="H814" i="7"/>
  <c r="E814" i="7"/>
  <c r="D814" i="7"/>
  <c r="H813" i="7"/>
  <c r="E813" i="7"/>
  <c r="D813" i="7"/>
  <c r="H812" i="7"/>
  <c r="E812" i="7"/>
  <c r="D812" i="7"/>
  <c r="H811" i="7"/>
  <c r="E811" i="7"/>
  <c r="D811" i="7"/>
  <c r="H810" i="7"/>
  <c r="E810" i="7"/>
  <c r="D810" i="7"/>
  <c r="H809" i="7"/>
  <c r="E809" i="7"/>
  <c r="D809" i="7"/>
  <c r="H808" i="7"/>
  <c r="E808" i="7"/>
  <c r="D808" i="7"/>
  <c r="H807" i="7"/>
  <c r="E807" i="7"/>
  <c r="D807" i="7"/>
  <c r="H806" i="7"/>
  <c r="E806" i="7"/>
  <c r="D806" i="7"/>
  <c r="H805" i="7"/>
  <c r="E805" i="7"/>
  <c r="D805" i="7"/>
  <c r="H804" i="7"/>
  <c r="E804" i="7"/>
  <c r="D804" i="7"/>
  <c r="H803" i="7"/>
  <c r="E803" i="7"/>
  <c r="D803" i="7"/>
  <c r="H802" i="7"/>
  <c r="E802" i="7"/>
  <c r="D802" i="7"/>
  <c r="H801" i="7"/>
  <c r="E801" i="7"/>
  <c r="D801" i="7"/>
  <c r="H800" i="7"/>
  <c r="E800" i="7"/>
  <c r="D800" i="7"/>
  <c r="H799" i="7"/>
  <c r="E799" i="7"/>
  <c r="D799" i="7"/>
  <c r="H798" i="7"/>
  <c r="E798" i="7"/>
  <c r="D798" i="7"/>
  <c r="H797" i="7"/>
  <c r="E797" i="7"/>
  <c r="D797" i="7"/>
  <c r="H796" i="7"/>
  <c r="E796" i="7"/>
  <c r="D796" i="7"/>
  <c r="H795" i="7"/>
  <c r="E795" i="7"/>
  <c r="D795" i="7"/>
  <c r="H794" i="7"/>
  <c r="E794" i="7"/>
  <c r="D794" i="7"/>
  <c r="H793" i="7"/>
  <c r="E793" i="7"/>
  <c r="D793" i="7"/>
  <c r="H792" i="7"/>
  <c r="E792" i="7"/>
  <c r="D792" i="7"/>
  <c r="H791" i="7"/>
  <c r="E791" i="7"/>
  <c r="D791" i="7"/>
  <c r="H790" i="7"/>
  <c r="E790" i="7"/>
  <c r="D790" i="7"/>
  <c r="H789" i="7"/>
  <c r="E789" i="7"/>
  <c r="D789" i="7"/>
  <c r="H788" i="7"/>
  <c r="E788" i="7"/>
  <c r="D788" i="7"/>
  <c r="H787" i="7"/>
  <c r="E787" i="7"/>
  <c r="D787" i="7"/>
  <c r="H786" i="7"/>
  <c r="E786" i="7"/>
  <c r="D786" i="7"/>
  <c r="H785" i="7"/>
  <c r="E785" i="7"/>
  <c r="D785" i="7"/>
  <c r="H784" i="7"/>
  <c r="E784" i="7"/>
  <c r="D784" i="7"/>
  <c r="H783" i="7"/>
  <c r="E783" i="7"/>
  <c r="D783" i="7"/>
  <c r="H782" i="7"/>
  <c r="E782" i="7"/>
  <c r="D782" i="7"/>
  <c r="H781" i="7"/>
  <c r="E781" i="7"/>
  <c r="D781" i="7"/>
  <c r="H780" i="7"/>
  <c r="E780" i="7"/>
  <c r="D780" i="7"/>
  <c r="H779" i="7"/>
  <c r="E779" i="7"/>
  <c r="D779" i="7"/>
  <c r="H778" i="7"/>
  <c r="E778" i="7"/>
  <c r="D778" i="7"/>
  <c r="H777" i="7"/>
  <c r="E777" i="7"/>
  <c r="D777" i="7"/>
  <c r="H776" i="7"/>
  <c r="E776" i="7"/>
  <c r="D776" i="7"/>
  <c r="H775" i="7"/>
  <c r="E775" i="7"/>
  <c r="D775" i="7"/>
  <c r="H774" i="7"/>
  <c r="E774" i="7"/>
  <c r="D774" i="7"/>
  <c r="H773" i="7"/>
  <c r="E773" i="7"/>
  <c r="D773" i="7"/>
  <c r="H772" i="7"/>
  <c r="E772" i="7"/>
  <c r="D772" i="7"/>
  <c r="H771" i="7"/>
  <c r="E771" i="7"/>
  <c r="D771" i="7"/>
  <c r="H770" i="7"/>
  <c r="E770" i="7"/>
  <c r="D770" i="7"/>
  <c r="H769" i="7"/>
  <c r="E769" i="7"/>
  <c r="D769" i="7"/>
  <c r="H768" i="7"/>
  <c r="E768" i="7"/>
  <c r="D768" i="7"/>
  <c r="H767" i="7"/>
  <c r="E767" i="7"/>
  <c r="D767" i="7"/>
  <c r="H766" i="7"/>
  <c r="E766" i="7"/>
  <c r="D766" i="7"/>
  <c r="H765" i="7"/>
  <c r="E765" i="7"/>
  <c r="D765" i="7"/>
  <c r="H764" i="7"/>
  <c r="E764" i="7"/>
  <c r="D764" i="7"/>
  <c r="H763" i="7"/>
  <c r="E763" i="7"/>
  <c r="D763" i="7"/>
  <c r="H762" i="7"/>
  <c r="E762" i="7"/>
  <c r="D762" i="7"/>
  <c r="H761" i="7"/>
  <c r="E761" i="7"/>
  <c r="D761" i="7"/>
  <c r="H760" i="7"/>
  <c r="E760" i="7"/>
  <c r="D760" i="7"/>
  <c r="H759" i="7"/>
  <c r="E759" i="7"/>
  <c r="D759" i="7"/>
  <c r="H758" i="7"/>
  <c r="E758" i="7"/>
  <c r="D758" i="7"/>
  <c r="H757" i="7"/>
  <c r="E757" i="7"/>
  <c r="D757" i="7"/>
  <c r="H756" i="7"/>
  <c r="E756" i="7"/>
  <c r="D756" i="7"/>
  <c r="H755" i="7"/>
  <c r="E755" i="7"/>
  <c r="D755" i="7"/>
  <c r="H754" i="7"/>
  <c r="E754" i="7"/>
  <c r="D754" i="7"/>
  <c r="H753" i="7"/>
  <c r="E753" i="7"/>
  <c r="D753" i="7"/>
  <c r="H752" i="7"/>
  <c r="E752" i="7"/>
  <c r="D752" i="7"/>
  <c r="H751" i="7"/>
  <c r="E751" i="7"/>
  <c r="D751" i="7"/>
  <c r="H750" i="7"/>
  <c r="E750" i="7"/>
  <c r="D750" i="7"/>
  <c r="H749" i="7"/>
  <c r="E749" i="7"/>
  <c r="D749" i="7"/>
  <c r="H748" i="7"/>
  <c r="E748" i="7"/>
  <c r="D748" i="7"/>
  <c r="H747" i="7"/>
  <c r="E747" i="7"/>
  <c r="D747" i="7"/>
  <c r="H746" i="7"/>
  <c r="E746" i="7"/>
  <c r="D746" i="7"/>
  <c r="H745" i="7"/>
  <c r="E745" i="7"/>
  <c r="D745" i="7"/>
  <c r="H744" i="7"/>
  <c r="E744" i="7"/>
  <c r="D744" i="7"/>
  <c r="H743" i="7"/>
  <c r="E743" i="7"/>
  <c r="D743" i="7"/>
  <c r="H742" i="7"/>
  <c r="E742" i="7"/>
  <c r="D742" i="7"/>
  <c r="H741" i="7"/>
  <c r="E741" i="7"/>
  <c r="D741" i="7"/>
  <c r="H740" i="7"/>
  <c r="E740" i="7"/>
  <c r="D740" i="7"/>
  <c r="H739" i="7"/>
  <c r="E739" i="7"/>
  <c r="D739" i="7"/>
  <c r="H738" i="7"/>
  <c r="E738" i="7"/>
  <c r="D738" i="7"/>
  <c r="H737" i="7"/>
  <c r="E737" i="7"/>
  <c r="D737" i="7"/>
  <c r="H736" i="7"/>
  <c r="E736" i="7"/>
  <c r="D736" i="7"/>
  <c r="H735" i="7"/>
  <c r="E735" i="7"/>
  <c r="D735" i="7"/>
  <c r="H734" i="7"/>
  <c r="E734" i="7"/>
  <c r="D734" i="7"/>
  <c r="H733" i="7"/>
  <c r="E733" i="7"/>
  <c r="D733" i="7"/>
  <c r="H732" i="7"/>
  <c r="E732" i="7"/>
  <c r="D732" i="7"/>
  <c r="H731" i="7"/>
  <c r="E731" i="7"/>
  <c r="D731" i="7"/>
  <c r="H730" i="7"/>
  <c r="E730" i="7"/>
  <c r="D730" i="7"/>
  <c r="H729" i="7"/>
  <c r="E729" i="7"/>
  <c r="D729" i="7"/>
  <c r="H728" i="7"/>
  <c r="E728" i="7"/>
  <c r="D728" i="7"/>
  <c r="H727" i="7"/>
  <c r="E727" i="7"/>
  <c r="D727" i="7"/>
  <c r="H726" i="7"/>
  <c r="E726" i="7"/>
  <c r="D726" i="7"/>
  <c r="H725" i="7"/>
  <c r="E725" i="7"/>
  <c r="D725" i="7"/>
  <c r="H724" i="7"/>
  <c r="E724" i="7"/>
  <c r="D724" i="7"/>
  <c r="H723" i="7"/>
  <c r="E723" i="7"/>
  <c r="D723" i="7"/>
  <c r="H722" i="7"/>
  <c r="E722" i="7"/>
  <c r="D722" i="7"/>
  <c r="H721" i="7"/>
  <c r="E721" i="7"/>
  <c r="D721" i="7"/>
  <c r="H720" i="7"/>
  <c r="E720" i="7"/>
  <c r="D720" i="7"/>
  <c r="H719" i="7"/>
  <c r="E719" i="7"/>
  <c r="D719" i="7"/>
  <c r="H718" i="7"/>
  <c r="E718" i="7"/>
  <c r="D718" i="7"/>
  <c r="H717" i="7"/>
  <c r="E717" i="7"/>
  <c r="D717" i="7"/>
  <c r="H716" i="7"/>
  <c r="E716" i="7"/>
  <c r="D716" i="7"/>
  <c r="H715" i="7"/>
  <c r="E715" i="7"/>
  <c r="D715" i="7"/>
  <c r="H714" i="7"/>
  <c r="E714" i="7"/>
  <c r="D714" i="7"/>
  <c r="H713" i="7"/>
  <c r="E713" i="7"/>
  <c r="D713" i="7"/>
  <c r="H712" i="7"/>
  <c r="E712" i="7"/>
  <c r="D712" i="7"/>
  <c r="H711" i="7"/>
  <c r="E711" i="7"/>
  <c r="D711" i="7"/>
  <c r="H710" i="7"/>
  <c r="E710" i="7"/>
  <c r="D710" i="7"/>
  <c r="H709" i="7"/>
  <c r="E709" i="7"/>
  <c r="D709" i="7"/>
  <c r="H708" i="7"/>
  <c r="E708" i="7"/>
  <c r="D708" i="7"/>
  <c r="H707" i="7"/>
  <c r="E707" i="7"/>
  <c r="D707" i="7"/>
  <c r="H706" i="7"/>
  <c r="E706" i="7"/>
  <c r="D706" i="7"/>
  <c r="H705" i="7"/>
  <c r="E705" i="7"/>
  <c r="D705" i="7"/>
  <c r="H704" i="7"/>
  <c r="E704" i="7"/>
  <c r="D704" i="7"/>
  <c r="H703" i="7"/>
  <c r="E703" i="7"/>
  <c r="D703" i="7"/>
  <c r="H702" i="7"/>
  <c r="E702" i="7"/>
  <c r="D702" i="7"/>
  <c r="H701" i="7"/>
  <c r="E701" i="7"/>
  <c r="D701" i="7"/>
  <c r="H700" i="7"/>
  <c r="E700" i="7"/>
  <c r="D700" i="7"/>
  <c r="H699" i="7"/>
  <c r="E699" i="7"/>
  <c r="D699" i="7"/>
  <c r="H698" i="7"/>
  <c r="E698" i="7"/>
  <c r="D698" i="7"/>
  <c r="H697" i="7"/>
  <c r="E697" i="7"/>
  <c r="D697" i="7"/>
  <c r="H696" i="7"/>
  <c r="E696" i="7"/>
  <c r="D696" i="7"/>
  <c r="H695" i="7"/>
  <c r="E695" i="7"/>
  <c r="D695" i="7"/>
  <c r="H694" i="7"/>
  <c r="E694" i="7"/>
  <c r="D694" i="7"/>
  <c r="H693" i="7"/>
  <c r="E693" i="7"/>
  <c r="D693" i="7"/>
  <c r="H692" i="7"/>
  <c r="E692" i="7"/>
  <c r="D692" i="7"/>
  <c r="H691" i="7"/>
  <c r="E691" i="7"/>
  <c r="D691" i="7"/>
  <c r="H690" i="7"/>
  <c r="E690" i="7"/>
  <c r="D690" i="7"/>
  <c r="H689" i="7"/>
  <c r="E689" i="7"/>
  <c r="D689" i="7"/>
  <c r="H688" i="7"/>
  <c r="E688" i="7"/>
  <c r="D688" i="7"/>
  <c r="H687" i="7"/>
  <c r="E687" i="7"/>
  <c r="D687" i="7"/>
  <c r="H686" i="7"/>
  <c r="E686" i="7"/>
  <c r="D686" i="7"/>
  <c r="H685" i="7"/>
  <c r="E685" i="7"/>
  <c r="D685" i="7"/>
  <c r="H684" i="7"/>
  <c r="E684" i="7"/>
  <c r="D684" i="7"/>
  <c r="H683" i="7"/>
  <c r="E683" i="7"/>
  <c r="D683" i="7"/>
  <c r="H682" i="7"/>
  <c r="E682" i="7"/>
  <c r="D682" i="7"/>
  <c r="H681" i="7"/>
  <c r="E681" i="7"/>
  <c r="D681" i="7"/>
  <c r="H680" i="7"/>
  <c r="E680" i="7"/>
  <c r="D680" i="7"/>
  <c r="H679" i="7"/>
  <c r="E679" i="7"/>
  <c r="D679" i="7"/>
  <c r="H678" i="7"/>
  <c r="E678" i="7"/>
  <c r="D678" i="7"/>
  <c r="H677" i="7"/>
  <c r="E677" i="7"/>
  <c r="D677" i="7"/>
  <c r="H676" i="7"/>
  <c r="E676" i="7"/>
  <c r="D676" i="7"/>
  <c r="H675" i="7"/>
  <c r="E675" i="7"/>
  <c r="D675" i="7"/>
  <c r="H674" i="7"/>
  <c r="E674" i="7"/>
  <c r="D674" i="7"/>
  <c r="H673" i="7"/>
  <c r="E673" i="7"/>
  <c r="D673" i="7"/>
  <c r="H672" i="7"/>
  <c r="E672" i="7"/>
  <c r="D672" i="7"/>
  <c r="H671" i="7"/>
  <c r="E671" i="7"/>
  <c r="D671" i="7"/>
  <c r="H670" i="7"/>
  <c r="E670" i="7"/>
  <c r="D670" i="7"/>
  <c r="H669" i="7"/>
  <c r="E669" i="7"/>
  <c r="D669" i="7"/>
  <c r="H668" i="7"/>
  <c r="E668" i="7"/>
  <c r="D668" i="7"/>
  <c r="H667" i="7"/>
  <c r="E667" i="7"/>
  <c r="D667" i="7"/>
  <c r="H666" i="7"/>
  <c r="E666" i="7"/>
  <c r="D666" i="7"/>
  <c r="H665" i="7"/>
  <c r="E665" i="7"/>
  <c r="D665" i="7"/>
  <c r="H664" i="7"/>
  <c r="E664" i="7"/>
  <c r="D664" i="7"/>
  <c r="H663" i="7"/>
  <c r="E663" i="7"/>
  <c r="D663" i="7"/>
  <c r="H662" i="7"/>
  <c r="E662" i="7"/>
  <c r="D662" i="7"/>
  <c r="H661" i="7"/>
  <c r="E661" i="7"/>
  <c r="D661" i="7"/>
  <c r="H660" i="7"/>
  <c r="E660" i="7"/>
  <c r="D660" i="7"/>
  <c r="H659" i="7"/>
  <c r="E659" i="7"/>
  <c r="D659" i="7"/>
  <c r="H658" i="7"/>
  <c r="E658" i="7"/>
  <c r="D658" i="7"/>
  <c r="H657" i="7"/>
  <c r="E657" i="7"/>
  <c r="D657" i="7"/>
  <c r="H656" i="7"/>
  <c r="E656" i="7"/>
  <c r="D656" i="7"/>
  <c r="H655" i="7"/>
  <c r="E655" i="7"/>
  <c r="D655" i="7"/>
  <c r="H654" i="7"/>
  <c r="E654" i="7"/>
  <c r="D654" i="7"/>
  <c r="H653" i="7"/>
  <c r="E653" i="7"/>
  <c r="D653" i="7"/>
  <c r="H652" i="7"/>
  <c r="E652" i="7"/>
  <c r="D652" i="7"/>
  <c r="H651" i="7"/>
  <c r="E651" i="7"/>
  <c r="D651" i="7"/>
  <c r="H650" i="7"/>
  <c r="E650" i="7"/>
  <c r="D650" i="7"/>
  <c r="H649" i="7"/>
  <c r="E649" i="7"/>
  <c r="D649" i="7"/>
  <c r="H648" i="7"/>
  <c r="E648" i="7"/>
  <c r="D648" i="7"/>
  <c r="H647" i="7"/>
  <c r="E647" i="7"/>
  <c r="D647" i="7"/>
  <c r="H646" i="7"/>
  <c r="E646" i="7"/>
  <c r="D646" i="7"/>
  <c r="H645" i="7"/>
  <c r="E645" i="7"/>
  <c r="D645" i="7"/>
  <c r="H644" i="7"/>
  <c r="E644" i="7"/>
  <c r="D644" i="7"/>
  <c r="H643" i="7"/>
  <c r="E643" i="7"/>
  <c r="D643" i="7"/>
  <c r="H642" i="7"/>
  <c r="E642" i="7"/>
  <c r="D642" i="7"/>
  <c r="H641" i="7"/>
  <c r="E641" i="7"/>
  <c r="D641" i="7"/>
  <c r="H640" i="7"/>
  <c r="E640" i="7"/>
  <c r="D640" i="7"/>
  <c r="H639" i="7"/>
  <c r="E639" i="7"/>
  <c r="D639" i="7"/>
  <c r="H638" i="7"/>
  <c r="E638" i="7"/>
  <c r="D638" i="7"/>
  <c r="H637" i="7"/>
  <c r="E637" i="7"/>
  <c r="D637" i="7"/>
  <c r="H636" i="7"/>
  <c r="E636" i="7"/>
  <c r="D636" i="7"/>
  <c r="H635" i="7"/>
  <c r="E635" i="7"/>
  <c r="D635" i="7"/>
  <c r="H634" i="7"/>
  <c r="E634" i="7"/>
  <c r="D634" i="7"/>
  <c r="H633" i="7"/>
  <c r="E633" i="7"/>
  <c r="D633" i="7"/>
  <c r="H632" i="7"/>
  <c r="E632" i="7"/>
  <c r="D632" i="7"/>
  <c r="H631" i="7"/>
  <c r="E631" i="7"/>
  <c r="D631" i="7"/>
  <c r="H630" i="7"/>
  <c r="E630" i="7"/>
  <c r="D630" i="7"/>
  <c r="H629" i="7"/>
  <c r="E629" i="7"/>
  <c r="D629" i="7"/>
  <c r="H628" i="7"/>
  <c r="E628" i="7"/>
  <c r="D628" i="7"/>
  <c r="H627" i="7"/>
  <c r="E627" i="7"/>
  <c r="D627" i="7"/>
  <c r="H626" i="7"/>
  <c r="E626" i="7"/>
  <c r="D626" i="7"/>
  <c r="H625" i="7"/>
  <c r="E625" i="7"/>
  <c r="D625" i="7"/>
  <c r="H624" i="7"/>
  <c r="E624" i="7"/>
  <c r="D624" i="7"/>
  <c r="H623" i="7"/>
  <c r="E623" i="7"/>
  <c r="D623" i="7"/>
  <c r="H622" i="7"/>
  <c r="E622" i="7"/>
  <c r="D622" i="7"/>
  <c r="H621" i="7"/>
  <c r="E621" i="7"/>
  <c r="D621" i="7"/>
  <c r="H620" i="7"/>
  <c r="E620" i="7"/>
  <c r="D620" i="7"/>
  <c r="H619" i="7"/>
  <c r="E619" i="7"/>
  <c r="D619" i="7"/>
  <c r="H618" i="7"/>
  <c r="E618" i="7"/>
  <c r="D618" i="7"/>
  <c r="H617" i="7"/>
  <c r="E617" i="7"/>
  <c r="D617" i="7"/>
  <c r="H616" i="7"/>
  <c r="E616" i="7"/>
  <c r="D616" i="7"/>
  <c r="H615" i="7"/>
  <c r="E615" i="7"/>
  <c r="D615" i="7"/>
  <c r="H614" i="7"/>
  <c r="E614" i="7"/>
  <c r="D614" i="7"/>
  <c r="H613" i="7"/>
  <c r="E613" i="7"/>
  <c r="D613" i="7"/>
  <c r="H612" i="7"/>
  <c r="E612" i="7"/>
  <c r="D612" i="7"/>
  <c r="H611" i="7"/>
  <c r="E611" i="7"/>
  <c r="D611" i="7"/>
  <c r="H610" i="7"/>
  <c r="E610" i="7"/>
  <c r="D610" i="7"/>
  <c r="H609" i="7"/>
  <c r="E609" i="7"/>
  <c r="D609" i="7"/>
  <c r="H608" i="7"/>
  <c r="E608" i="7"/>
  <c r="D608" i="7"/>
  <c r="H607" i="7"/>
  <c r="E607" i="7"/>
  <c r="D607" i="7"/>
  <c r="H606" i="7"/>
  <c r="E606" i="7"/>
  <c r="D606" i="7"/>
  <c r="H605" i="7"/>
  <c r="E605" i="7"/>
  <c r="D605" i="7"/>
  <c r="H604" i="7"/>
  <c r="E604" i="7"/>
  <c r="D604" i="7"/>
  <c r="H603" i="7"/>
  <c r="E603" i="7"/>
  <c r="D603" i="7"/>
  <c r="H602" i="7"/>
  <c r="E602" i="7"/>
  <c r="D602" i="7"/>
  <c r="H601" i="7"/>
  <c r="E601" i="7"/>
  <c r="D601" i="7"/>
  <c r="H600" i="7"/>
  <c r="E600" i="7"/>
  <c r="D600" i="7"/>
  <c r="H599" i="7"/>
  <c r="E599" i="7"/>
  <c r="D599" i="7"/>
  <c r="H598" i="7"/>
  <c r="E598" i="7"/>
  <c r="D598" i="7"/>
  <c r="H597" i="7"/>
  <c r="E597" i="7"/>
  <c r="D597" i="7"/>
  <c r="H596" i="7"/>
  <c r="E596" i="7"/>
  <c r="D596" i="7"/>
  <c r="H595" i="7"/>
  <c r="E595" i="7"/>
  <c r="D595" i="7"/>
  <c r="H594" i="7"/>
  <c r="E594" i="7"/>
  <c r="D594" i="7"/>
  <c r="H593" i="7"/>
  <c r="E593" i="7"/>
  <c r="D593" i="7"/>
  <c r="H592" i="7"/>
  <c r="E592" i="7"/>
  <c r="D592" i="7"/>
  <c r="H591" i="7"/>
  <c r="E591" i="7"/>
  <c r="D591" i="7"/>
  <c r="H590" i="7"/>
  <c r="E590" i="7"/>
  <c r="D590" i="7"/>
  <c r="H589" i="7"/>
  <c r="E589" i="7"/>
  <c r="D589" i="7"/>
  <c r="H588" i="7"/>
  <c r="E588" i="7"/>
  <c r="D588" i="7"/>
  <c r="H587" i="7"/>
  <c r="E587" i="7"/>
  <c r="D587" i="7"/>
  <c r="H586" i="7"/>
  <c r="E586" i="7"/>
  <c r="D586" i="7"/>
  <c r="H585" i="7"/>
  <c r="E585" i="7"/>
  <c r="D585" i="7"/>
  <c r="H584" i="7"/>
  <c r="E584" i="7"/>
  <c r="D584" i="7"/>
  <c r="H583" i="7"/>
  <c r="E583" i="7"/>
  <c r="D583" i="7"/>
  <c r="H582" i="7"/>
  <c r="E582" i="7"/>
  <c r="D582" i="7"/>
  <c r="H581" i="7"/>
  <c r="E581" i="7"/>
  <c r="D581" i="7"/>
  <c r="H580" i="7"/>
  <c r="E580" i="7"/>
  <c r="D580" i="7"/>
  <c r="H579" i="7"/>
  <c r="E579" i="7"/>
  <c r="D579" i="7"/>
  <c r="H578" i="7"/>
  <c r="E578" i="7"/>
  <c r="D578" i="7"/>
  <c r="H577" i="7"/>
  <c r="E577" i="7"/>
  <c r="D577" i="7"/>
  <c r="H576" i="7"/>
  <c r="E576" i="7"/>
  <c r="D576" i="7"/>
  <c r="H575" i="7"/>
  <c r="E575" i="7"/>
  <c r="D575" i="7"/>
  <c r="H574" i="7"/>
  <c r="E574" i="7"/>
  <c r="D574" i="7"/>
  <c r="H573" i="7"/>
  <c r="E573" i="7"/>
  <c r="D573" i="7"/>
  <c r="H572" i="7"/>
  <c r="E572" i="7"/>
  <c r="D572" i="7"/>
  <c r="H571" i="7"/>
  <c r="E571" i="7"/>
  <c r="D571" i="7"/>
  <c r="H570" i="7"/>
  <c r="E570" i="7"/>
  <c r="D570" i="7"/>
  <c r="H569" i="7"/>
  <c r="E569" i="7"/>
  <c r="D569" i="7"/>
  <c r="H568" i="7"/>
  <c r="E568" i="7"/>
  <c r="D568" i="7"/>
  <c r="H567" i="7"/>
  <c r="E567" i="7"/>
  <c r="D567" i="7"/>
  <c r="H566" i="7"/>
  <c r="E566" i="7"/>
  <c r="D566" i="7"/>
  <c r="H565" i="7"/>
  <c r="E565" i="7"/>
  <c r="D565" i="7"/>
  <c r="H564" i="7"/>
  <c r="E564" i="7"/>
  <c r="D564" i="7"/>
  <c r="H563" i="7"/>
  <c r="E563" i="7"/>
  <c r="D563" i="7"/>
  <c r="H562" i="7"/>
  <c r="E562" i="7"/>
  <c r="D562" i="7"/>
  <c r="H561" i="7"/>
  <c r="E561" i="7"/>
  <c r="D561" i="7"/>
  <c r="H560" i="7"/>
  <c r="E560" i="7"/>
  <c r="D560" i="7"/>
  <c r="H559" i="7"/>
  <c r="E559" i="7"/>
  <c r="D559" i="7"/>
  <c r="H558" i="7"/>
  <c r="E558" i="7"/>
  <c r="D558" i="7"/>
  <c r="H557" i="7"/>
  <c r="E557" i="7"/>
  <c r="D557" i="7"/>
  <c r="H556" i="7"/>
  <c r="E556" i="7"/>
  <c r="D556" i="7"/>
  <c r="H555" i="7"/>
  <c r="E555" i="7"/>
  <c r="D555" i="7"/>
  <c r="H554" i="7"/>
  <c r="E554" i="7"/>
  <c r="D554" i="7"/>
  <c r="H553" i="7"/>
  <c r="E553" i="7"/>
  <c r="D553" i="7"/>
  <c r="H552" i="7"/>
  <c r="E552" i="7"/>
  <c r="D552" i="7"/>
  <c r="H551" i="7"/>
  <c r="E551" i="7"/>
  <c r="D551" i="7"/>
  <c r="H550" i="7"/>
  <c r="E550" i="7"/>
  <c r="D550" i="7"/>
  <c r="H549" i="7"/>
  <c r="E549" i="7"/>
  <c r="D549" i="7"/>
  <c r="H548" i="7"/>
  <c r="E548" i="7"/>
  <c r="D548" i="7"/>
  <c r="H547" i="7"/>
  <c r="E547" i="7"/>
  <c r="D547" i="7"/>
  <c r="H546" i="7"/>
  <c r="E546" i="7"/>
  <c r="D546" i="7"/>
  <c r="H545" i="7"/>
  <c r="E545" i="7"/>
  <c r="D545" i="7"/>
  <c r="H544" i="7"/>
  <c r="E544" i="7"/>
  <c r="D544" i="7"/>
  <c r="H543" i="7"/>
  <c r="E543" i="7"/>
  <c r="D543" i="7"/>
  <c r="H542" i="7"/>
  <c r="E542" i="7"/>
  <c r="D542" i="7"/>
  <c r="H541" i="7"/>
  <c r="E541" i="7"/>
  <c r="D541" i="7"/>
  <c r="H540" i="7"/>
  <c r="E540" i="7"/>
  <c r="D540" i="7"/>
  <c r="H539" i="7"/>
  <c r="E539" i="7"/>
  <c r="D539" i="7"/>
  <c r="H538" i="7"/>
  <c r="E538" i="7"/>
  <c r="D538" i="7"/>
  <c r="H537" i="7"/>
  <c r="E537" i="7"/>
  <c r="D537" i="7"/>
  <c r="H536" i="7"/>
  <c r="E536" i="7"/>
  <c r="D536" i="7"/>
  <c r="H535" i="7"/>
  <c r="E535" i="7"/>
  <c r="D535" i="7"/>
  <c r="H534" i="7"/>
  <c r="E534" i="7"/>
  <c r="D534" i="7"/>
  <c r="H533" i="7"/>
  <c r="E533" i="7"/>
  <c r="D533" i="7"/>
  <c r="H532" i="7"/>
  <c r="E532" i="7"/>
  <c r="D532" i="7"/>
  <c r="H531" i="7"/>
  <c r="E531" i="7"/>
  <c r="D531" i="7"/>
  <c r="H530" i="7"/>
  <c r="E530" i="7"/>
  <c r="D530" i="7"/>
  <c r="H529" i="7"/>
  <c r="E529" i="7"/>
  <c r="D529" i="7"/>
  <c r="H528" i="7"/>
  <c r="E528" i="7"/>
  <c r="D528" i="7"/>
  <c r="H527" i="7"/>
  <c r="E527" i="7"/>
  <c r="D527" i="7"/>
  <c r="H526" i="7"/>
  <c r="E526" i="7"/>
  <c r="D526" i="7"/>
  <c r="H525" i="7"/>
  <c r="E525" i="7"/>
  <c r="D525" i="7"/>
  <c r="H524" i="7"/>
  <c r="E524" i="7"/>
  <c r="D524" i="7"/>
  <c r="H523" i="7"/>
  <c r="E523" i="7"/>
  <c r="D523" i="7"/>
  <c r="H522" i="7"/>
  <c r="E522" i="7"/>
  <c r="D522" i="7"/>
  <c r="H521" i="7"/>
  <c r="E521" i="7"/>
  <c r="D521" i="7"/>
  <c r="H520" i="7"/>
  <c r="E520" i="7"/>
  <c r="D520" i="7"/>
  <c r="H519" i="7"/>
  <c r="E519" i="7"/>
  <c r="D519" i="7"/>
  <c r="H518" i="7"/>
  <c r="E518" i="7"/>
  <c r="D518" i="7"/>
  <c r="H517" i="7"/>
  <c r="E517" i="7"/>
  <c r="D517" i="7"/>
  <c r="H516" i="7"/>
  <c r="E516" i="7"/>
  <c r="D516" i="7"/>
  <c r="H515" i="7"/>
  <c r="E515" i="7"/>
  <c r="D515" i="7"/>
  <c r="H514" i="7"/>
  <c r="E514" i="7"/>
  <c r="D514" i="7"/>
  <c r="H513" i="7"/>
  <c r="E513" i="7"/>
  <c r="D513" i="7"/>
  <c r="H512" i="7"/>
  <c r="E512" i="7"/>
  <c r="D512" i="7"/>
  <c r="H511" i="7"/>
  <c r="E511" i="7"/>
  <c r="D511" i="7"/>
  <c r="H510" i="7"/>
  <c r="E510" i="7"/>
  <c r="D510" i="7"/>
  <c r="H509" i="7"/>
  <c r="E509" i="7"/>
  <c r="D509" i="7"/>
  <c r="H508" i="7"/>
  <c r="E508" i="7"/>
  <c r="D508" i="7"/>
  <c r="H507" i="7"/>
  <c r="E507" i="7"/>
  <c r="D507" i="7"/>
  <c r="H506" i="7"/>
  <c r="E506" i="7"/>
  <c r="D506" i="7"/>
  <c r="H505" i="7"/>
  <c r="E505" i="7"/>
  <c r="D505" i="7"/>
  <c r="H504" i="7"/>
  <c r="E504" i="7"/>
  <c r="D504" i="7"/>
  <c r="H503" i="7"/>
  <c r="E503" i="7"/>
  <c r="D503" i="7"/>
  <c r="H502" i="7"/>
  <c r="E502" i="7"/>
  <c r="D502" i="7"/>
  <c r="H501" i="7"/>
  <c r="E501" i="7"/>
  <c r="D501" i="7"/>
  <c r="H500" i="7"/>
  <c r="E500" i="7"/>
  <c r="D500" i="7"/>
  <c r="H499" i="7"/>
  <c r="E499" i="7"/>
  <c r="D499" i="7"/>
  <c r="H498" i="7"/>
  <c r="E498" i="7"/>
  <c r="D498" i="7"/>
  <c r="H497" i="7"/>
  <c r="E497" i="7"/>
  <c r="D497" i="7"/>
  <c r="H496" i="7"/>
  <c r="E496" i="7"/>
  <c r="D496" i="7"/>
  <c r="H495" i="7"/>
  <c r="E495" i="7"/>
  <c r="D495" i="7"/>
  <c r="H494" i="7"/>
  <c r="E494" i="7"/>
  <c r="D494" i="7"/>
  <c r="H493" i="7"/>
  <c r="E493" i="7"/>
  <c r="D493" i="7"/>
  <c r="H492" i="7"/>
  <c r="E492" i="7"/>
  <c r="D492" i="7"/>
  <c r="H491" i="7"/>
  <c r="E491" i="7"/>
  <c r="D491" i="7"/>
  <c r="H490" i="7"/>
  <c r="E490" i="7"/>
  <c r="D490" i="7"/>
  <c r="H489" i="7"/>
  <c r="E489" i="7"/>
  <c r="D489" i="7"/>
  <c r="H488" i="7"/>
  <c r="E488" i="7"/>
  <c r="D488" i="7"/>
  <c r="H487" i="7"/>
  <c r="E487" i="7"/>
  <c r="D487" i="7"/>
  <c r="H486" i="7"/>
  <c r="E486" i="7"/>
  <c r="D486" i="7"/>
  <c r="H485" i="7"/>
  <c r="E485" i="7"/>
  <c r="D485" i="7"/>
  <c r="H484" i="7"/>
  <c r="E484" i="7"/>
  <c r="D484" i="7"/>
  <c r="H483" i="7"/>
  <c r="E483" i="7"/>
  <c r="D483" i="7"/>
  <c r="H482" i="7"/>
  <c r="E482" i="7"/>
  <c r="D482" i="7"/>
  <c r="H481" i="7"/>
  <c r="E481" i="7"/>
  <c r="D481" i="7"/>
  <c r="H480" i="7"/>
  <c r="E480" i="7"/>
  <c r="D480" i="7"/>
  <c r="H479" i="7"/>
  <c r="E479" i="7"/>
  <c r="D479" i="7"/>
  <c r="H478" i="7"/>
  <c r="E478" i="7"/>
  <c r="D478" i="7"/>
  <c r="H477" i="7"/>
  <c r="E477" i="7"/>
  <c r="D477" i="7"/>
  <c r="H476" i="7"/>
  <c r="E476" i="7"/>
  <c r="D476" i="7"/>
  <c r="H475" i="7"/>
  <c r="E475" i="7"/>
  <c r="D475" i="7"/>
  <c r="H474" i="7"/>
  <c r="E474" i="7"/>
  <c r="D474" i="7"/>
  <c r="H473" i="7"/>
  <c r="E473" i="7"/>
  <c r="D473" i="7"/>
  <c r="H472" i="7"/>
  <c r="E472" i="7"/>
  <c r="D472" i="7"/>
  <c r="H471" i="7"/>
  <c r="E471" i="7"/>
  <c r="D471" i="7"/>
  <c r="H470" i="7"/>
  <c r="E470" i="7"/>
  <c r="D470" i="7"/>
  <c r="H469" i="7"/>
  <c r="E469" i="7"/>
  <c r="D469" i="7"/>
  <c r="H468" i="7"/>
  <c r="E468" i="7"/>
  <c r="D468" i="7"/>
  <c r="H467" i="7"/>
  <c r="E467" i="7"/>
  <c r="D467" i="7"/>
  <c r="H466" i="7"/>
  <c r="E466" i="7"/>
  <c r="D466" i="7"/>
  <c r="H465" i="7"/>
  <c r="E465" i="7"/>
  <c r="D465" i="7"/>
  <c r="H464" i="7"/>
  <c r="E464" i="7"/>
  <c r="D464" i="7"/>
  <c r="H463" i="7"/>
  <c r="E463" i="7"/>
  <c r="D463" i="7"/>
  <c r="H462" i="7"/>
  <c r="E462" i="7"/>
  <c r="D462" i="7"/>
  <c r="H461" i="7"/>
  <c r="E461" i="7"/>
  <c r="D461" i="7"/>
  <c r="H460" i="7"/>
  <c r="E460" i="7"/>
  <c r="D460" i="7"/>
  <c r="H459" i="7"/>
  <c r="E459" i="7"/>
  <c r="D459" i="7"/>
  <c r="H458" i="7"/>
  <c r="E458" i="7"/>
  <c r="D458" i="7"/>
  <c r="H457" i="7"/>
  <c r="E457" i="7"/>
  <c r="D457" i="7"/>
  <c r="H456" i="7"/>
  <c r="E456" i="7"/>
  <c r="D456" i="7"/>
  <c r="H455" i="7"/>
  <c r="E455" i="7"/>
  <c r="D455" i="7"/>
  <c r="H454" i="7"/>
  <c r="E454" i="7"/>
  <c r="D454" i="7"/>
  <c r="H453" i="7"/>
  <c r="E453" i="7"/>
  <c r="D453" i="7"/>
  <c r="H452" i="7"/>
  <c r="E452" i="7"/>
  <c r="D452" i="7"/>
  <c r="H451" i="7"/>
  <c r="E451" i="7"/>
  <c r="D451" i="7"/>
  <c r="H450" i="7"/>
  <c r="E450" i="7"/>
  <c r="D450" i="7"/>
  <c r="H449" i="7"/>
  <c r="E449" i="7"/>
  <c r="D449" i="7"/>
  <c r="H448" i="7"/>
  <c r="E448" i="7"/>
  <c r="D448" i="7"/>
  <c r="H447" i="7"/>
  <c r="E447" i="7"/>
  <c r="D447" i="7"/>
  <c r="H446" i="7"/>
  <c r="E446" i="7"/>
  <c r="D446" i="7"/>
  <c r="H445" i="7"/>
  <c r="E445" i="7"/>
  <c r="D445" i="7"/>
  <c r="H444" i="7"/>
  <c r="E444" i="7"/>
  <c r="D444" i="7"/>
  <c r="H443" i="7"/>
  <c r="E443" i="7"/>
  <c r="D443" i="7"/>
  <c r="H442" i="7"/>
  <c r="E442" i="7"/>
  <c r="D442" i="7"/>
  <c r="H441" i="7"/>
  <c r="E441" i="7"/>
  <c r="D441" i="7"/>
  <c r="H440" i="7"/>
  <c r="E440" i="7"/>
  <c r="D440" i="7"/>
  <c r="H439" i="7"/>
  <c r="E439" i="7"/>
  <c r="D439" i="7"/>
  <c r="H438" i="7"/>
  <c r="E438" i="7"/>
  <c r="D438" i="7"/>
  <c r="H437" i="7"/>
  <c r="E437" i="7"/>
  <c r="D437" i="7"/>
  <c r="H436" i="7"/>
  <c r="E436" i="7"/>
  <c r="D436" i="7"/>
  <c r="H435" i="7"/>
  <c r="E435" i="7"/>
  <c r="D435" i="7"/>
  <c r="H434" i="7"/>
  <c r="E434" i="7"/>
  <c r="D434" i="7"/>
  <c r="H433" i="7"/>
  <c r="E433" i="7"/>
  <c r="D433" i="7"/>
  <c r="H432" i="7"/>
  <c r="E432" i="7"/>
  <c r="D432" i="7"/>
  <c r="H431" i="7"/>
  <c r="E431" i="7"/>
  <c r="D431" i="7"/>
  <c r="H430" i="7"/>
  <c r="E430" i="7"/>
  <c r="D430" i="7"/>
  <c r="H429" i="7"/>
  <c r="E429" i="7"/>
  <c r="D429" i="7"/>
  <c r="H428" i="7"/>
  <c r="E428" i="7"/>
  <c r="D428" i="7"/>
  <c r="H427" i="7"/>
  <c r="E427" i="7"/>
  <c r="D427" i="7"/>
  <c r="H426" i="7"/>
  <c r="E426" i="7"/>
  <c r="D426" i="7"/>
  <c r="H425" i="7"/>
  <c r="E425" i="7"/>
  <c r="D425" i="7"/>
  <c r="H424" i="7"/>
  <c r="E424" i="7"/>
  <c r="D424" i="7"/>
  <c r="H423" i="7"/>
  <c r="E423" i="7"/>
  <c r="D423" i="7"/>
  <c r="H422" i="7"/>
  <c r="E422" i="7"/>
  <c r="D422" i="7"/>
  <c r="H421" i="7"/>
  <c r="E421" i="7"/>
  <c r="D421" i="7"/>
  <c r="H420" i="7"/>
  <c r="E420" i="7"/>
  <c r="D420" i="7"/>
  <c r="H419" i="7"/>
  <c r="E419" i="7"/>
  <c r="D419" i="7"/>
  <c r="H418" i="7"/>
  <c r="E418" i="7"/>
  <c r="D418" i="7"/>
  <c r="H417" i="7"/>
  <c r="E417" i="7"/>
  <c r="D417" i="7"/>
  <c r="H416" i="7"/>
  <c r="E416" i="7"/>
  <c r="D416" i="7"/>
  <c r="H415" i="7"/>
  <c r="E415" i="7"/>
  <c r="D415" i="7"/>
  <c r="H414" i="7"/>
  <c r="E414" i="7"/>
  <c r="D414" i="7"/>
  <c r="H413" i="7"/>
  <c r="E413" i="7"/>
  <c r="D413" i="7"/>
  <c r="H412" i="7"/>
  <c r="E412" i="7"/>
  <c r="D412" i="7"/>
  <c r="H411" i="7"/>
  <c r="E411" i="7"/>
  <c r="D411" i="7"/>
  <c r="H410" i="7"/>
  <c r="E410" i="7"/>
  <c r="D410" i="7"/>
  <c r="H409" i="7"/>
  <c r="E409" i="7"/>
  <c r="D409" i="7"/>
  <c r="H408" i="7"/>
  <c r="E408" i="7"/>
  <c r="D408" i="7"/>
  <c r="H407" i="7"/>
  <c r="E407" i="7"/>
  <c r="D407" i="7"/>
  <c r="H406" i="7"/>
  <c r="E406" i="7"/>
  <c r="D406" i="7"/>
  <c r="H405" i="7"/>
  <c r="E405" i="7"/>
  <c r="D405" i="7"/>
  <c r="H404" i="7"/>
  <c r="E404" i="7"/>
  <c r="D404" i="7"/>
  <c r="H403" i="7"/>
  <c r="E403" i="7"/>
  <c r="D403" i="7"/>
  <c r="H402" i="7"/>
  <c r="E402" i="7"/>
  <c r="D402" i="7"/>
  <c r="H401" i="7"/>
  <c r="E401" i="7"/>
  <c r="D401" i="7"/>
  <c r="H400" i="7"/>
  <c r="E400" i="7"/>
  <c r="D400" i="7"/>
  <c r="H399" i="7"/>
  <c r="E399" i="7"/>
  <c r="D399" i="7"/>
  <c r="H398" i="7"/>
  <c r="E398" i="7"/>
  <c r="D398" i="7"/>
  <c r="H397" i="7"/>
  <c r="E397" i="7"/>
  <c r="D397" i="7"/>
  <c r="H396" i="7"/>
  <c r="E396" i="7"/>
  <c r="D396" i="7"/>
  <c r="H395" i="7"/>
  <c r="E395" i="7"/>
  <c r="D395" i="7"/>
  <c r="H394" i="7"/>
  <c r="E394" i="7"/>
  <c r="D394" i="7"/>
  <c r="H393" i="7"/>
  <c r="E393" i="7"/>
  <c r="D393" i="7"/>
  <c r="H392" i="7"/>
  <c r="E392" i="7"/>
  <c r="D392" i="7"/>
  <c r="H391" i="7"/>
  <c r="E391" i="7"/>
  <c r="D391" i="7"/>
  <c r="H390" i="7"/>
  <c r="E390" i="7"/>
  <c r="D390" i="7"/>
  <c r="H389" i="7"/>
  <c r="E389" i="7"/>
  <c r="D389" i="7"/>
  <c r="H388" i="7"/>
  <c r="E388" i="7"/>
  <c r="D388" i="7"/>
  <c r="H387" i="7"/>
  <c r="E387" i="7"/>
  <c r="D387" i="7"/>
  <c r="H386" i="7"/>
  <c r="E386" i="7"/>
  <c r="D386" i="7"/>
  <c r="H385" i="7"/>
  <c r="E385" i="7"/>
  <c r="D385" i="7"/>
  <c r="H384" i="7"/>
  <c r="E384" i="7"/>
  <c r="D384" i="7"/>
  <c r="H383" i="7"/>
  <c r="E383" i="7"/>
  <c r="D383" i="7"/>
  <c r="H382" i="7"/>
  <c r="E382" i="7"/>
  <c r="D382" i="7"/>
  <c r="H381" i="7"/>
  <c r="E381" i="7"/>
  <c r="D381" i="7"/>
  <c r="H380" i="7"/>
  <c r="E380" i="7"/>
  <c r="D380" i="7"/>
  <c r="H379" i="7"/>
  <c r="E379" i="7"/>
  <c r="D379" i="7"/>
  <c r="H378" i="7"/>
  <c r="E378" i="7"/>
  <c r="D378" i="7"/>
  <c r="H377" i="7"/>
  <c r="E377" i="7"/>
  <c r="D377" i="7"/>
  <c r="H376" i="7"/>
  <c r="E376" i="7"/>
  <c r="D376" i="7"/>
  <c r="H375" i="7"/>
  <c r="E375" i="7"/>
  <c r="D375" i="7"/>
  <c r="H374" i="7"/>
  <c r="E374" i="7"/>
  <c r="D374" i="7"/>
  <c r="H373" i="7"/>
  <c r="E373" i="7"/>
  <c r="D373" i="7"/>
  <c r="H372" i="7"/>
  <c r="E372" i="7"/>
  <c r="D372" i="7"/>
  <c r="H371" i="7"/>
  <c r="E371" i="7"/>
  <c r="D371" i="7"/>
  <c r="H370" i="7"/>
  <c r="E370" i="7"/>
  <c r="D370" i="7"/>
  <c r="H369" i="7"/>
  <c r="E369" i="7"/>
  <c r="D369" i="7"/>
  <c r="H368" i="7"/>
  <c r="E368" i="7"/>
  <c r="D368" i="7"/>
  <c r="H367" i="7"/>
  <c r="E367" i="7"/>
  <c r="D367" i="7"/>
  <c r="H366" i="7"/>
  <c r="E366" i="7"/>
  <c r="D366" i="7"/>
  <c r="H365" i="7"/>
  <c r="E365" i="7"/>
  <c r="D365" i="7"/>
  <c r="H364" i="7"/>
  <c r="E364" i="7"/>
  <c r="D364" i="7"/>
  <c r="H363" i="7"/>
  <c r="E363" i="7"/>
  <c r="D363" i="7"/>
  <c r="H362" i="7"/>
  <c r="E362" i="7"/>
  <c r="D362" i="7"/>
  <c r="H361" i="7"/>
  <c r="E361" i="7"/>
  <c r="D361" i="7"/>
  <c r="H360" i="7"/>
  <c r="E360" i="7"/>
  <c r="D360" i="7"/>
  <c r="H359" i="7"/>
  <c r="E359" i="7"/>
  <c r="D359" i="7"/>
  <c r="H358" i="7"/>
  <c r="E358" i="7"/>
  <c r="D358" i="7"/>
  <c r="H357" i="7"/>
  <c r="E357" i="7"/>
  <c r="D357" i="7"/>
  <c r="H356" i="7"/>
  <c r="E356" i="7"/>
  <c r="D356" i="7"/>
  <c r="H355" i="7"/>
  <c r="E355" i="7"/>
  <c r="D355" i="7"/>
  <c r="H354" i="7"/>
  <c r="E354" i="7"/>
  <c r="D354" i="7"/>
  <c r="H353" i="7"/>
  <c r="E353" i="7"/>
  <c r="D353" i="7"/>
  <c r="H352" i="7"/>
  <c r="E352" i="7"/>
  <c r="D352" i="7"/>
  <c r="H351" i="7"/>
  <c r="E351" i="7"/>
  <c r="D351" i="7"/>
  <c r="H350" i="7"/>
  <c r="E350" i="7"/>
  <c r="D350" i="7"/>
  <c r="H349" i="7"/>
  <c r="E349" i="7"/>
  <c r="D349" i="7"/>
  <c r="H348" i="7"/>
  <c r="E348" i="7"/>
  <c r="D348" i="7"/>
  <c r="H347" i="7"/>
  <c r="E347" i="7"/>
  <c r="D347" i="7"/>
  <c r="H346" i="7"/>
  <c r="E346" i="7"/>
  <c r="D346" i="7"/>
  <c r="H345" i="7"/>
  <c r="E345" i="7"/>
  <c r="D345" i="7"/>
  <c r="H344" i="7"/>
  <c r="E344" i="7"/>
  <c r="D344" i="7"/>
  <c r="H343" i="7"/>
  <c r="E343" i="7"/>
  <c r="D343" i="7"/>
  <c r="H342" i="7"/>
  <c r="E342" i="7"/>
  <c r="D342" i="7"/>
  <c r="H341" i="7"/>
  <c r="E341" i="7"/>
  <c r="D341" i="7"/>
  <c r="H340" i="7"/>
  <c r="E340" i="7"/>
  <c r="D340" i="7"/>
  <c r="H339" i="7"/>
  <c r="E339" i="7"/>
  <c r="D339" i="7"/>
  <c r="H338" i="7"/>
  <c r="E338" i="7"/>
  <c r="D338" i="7"/>
  <c r="H337" i="7"/>
  <c r="E337" i="7"/>
  <c r="D337" i="7"/>
  <c r="H336" i="7"/>
  <c r="E336" i="7"/>
  <c r="D336" i="7"/>
  <c r="H335" i="7"/>
  <c r="E335" i="7"/>
  <c r="D335" i="7"/>
  <c r="H334" i="7"/>
  <c r="E334" i="7"/>
  <c r="D334" i="7"/>
  <c r="H333" i="7"/>
  <c r="E333" i="7"/>
  <c r="D333" i="7"/>
  <c r="H332" i="7"/>
  <c r="E332" i="7"/>
  <c r="D332" i="7"/>
  <c r="H331" i="7"/>
  <c r="E331" i="7"/>
  <c r="D331" i="7"/>
  <c r="H330" i="7"/>
  <c r="E330" i="7"/>
  <c r="D330" i="7"/>
  <c r="H329" i="7"/>
  <c r="E329" i="7"/>
  <c r="D329" i="7"/>
  <c r="H328" i="7"/>
  <c r="E328" i="7"/>
  <c r="D328" i="7"/>
  <c r="H327" i="7"/>
  <c r="E327" i="7"/>
  <c r="D327" i="7"/>
  <c r="H326" i="7"/>
  <c r="E326" i="7"/>
  <c r="D326" i="7"/>
  <c r="H325" i="7"/>
  <c r="E325" i="7"/>
  <c r="D325" i="7"/>
  <c r="H324" i="7"/>
  <c r="E324" i="7"/>
  <c r="D324" i="7"/>
  <c r="H323" i="7"/>
  <c r="E323" i="7"/>
  <c r="D323" i="7"/>
  <c r="H322" i="7"/>
  <c r="E322" i="7"/>
  <c r="D322" i="7"/>
  <c r="H321" i="7"/>
  <c r="E321" i="7"/>
  <c r="D321" i="7"/>
  <c r="H320" i="7"/>
  <c r="E320" i="7"/>
  <c r="D320" i="7"/>
  <c r="H319" i="7"/>
  <c r="E319" i="7"/>
  <c r="D319" i="7"/>
  <c r="H318" i="7"/>
  <c r="E318" i="7"/>
  <c r="D318" i="7"/>
  <c r="H317" i="7"/>
  <c r="E317" i="7"/>
  <c r="D317" i="7"/>
  <c r="H316" i="7"/>
  <c r="E316" i="7"/>
  <c r="D316" i="7"/>
  <c r="H315" i="7"/>
  <c r="E315" i="7"/>
  <c r="D315" i="7"/>
  <c r="H314" i="7"/>
  <c r="E314" i="7"/>
  <c r="D314" i="7"/>
  <c r="H313" i="7"/>
  <c r="E313" i="7"/>
  <c r="D313" i="7"/>
  <c r="H312" i="7"/>
  <c r="E312" i="7"/>
  <c r="D312" i="7"/>
  <c r="H311" i="7"/>
  <c r="E311" i="7"/>
  <c r="D311" i="7"/>
  <c r="H310" i="7"/>
  <c r="E310" i="7"/>
  <c r="D310" i="7"/>
  <c r="H309" i="7"/>
  <c r="E309" i="7"/>
  <c r="D309" i="7"/>
  <c r="H308" i="7"/>
  <c r="E308" i="7"/>
  <c r="D308" i="7"/>
  <c r="H307" i="7"/>
  <c r="E307" i="7"/>
  <c r="D307" i="7"/>
  <c r="H306" i="7"/>
  <c r="E306" i="7"/>
  <c r="D306" i="7"/>
  <c r="H305" i="7"/>
  <c r="E305" i="7"/>
  <c r="D305" i="7"/>
  <c r="H304" i="7"/>
  <c r="E304" i="7"/>
  <c r="D304" i="7"/>
  <c r="H303" i="7"/>
  <c r="E303" i="7"/>
  <c r="D303" i="7"/>
  <c r="H302" i="7"/>
  <c r="E302" i="7"/>
  <c r="D302" i="7"/>
  <c r="H301" i="7"/>
  <c r="E301" i="7"/>
  <c r="D301" i="7"/>
  <c r="H300" i="7"/>
  <c r="E300" i="7"/>
  <c r="D300" i="7"/>
  <c r="H299" i="7"/>
  <c r="E299" i="7"/>
  <c r="D299" i="7"/>
  <c r="H298" i="7"/>
  <c r="E298" i="7"/>
  <c r="D298" i="7"/>
  <c r="H297" i="7"/>
  <c r="E297" i="7"/>
  <c r="D297" i="7"/>
  <c r="H296" i="7"/>
  <c r="E296" i="7"/>
  <c r="D296" i="7"/>
  <c r="H295" i="7"/>
  <c r="E295" i="7"/>
  <c r="D295" i="7"/>
  <c r="H294" i="7"/>
  <c r="E294" i="7"/>
  <c r="D294" i="7"/>
  <c r="H293" i="7"/>
  <c r="E293" i="7"/>
  <c r="D293" i="7"/>
  <c r="H292" i="7"/>
  <c r="E292" i="7"/>
  <c r="D292" i="7"/>
  <c r="H291" i="7"/>
  <c r="E291" i="7"/>
  <c r="D291" i="7"/>
  <c r="H290" i="7"/>
  <c r="E290" i="7"/>
  <c r="D290" i="7"/>
  <c r="H289" i="7"/>
  <c r="E289" i="7"/>
  <c r="D289" i="7"/>
  <c r="H288" i="7"/>
  <c r="E288" i="7"/>
  <c r="D288" i="7"/>
  <c r="H287" i="7"/>
  <c r="E287" i="7"/>
  <c r="D287" i="7"/>
  <c r="H286" i="7"/>
  <c r="E286" i="7"/>
  <c r="D286" i="7"/>
  <c r="H285" i="7"/>
  <c r="E285" i="7"/>
  <c r="D285" i="7"/>
  <c r="H284" i="7"/>
  <c r="E284" i="7"/>
  <c r="D284" i="7"/>
  <c r="H283" i="7"/>
  <c r="E283" i="7"/>
  <c r="D283" i="7"/>
  <c r="H282" i="7"/>
  <c r="E282" i="7"/>
  <c r="D282" i="7"/>
  <c r="H281" i="7"/>
  <c r="E281" i="7"/>
  <c r="D281" i="7"/>
  <c r="H280" i="7"/>
  <c r="E280" i="7"/>
  <c r="D280" i="7"/>
  <c r="H279" i="7"/>
  <c r="E279" i="7"/>
  <c r="D279" i="7"/>
  <c r="H278" i="7"/>
  <c r="E278" i="7"/>
  <c r="D278" i="7"/>
  <c r="H277" i="7"/>
  <c r="E277" i="7"/>
  <c r="D277" i="7"/>
  <c r="H276" i="7"/>
  <c r="E276" i="7"/>
  <c r="D276" i="7"/>
  <c r="H275" i="7"/>
  <c r="E275" i="7"/>
  <c r="D275" i="7"/>
  <c r="H274" i="7"/>
  <c r="E274" i="7"/>
  <c r="D274" i="7"/>
  <c r="H273" i="7"/>
  <c r="E273" i="7"/>
  <c r="D273" i="7"/>
  <c r="H272" i="7"/>
  <c r="E272" i="7"/>
  <c r="D272" i="7"/>
  <c r="H271" i="7"/>
  <c r="E271" i="7"/>
  <c r="D271" i="7"/>
  <c r="H270" i="7"/>
  <c r="E270" i="7"/>
  <c r="D270" i="7"/>
  <c r="H269" i="7"/>
  <c r="E269" i="7"/>
  <c r="D269" i="7"/>
  <c r="H268" i="7"/>
  <c r="E268" i="7"/>
  <c r="D268" i="7"/>
  <c r="H267" i="7"/>
  <c r="E267" i="7"/>
  <c r="D267" i="7"/>
  <c r="H266" i="7"/>
  <c r="E266" i="7"/>
  <c r="D266" i="7"/>
  <c r="H265" i="7"/>
  <c r="E265" i="7"/>
  <c r="D265" i="7"/>
  <c r="H264" i="7"/>
  <c r="E264" i="7"/>
  <c r="D264" i="7"/>
  <c r="H263" i="7"/>
  <c r="E263" i="7"/>
  <c r="D263" i="7"/>
  <c r="H262" i="7"/>
  <c r="E262" i="7"/>
  <c r="D262" i="7"/>
  <c r="H261" i="7"/>
  <c r="E261" i="7"/>
  <c r="D261" i="7"/>
  <c r="H260" i="7"/>
  <c r="E260" i="7"/>
  <c r="D260" i="7"/>
  <c r="H259" i="7"/>
  <c r="E259" i="7"/>
  <c r="D259" i="7"/>
  <c r="H258" i="7"/>
  <c r="E258" i="7"/>
  <c r="D258" i="7"/>
  <c r="H257" i="7"/>
  <c r="E257" i="7"/>
  <c r="D257" i="7"/>
  <c r="H256" i="7"/>
  <c r="E256" i="7"/>
  <c r="D256" i="7"/>
  <c r="H255" i="7"/>
  <c r="E255" i="7"/>
  <c r="D255" i="7"/>
  <c r="H254" i="7"/>
  <c r="E254" i="7"/>
  <c r="D254" i="7"/>
  <c r="H253" i="7"/>
  <c r="E253" i="7"/>
  <c r="D253" i="7"/>
  <c r="H252" i="7"/>
  <c r="E252" i="7"/>
  <c r="D252" i="7"/>
  <c r="H251" i="7"/>
  <c r="E251" i="7"/>
  <c r="D251" i="7"/>
  <c r="H250" i="7"/>
  <c r="E250" i="7"/>
  <c r="D250" i="7"/>
  <c r="H249" i="7"/>
  <c r="E249" i="7"/>
  <c r="D249" i="7"/>
  <c r="H248" i="7"/>
  <c r="E248" i="7"/>
  <c r="D248" i="7"/>
  <c r="H247" i="7"/>
  <c r="E247" i="7"/>
  <c r="D247" i="7"/>
  <c r="H246" i="7"/>
  <c r="E246" i="7"/>
  <c r="D246" i="7"/>
  <c r="H245" i="7"/>
  <c r="E245" i="7"/>
  <c r="D245" i="7"/>
  <c r="H244" i="7"/>
  <c r="E244" i="7"/>
  <c r="D244" i="7"/>
  <c r="H243" i="7"/>
  <c r="E243" i="7"/>
  <c r="D243" i="7"/>
  <c r="H242" i="7"/>
  <c r="E242" i="7"/>
  <c r="D242" i="7"/>
  <c r="H241" i="7"/>
  <c r="E241" i="7"/>
  <c r="D241" i="7"/>
  <c r="H240" i="7"/>
  <c r="E240" i="7"/>
  <c r="D240" i="7"/>
  <c r="H239" i="7"/>
  <c r="E239" i="7"/>
  <c r="D239" i="7"/>
  <c r="H238" i="7"/>
  <c r="E238" i="7"/>
  <c r="D238" i="7"/>
  <c r="H237" i="7"/>
  <c r="E237" i="7"/>
  <c r="D237" i="7"/>
  <c r="H236" i="7"/>
  <c r="E236" i="7"/>
  <c r="D236" i="7"/>
  <c r="H235" i="7"/>
  <c r="E235" i="7"/>
  <c r="D235" i="7"/>
  <c r="H234" i="7"/>
  <c r="E234" i="7"/>
  <c r="D234" i="7"/>
  <c r="H233" i="7"/>
  <c r="E233" i="7"/>
  <c r="D233" i="7"/>
  <c r="H232" i="7"/>
  <c r="E232" i="7"/>
  <c r="D232" i="7"/>
  <c r="H231" i="7"/>
  <c r="E231" i="7"/>
  <c r="D231" i="7"/>
  <c r="H230" i="7"/>
  <c r="E230" i="7"/>
  <c r="D230" i="7"/>
  <c r="H229" i="7"/>
  <c r="E229" i="7"/>
  <c r="D229" i="7"/>
  <c r="H228" i="7"/>
  <c r="E228" i="7"/>
  <c r="D228" i="7"/>
  <c r="H227" i="7"/>
  <c r="E227" i="7"/>
  <c r="D227" i="7"/>
  <c r="H226" i="7"/>
  <c r="E226" i="7"/>
  <c r="D226" i="7"/>
  <c r="H225" i="7"/>
  <c r="E225" i="7"/>
  <c r="D225" i="7"/>
  <c r="H224" i="7"/>
  <c r="E224" i="7"/>
  <c r="D224" i="7"/>
  <c r="H223" i="7"/>
  <c r="E223" i="7"/>
  <c r="D223" i="7"/>
  <c r="H222" i="7"/>
  <c r="E222" i="7"/>
  <c r="D222" i="7"/>
  <c r="H221" i="7"/>
  <c r="E221" i="7"/>
  <c r="D221" i="7"/>
  <c r="H220" i="7"/>
  <c r="E220" i="7"/>
  <c r="D220" i="7"/>
  <c r="H219" i="7"/>
  <c r="E219" i="7"/>
  <c r="D219" i="7"/>
  <c r="H218" i="7"/>
  <c r="E218" i="7"/>
  <c r="D218" i="7"/>
  <c r="H217" i="7"/>
  <c r="E217" i="7"/>
  <c r="D217" i="7"/>
  <c r="H216" i="7"/>
  <c r="E216" i="7"/>
  <c r="D216" i="7"/>
  <c r="H215" i="7"/>
  <c r="E215" i="7"/>
  <c r="D215" i="7"/>
  <c r="H214" i="7"/>
  <c r="E214" i="7"/>
  <c r="D214" i="7"/>
  <c r="H213" i="7"/>
  <c r="E213" i="7"/>
  <c r="D213" i="7"/>
  <c r="H212" i="7"/>
  <c r="E212" i="7"/>
  <c r="D212" i="7"/>
  <c r="H211" i="7"/>
  <c r="E211" i="7"/>
  <c r="D211" i="7"/>
  <c r="H210" i="7"/>
  <c r="E210" i="7"/>
  <c r="D210" i="7"/>
  <c r="H209" i="7"/>
  <c r="E209" i="7"/>
  <c r="D209" i="7"/>
  <c r="H208" i="7"/>
  <c r="E208" i="7"/>
  <c r="D208" i="7"/>
  <c r="H207" i="7"/>
  <c r="E207" i="7"/>
  <c r="D207" i="7"/>
  <c r="H206" i="7"/>
  <c r="E206" i="7"/>
  <c r="D206" i="7"/>
  <c r="H205" i="7"/>
  <c r="E205" i="7"/>
  <c r="D205" i="7"/>
  <c r="H204" i="7"/>
  <c r="E204" i="7"/>
  <c r="D204" i="7"/>
  <c r="H203" i="7"/>
  <c r="E203" i="7"/>
  <c r="D203" i="7"/>
  <c r="H202" i="7"/>
  <c r="E202" i="7"/>
  <c r="D202" i="7"/>
  <c r="H201" i="7"/>
  <c r="E201" i="7"/>
  <c r="D201" i="7"/>
  <c r="H200" i="7"/>
  <c r="E200" i="7"/>
  <c r="D200" i="7"/>
  <c r="H199" i="7"/>
  <c r="E199" i="7"/>
  <c r="D199" i="7"/>
  <c r="H198" i="7"/>
  <c r="E198" i="7"/>
  <c r="D198" i="7"/>
  <c r="H197" i="7"/>
  <c r="E197" i="7"/>
  <c r="D197" i="7"/>
  <c r="H196" i="7"/>
  <c r="E196" i="7"/>
  <c r="D196" i="7"/>
  <c r="H195" i="7"/>
  <c r="E195" i="7"/>
  <c r="D195" i="7"/>
  <c r="H194" i="7"/>
  <c r="E194" i="7"/>
  <c r="D194" i="7"/>
  <c r="H193" i="7"/>
  <c r="E193" i="7"/>
  <c r="D193" i="7"/>
  <c r="H192" i="7"/>
  <c r="E192" i="7"/>
  <c r="D192" i="7"/>
  <c r="H191" i="7"/>
  <c r="E191" i="7"/>
  <c r="D191" i="7"/>
  <c r="H190" i="7"/>
  <c r="E190" i="7"/>
  <c r="D190" i="7"/>
  <c r="H189" i="7"/>
  <c r="E189" i="7"/>
  <c r="D189" i="7"/>
  <c r="H188" i="7"/>
  <c r="E188" i="7"/>
  <c r="D188" i="7"/>
  <c r="H187" i="7"/>
  <c r="E187" i="7"/>
  <c r="D187" i="7"/>
  <c r="H186" i="7"/>
  <c r="E186" i="7"/>
  <c r="D186" i="7"/>
  <c r="H185" i="7"/>
  <c r="E185" i="7"/>
  <c r="D185" i="7"/>
  <c r="H184" i="7"/>
  <c r="E184" i="7"/>
  <c r="D184" i="7"/>
  <c r="H183" i="7"/>
  <c r="E183" i="7"/>
  <c r="D183" i="7"/>
  <c r="H182" i="7"/>
  <c r="E182" i="7"/>
  <c r="D182" i="7"/>
  <c r="H181" i="7"/>
  <c r="E181" i="7"/>
  <c r="D181" i="7"/>
  <c r="H180" i="7"/>
  <c r="E180" i="7"/>
  <c r="D180" i="7"/>
  <c r="H179" i="7"/>
  <c r="E179" i="7"/>
  <c r="D179" i="7"/>
  <c r="H178" i="7"/>
  <c r="E178" i="7"/>
  <c r="D178" i="7"/>
  <c r="H177" i="7"/>
  <c r="E177" i="7"/>
  <c r="D177" i="7"/>
  <c r="H176" i="7"/>
  <c r="E176" i="7"/>
  <c r="D176" i="7"/>
  <c r="H175" i="7"/>
  <c r="E175" i="7"/>
  <c r="D175" i="7"/>
  <c r="H174" i="7"/>
  <c r="E174" i="7"/>
  <c r="D174" i="7"/>
  <c r="H173" i="7"/>
  <c r="E173" i="7"/>
  <c r="D173" i="7"/>
  <c r="H172" i="7"/>
  <c r="E172" i="7"/>
  <c r="D172" i="7"/>
  <c r="H171" i="7"/>
  <c r="E171" i="7"/>
  <c r="D171" i="7"/>
  <c r="H170" i="7"/>
  <c r="E170" i="7"/>
  <c r="D170" i="7"/>
  <c r="H169" i="7"/>
  <c r="E169" i="7"/>
  <c r="D169" i="7"/>
  <c r="H168" i="7"/>
  <c r="E168" i="7"/>
  <c r="D168" i="7"/>
  <c r="H167" i="7"/>
  <c r="E167" i="7"/>
  <c r="D167" i="7"/>
  <c r="H166" i="7"/>
  <c r="E166" i="7"/>
  <c r="D166" i="7"/>
  <c r="H165" i="7"/>
  <c r="E165" i="7"/>
  <c r="D165" i="7"/>
  <c r="H164" i="7"/>
  <c r="E164" i="7"/>
  <c r="D164" i="7"/>
  <c r="H163" i="7"/>
  <c r="E163" i="7"/>
  <c r="D163" i="7"/>
  <c r="H162" i="7"/>
  <c r="E162" i="7"/>
  <c r="D162" i="7"/>
  <c r="H161" i="7"/>
  <c r="E161" i="7"/>
  <c r="D161" i="7"/>
  <c r="H160" i="7"/>
  <c r="E160" i="7"/>
  <c r="D160" i="7"/>
  <c r="H159" i="7"/>
  <c r="E159" i="7"/>
  <c r="D159" i="7"/>
  <c r="H158" i="7"/>
  <c r="E158" i="7"/>
  <c r="D158" i="7"/>
  <c r="H157" i="7"/>
  <c r="E157" i="7"/>
  <c r="D157" i="7"/>
  <c r="H156" i="7"/>
  <c r="E156" i="7"/>
  <c r="D156" i="7"/>
  <c r="H155" i="7"/>
  <c r="E155" i="7"/>
  <c r="D155" i="7"/>
  <c r="H154" i="7"/>
  <c r="E154" i="7"/>
  <c r="D154" i="7"/>
  <c r="H153" i="7"/>
  <c r="E153" i="7"/>
  <c r="D153" i="7"/>
  <c r="H152" i="7"/>
  <c r="E152" i="7"/>
  <c r="D152" i="7"/>
  <c r="H151" i="7"/>
  <c r="E151" i="7"/>
  <c r="D151" i="7"/>
  <c r="H150" i="7"/>
  <c r="E150" i="7"/>
  <c r="D150" i="7"/>
  <c r="H149" i="7"/>
  <c r="E149" i="7"/>
  <c r="D149" i="7"/>
  <c r="H148" i="7"/>
  <c r="E148" i="7"/>
  <c r="D148" i="7"/>
  <c r="H147" i="7"/>
  <c r="E147" i="7"/>
  <c r="D147" i="7"/>
  <c r="H146" i="7"/>
  <c r="E146" i="7"/>
  <c r="D146" i="7"/>
  <c r="H145" i="7"/>
  <c r="E145" i="7"/>
  <c r="D145" i="7"/>
  <c r="H144" i="7"/>
  <c r="E144" i="7"/>
  <c r="D144" i="7"/>
  <c r="H143" i="7"/>
  <c r="E143" i="7"/>
  <c r="D143" i="7"/>
  <c r="H142" i="7"/>
  <c r="E142" i="7"/>
  <c r="D142" i="7"/>
  <c r="H141" i="7"/>
  <c r="E141" i="7"/>
  <c r="D141" i="7"/>
  <c r="H140" i="7"/>
  <c r="E140" i="7"/>
  <c r="D140" i="7"/>
  <c r="H139" i="7"/>
  <c r="E139" i="7"/>
  <c r="D139" i="7"/>
  <c r="H138" i="7"/>
  <c r="E138" i="7"/>
  <c r="D138" i="7"/>
  <c r="H137" i="7"/>
  <c r="E137" i="7"/>
  <c r="D137" i="7"/>
  <c r="H136" i="7"/>
  <c r="E136" i="7"/>
  <c r="D136" i="7"/>
  <c r="H135" i="7"/>
  <c r="E135" i="7"/>
  <c r="D135" i="7"/>
  <c r="H134" i="7"/>
  <c r="E134" i="7"/>
  <c r="D134" i="7"/>
  <c r="H133" i="7"/>
  <c r="E133" i="7"/>
  <c r="D133" i="7"/>
  <c r="H132" i="7"/>
  <c r="E132" i="7"/>
  <c r="D132" i="7"/>
  <c r="H131" i="7"/>
  <c r="E131" i="7"/>
  <c r="D131" i="7"/>
  <c r="H130" i="7"/>
  <c r="E130" i="7"/>
  <c r="D130" i="7"/>
  <c r="H129" i="7"/>
  <c r="E129" i="7"/>
  <c r="D129" i="7"/>
  <c r="H128" i="7"/>
  <c r="E128" i="7"/>
  <c r="D128" i="7"/>
  <c r="H127" i="7"/>
  <c r="E127" i="7"/>
  <c r="D127" i="7"/>
  <c r="H126" i="7"/>
  <c r="E126" i="7"/>
  <c r="D126" i="7"/>
  <c r="H125" i="7"/>
  <c r="E125" i="7"/>
  <c r="D125" i="7"/>
  <c r="H124" i="7"/>
  <c r="E124" i="7"/>
  <c r="D124" i="7"/>
  <c r="H123" i="7"/>
  <c r="E123" i="7"/>
  <c r="D123" i="7"/>
  <c r="H122" i="7"/>
  <c r="E122" i="7"/>
  <c r="D122" i="7"/>
  <c r="H121" i="7"/>
  <c r="E121" i="7"/>
  <c r="D121" i="7"/>
  <c r="H120" i="7"/>
  <c r="E120" i="7"/>
  <c r="D120" i="7"/>
  <c r="H119" i="7"/>
  <c r="E119" i="7"/>
  <c r="D119" i="7"/>
  <c r="H118" i="7"/>
  <c r="E118" i="7"/>
  <c r="D118" i="7"/>
  <c r="H117" i="7"/>
  <c r="E117" i="7"/>
  <c r="D117" i="7"/>
  <c r="H116" i="7"/>
  <c r="E116" i="7"/>
  <c r="D116" i="7"/>
  <c r="H115" i="7"/>
  <c r="E115" i="7"/>
  <c r="D115" i="7"/>
  <c r="H114" i="7"/>
  <c r="E114" i="7"/>
  <c r="D114" i="7"/>
  <c r="H113" i="7"/>
  <c r="E113" i="7"/>
  <c r="D113" i="7"/>
  <c r="H112" i="7"/>
  <c r="E112" i="7"/>
  <c r="D112" i="7"/>
  <c r="H111" i="7"/>
  <c r="E111" i="7"/>
  <c r="D111" i="7"/>
  <c r="H110" i="7"/>
  <c r="E110" i="7"/>
  <c r="D110" i="7"/>
  <c r="H109" i="7"/>
  <c r="E109" i="7"/>
  <c r="D109" i="7"/>
  <c r="H108" i="7"/>
  <c r="E108" i="7"/>
  <c r="D108" i="7"/>
  <c r="H107" i="7"/>
  <c r="E107" i="7"/>
  <c r="D107" i="7"/>
  <c r="H106" i="7"/>
  <c r="E106" i="7"/>
  <c r="D106" i="7"/>
  <c r="H105" i="7"/>
  <c r="E105" i="7"/>
  <c r="D105" i="7"/>
  <c r="H104" i="7"/>
  <c r="E104" i="7"/>
  <c r="D104" i="7"/>
  <c r="H103" i="7"/>
  <c r="E103" i="7"/>
  <c r="D103" i="7"/>
  <c r="H102" i="7"/>
  <c r="E102" i="7"/>
  <c r="D102" i="7"/>
  <c r="H101" i="7"/>
  <c r="E101" i="7"/>
  <c r="D101" i="7"/>
  <c r="H100" i="7"/>
  <c r="E100" i="7"/>
  <c r="D100" i="7"/>
  <c r="H99" i="7"/>
  <c r="E99" i="7"/>
  <c r="D99" i="7"/>
  <c r="H98" i="7"/>
  <c r="E98" i="7"/>
  <c r="D98" i="7"/>
  <c r="H97" i="7"/>
  <c r="E97" i="7"/>
  <c r="D97" i="7"/>
  <c r="H96" i="7"/>
  <c r="E96" i="7"/>
  <c r="D96" i="7"/>
  <c r="H95" i="7"/>
  <c r="E95" i="7"/>
  <c r="D95" i="7"/>
  <c r="H94" i="7"/>
  <c r="E94" i="7"/>
  <c r="D94" i="7"/>
  <c r="H93" i="7"/>
  <c r="E93" i="7"/>
  <c r="D93" i="7"/>
  <c r="H92" i="7"/>
  <c r="E92" i="7"/>
  <c r="D92" i="7"/>
  <c r="H91" i="7"/>
  <c r="E91" i="7"/>
  <c r="D91" i="7"/>
  <c r="H90" i="7"/>
  <c r="E90" i="7"/>
  <c r="D90" i="7"/>
  <c r="H89" i="7"/>
  <c r="E89" i="7"/>
  <c r="D89" i="7"/>
  <c r="H88" i="7"/>
  <c r="E88" i="7"/>
  <c r="D88" i="7"/>
  <c r="H87" i="7"/>
  <c r="E87" i="7"/>
  <c r="D87" i="7"/>
  <c r="H86" i="7"/>
  <c r="E86" i="7"/>
  <c r="D86" i="7"/>
  <c r="H85" i="7"/>
  <c r="E85" i="7"/>
  <c r="D85" i="7"/>
  <c r="H84" i="7"/>
  <c r="E84" i="7"/>
  <c r="D84" i="7"/>
  <c r="H83" i="7"/>
  <c r="E83" i="7"/>
  <c r="D83" i="7"/>
  <c r="H82" i="7"/>
  <c r="E82" i="7"/>
  <c r="D82" i="7"/>
  <c r="H81" i="7"/>
  <c r="E81" i="7"/>
  <c r="D81" i="7"/>
  <c r="H80" i="7"/>
  <c r="E80" i="7"/>
  <c r="D80" i="7"/>
  <c r="H79" i="7"/>
  <c r="E79" i="7"/>
  <c r="D79" i="7"/>
  <c r="H78" i="7"/>
  <c r="E78" i="7"/>
  <c r="D78" i="7"/>
  <c r="H77" i="7"/>
  <c r="E77" i="7"/>
  <c r="D77" i="7"/>
  <c r="H76" i="7"/>
  <c r="E76" i="7"/>
  <c r="D76" i="7"/>
  <c r="H75" i="7"/>
  <c r="E75" i="7"/>
  <c r="D75" i="7"/>
  <c r="H74" i="7"/>
  <c r="E74" i="7"/>
  <c r="D74" i="7"/>
  <c r="H73" i="7"/>
  <c r="E73" i="7"/>
  <c r="D73" i="7"/>
  <c r="H72" i="7"/>
  <c r="E72" i="7"/>
  <c r="D72" i="7"/>
  <c r="H71" i="7"/>
  <c r="E71" i="7"/>
  <c r="D71" i="7"/>
  <c r="H70" i="7"/>
  <c r="E70" i="7"/>
  <c r="D70" i="7"/>
  <c r="H69" i="7"/>
  <c r="E69" i="7"/>
  <c r="D69" i="7"/>
  <c r="H68" i="7"/>
  <c r="E68" i="7"/>
  <c r="D68" i="7"/>
  <c r="H67" i="7"/>
  <c r="E67" i="7"/>
  <c r="D67" i="7"/>
  <c r="H66" i="7"/>
  <c r="E66" i="7"/>
  <c r="D66" i="7"/>
  <c r="H65" i="7"/>
  <c r="E65" i="7"/>
  <c r="D65" i="7"/>
  <c r="H64" i="7"/>
  <c r="E64" i="7"/>
  <c r="D64" i="7"/>
  <c r="H63" i="7"/>
  <c r="E63" i="7"/>
  <c r="D63" i="7"/>
  <c r="H62" i="7"/>
  <c r="E62" i="7"/>
  <c r="D62" i="7"/>
  <c r="H61" i="7"/>
  <c r="E61" i="7"/>
  <c r="D61" i="7"/>
  <c r="H60" i="7"/>
  <c r="E60" i="7"/>
  <c r="D60" i="7"/>
  <c r="H59" i="7"/>
  <c r="E59" i="7"/>
  <c r="D59" i="7"/>
  <c r="H58" i="7"/>
  <c r="E58" i="7"/>
  <c r="D58" i="7"/>
  <c r="H57" i="7"/>
  <c r="E57" i="7"/>
  <c r="D57" i="7"/>
  <c r="H56" i="7"/>
  <c r="E56" i="7"/>
  <c r="D56" i="7"/>
  <c r="H55" i="7"/>
  <c r="E55" i="7"/>
  <c r="D55" i="7"/>
  <c r="H54" i="7"/>
  <c r="E54" i="7"/>
  <c r="D54" i="7"/>
  <c r="H53" i="7"/>
  <c r="E53" i="7"/>
  <c r="D53" i="7"/>
  <c r="H52" i="7"/>
  <c r="E52" i="7"/>
  <c r="D52" i="7"/>
  <c r="H51" i="7"/>
  <c r="E51" i="7"/>
  <c r="D51" i="7"/>
  <c r="H50" i="7"/>
  <c r="E50" i="7"/>
  <c r="D50" i="7"/>
  <c r="H49" i="7"/>
  <c r="E49" i="7"/>
  <c r="D49" i="7"/>
  <c r="H48" i="7"/>
  <c r="E48" i="7"/>
  <c r="D48" i="7"/>
  <c r="H47" i="7"/>
  <c r="E47" i="7"/>
  <c r="D47" i="7"/>
  <c r="H46" i="7"/>
  <c r="E46" i="7"/>
  <c r="D46" i="7"/>
  <c r="H45" i="7"/>
  <c r="E45" i="7"/>
  <c r="D45" i="7"/>
  <c r="H44" i="7"/>
  <c r="E44" i="7"/>
  <c r="D44" i="7"/>
  <c r="H43" i="7"/>
  <c r="E43" i="7"/>
  <c r="D43" i="7"/>
  <c r="H42" i="7"/>
  <c r="E42" i="7"/>
  <c r="D42" i="7"/>
  <c r="H41" i="7"/>
  <c r="E41" i="7"/>
  <c r="D41" i="7"/>
  <c r="H40" i="7"/>
  <c r="E40" i="7"/>
  <c r="D40" i="7"/>
  <c r="H39" i="7"/>
  <c r="E39" i="7"/>
  <c r="D39" i="7"/>
  <c r="H38" i="7"/>
  <c r="E38" i="7"/>
  <c r="D38" i="7"/>
  <c r="H37" i="7"/>
  <c r="E37" i="7"/>
  <c r="D37" i="7"/>
  <c r="H36" i="7"/>
  <c r="E36" i="7"/>
  <c r="D36" i="7"/>
  <c r="H35" i="7"/>
  <c r="E35" i="7"/>
  <c r="D35" i="7"/>
  <c r="H34" i="7"/>
  <c r="E34" i="7"/>
  <c r="D34" i="7"/>
  <c r="H33" i="7"/>
  <c r="E33" i="7"/>
  <c r="D33" i="7"/>
  <c r="H32" i="7"/>
  <c r="E32" i="7"/>
  <c r="D32" i="7"/>
  <c r="H31" i="7"/>
  <c r="E31" i="7"/>
  <c r="D31" i="7"/>
  <c r="H30" i="7"/>
  <c r="E30" i="7"/>
  <c r="D30" i="7"/>
  <c r="H29" i="7"/>
  <c r="E29" i="7"/>
  <c r="D29" i="7"/>
  <c r="H28" i="7"/>
  <c r="E28" i="7"/>
  <c r="D28" i="7"/>
  <c r="H27" i="7"/>
  <c r="E27" i="7"/>
  <c r="D27" i="7"/>
  <c r="H26" i="7"/>
  <c r="E26" i="7"/>
  <c r="D26" i="7"/>
  <c r="H25" i="7"/>
  <c r="E25" i="7"/>
  <c r="D25" i="7"/>
  <c r="H24" i="7"/>
  <c r="E24" i="7"/>
  <c r="D24" i="7"/>
  <c r="H23" i="7"/>
  <c r="E23" i="7"/>
  <c r="D23" i="7"/>
  <c r="H22" i="7"/>
  <c r="E22" i="7"/>
  <c r="D22" i="7"/>
  <c r="H21" i="7"/>
  <c r="E21" i="7"/>
  <c r="D21" i="7"/>
  <c r="H20" i="7"/>
  <c r="E20" i="7"/>
  <c r="D20" i="7"/>
  <c r="H19" i="7"/>
  <c r="E19" i="7"/>
  <c r="D19" i="7"/>
  <c r="H18" i="7"/>
  <c r="E18" i="7"/>
  <c r="D18" i="7"/>
  <c r="H17" i="7"/>
  <c r="E17" i="7"/>
  <c r="D17" i="7"/>
  <c r="H16" i="7"/>
  <c r="E16" i="7"/>
  <c r="D16" i="7"/>
  <c r="H15" i="7"/>
  <c r="E15" i="7"/>
  <c r="D15" i="7"/>
  <c r="H14" i="7"/>
  <c r="E14" i="7"/>
  <c r="D14" i="7"/>
  <c r="H13" i="7"/>
  <c r="E13" i="7"/>
  <c r="D13" i="7"/>
  <c r="H12" i="7"/>
  <c r="E12" i="7"/>
  <c r="D12" i="7"/>
  <c r="H11" i="7"/>
  <c r="E11" i="7"/>
  <c r="D11" i="7"/>
  <c r="H10" i="7"/>
  <c r="E10" i="7"/>
  <c r="D10" i="7"/>
  <c r="H9" i="7"/>
  <c r="E9" i="7"/>
  <c r="D9" i="7"/>
  <c r="H8" i="7"/>
  <c r="E8" i="7"/>
  <c r="D8" i="7"/>
  <c r="H7" i="7"/>
  <c r="E7" i="7"/>
  <c r="D7" i="7"/>
  <c r="H6" i="7"/>
  <c r="E6" i="7"/>
  <c r="D6" i="7"/>
  <c r="H5" i="7"/>
  <c r="E5" i="7"/>
  <c r="D5" i="7"/>
  <c r="H4" i="7"/>
  <c r="E4" i="7"/>
  <c r="D4" i="7"/>
  <c r="H3" i="7"/>
  <c r="E3" i="7"/>
  <c r="D3" i="7"/>
  <c r="H2" i="7"/>
  <c r="E2" i="7"/>
  <c r="D2" i="7"/>
  <c r="I2001" i="5"/>
  <c r="H2001" i="5"/>
  <c r="J2001" i="5" s="1"/>
  <c r="G2001" i="5"/>
  <c r="I2000" i="5"/>
  <c r="H2000" i="5"/>
  <c r="J2000" i="5" s="1"/>
  <c r="G2000" i="5"/>
  <c r="I1999" i="5"/>
  <c r="H1999" i="5"/>
  <c r="J1999" i="5" s="1"/>
  <c r="G1999" i="5"/>
  <c r="I1998" i="5"/>
  <c r="H1998" i="5"/>
  <c r="J1998" i="5" s="1"/>
  <c r="G1998" i="5"/>
  <c r="I1997" i="5"/>
  <c r="H1997" i="5"/>
  <c r="J1997" i="5" s="1"/>
  <c r="G1997" i="5"/>
  <c r="I1996" i="5"/>
  <c r="H1996" i="5"/>
  <c r="J1996" i="5" s="1"/>
  <c r="G1996" i="5"/>
  <c r="I1995" i="5"/>
  <c r="H1995" i="5"/>
  <c r="J1995" i="5" s="1"/>
  <c r="G1995" i="5"/>
  <c r="I1994" i="5"/>
  <c r="H1994" i="5"/>
  <c r="J1994" i="5" s="1"/>
  <c r="G1994" i="5"/>
  <c r="I1993" i="5"/>
  <c r="H1993" i="5"/>
  <c r="J1993" i="5" s="1"/>
  <c r="G1993" i="5"/>
  <c r="I1992" i="5"/>
  <c r="H1992" i="5"/>
  <c r="J1992" i="5" s="1"/>
  <c r="G1992" i="5"/>
  <c r="I1991" i="5"/>
  <c r="H1991" i="5"/>
  <c r="J1991" i="5" s="1"/>
  <c r="G1991" i="5"/>
  <c r="I1990" i="5"/>
  <c r="H1990" i="5"/>
  <c r="J1990" i="5" s="1"/>
  <c r="G1990" i="5"/>
  <c r="I1989" i="5"/>
  <c r="H1989" i="5"/>
  <c r="J1989" i="5" s="1"/>
  <c r="G1989" i="5"/>
  <c r="I1988" i="5"/>
  <c r="H1988" i="5"/>
  <c r="J1988" i="5" s="1"/>
  <c r="G1988" i="5"/>
  <c r="I1987" i="5"/>
  <c r="H1987" i="5"/>
  <c r="J1987" i="5" s="1"/>
  <c r="G1987" i="5"/>
  <c r="I1986" i="5"/>
  <c r="H1986" i="5"/>
  <c r="J1986" i="5" s="1"/>
  <c r="G1986" i="5"/>
  <c r="I1985" i="5"/>
  <c r="H1985" i="5"/>
  <c r="J1985" i="5" s="1"/>
  <c r="G1985" i="5"/>
  <c r="I1984" i="5"/>
  <c r="H1984" i="5"/>
  <c r="J1984" i="5" s="1"/>
  <c r="G1984" i="5"/>
  <c r="I1983" i="5"/>
  <c r="H1983" i="5"/>
  <c r="J1983" i="5" s="1"/>
  <c r="G1983" i="5"/>
  <c r="I1982" i="5"/>
  <c r="H1982" i="5"/>
  <c r="J1982" i="5" s="1"/>
  <c r="G1982" i="5"/>
  <c r="I1981" i="5"/>
  <c r="H1981" i="5"/>
  <c r="J1981" i="5" s="1"/>
  <c r="G1981" i="5"/>
  <c r="I1980" i="5"/>
  <c r="H1980" i="5"/>
  <c r="J1980" i="5" s="1"/>
  <c r="G1980" i="5"/>
  <c r="I1979" i="5"/>
  <c r="H1979" i="5"/>
  <c r="J1979" i="5" s="1"/>
  <c r="G1979" i="5"/>
  <c r="I1978" i="5"/>
  <c r="H1978" i="5"/>
  <c r="J1978" i="5" s="1"/>
  <c r="G1978" i="5"/>
  <c r="I1977" i="5"/>
  <c r="H1977" i="5"/>
  <c r="J1977" i="5" s="1"/>
  <c r="G1977" i="5"/>
  <c r="I1976" i="5"/>
  <c r="H1976" i="5"/>
  <c r="J1976" i="5" s="1"/>
  <c r="G1976" i="5"/>
  <c r="I1975" i="5"/>
  <c r="H1975" i="5"/>
  <c r="J1975" i="5" s="1"/>
  <c r="G1975" i="5"/>
  <c r="I1974" i="5"/>
  <c r="H1974" i="5"/>
  <c r="J1974" i="5" s="1"/>
  <c r="G1974" i="5"/>
  <c r="I1973" i="5"/>
  <c r="H1973" i="5"/>
  <c r="J1973" i="5" s="1"/>
  <c r="G1973" i="5"/>
  <c r="I1972" i="5"/>
  <c r="H1972" i="5"/>
  <c r="J1972" i="5" s="1"/>
  <c r="G1972" i="5"/>
  <c r="I1971" i="5"/>
  <c r="H1971" i="5"/>
  <c r="J1971" i="5" s="1"/>
  <c r="G1971" i="5"/>
  <c r="I1970" i="5"/>
  <c r="H1970" i="5"/>
  <c r="J1970" i="5" s="1"/>
  <c r="G1970" i="5"/>
  <c r="I1969" i="5"/>
  <c r="H1969" i="5"/>
  <c r="J1969" i="5" s="1"/>
  <c r="G1969" i="5"/>
  <c r="I1968" i="5"/>
  <c r="H1968" i="5"/>
  <c r="J1968" i="5" s="1"/>
  <c r="G1968" i="5"/>
  <c r="I1967" i="5"/>
  <c r="H1967" i="5"/>
  <c r="J1967" i="5" s="1"/>
  <c r="G1967" i="5"/>
  <c r="I1966" i="5"/>
  <c r="H1966" i="5"/>
  <c r="J1966" i="5" s="1"/>
  <c r="G1966" i="5"/>
  <c r="I1965" i="5"/>
  <c r="H1965" i="5"/>
  <c r="J1965" i="5" s="1"/>
  <c r="G1965" i="5"/>
  <c r="I1964" i="5"/>
  <c r="H1964" i="5"/>
  <c r="J1964" i="5" s="1"/>
  <c r="G1964" i="5"/>
  <c r="I1963" i="5"/>
  <c r="H1963" i="5"/>
  <c r="J1963" i="5" s="1"/>
  <c r="G1963" i="5"/>
  <c r="I1962" i="5"/>
  <c r="H1962" i="5"/>
  <c r="J1962" i="5" s="1"/>
  <c r="G1962" i="5"/>
  <c r="I1961" i="5"/>
  <c r="H1961" i="5"/>
  <c r="J1961" i="5" s="1"/>
  <c r="G1961" i="5"/>
  <c r="I1960" i="5"/>
  <c r="H1960" i="5"/>
  <c r="J1960" i="5" s="1"/>
  <c r="G1960" i="5"/>
  <c r="I1959" i="5"/>
  <c r="H1959" i="5"/>
  <c r="J1959" i="5" s="1"/>
  <c r="G1959" i="5"/>
  <c r="I1958" i="5"/>
  <c r="H1958" i="5"/>
  <c r="J1958" i="5" s="1"/>
  <c r="G1958" i="5"/>
  <c r="I1957" i="5"/>
  <c r="H1957" i="5"/>
  <c r="J1957" i="5" s="1"/>
  <c r="G1957" i="5"/>
  <c r="I1956" i="5"/>
  <c r="H1956" i="5"/>
  <c r="J1956" i="5" s="1"/>
  <c r="G1956" i="5"/>
  <c r="I1955" i="5"/>
  <c r="H1955" i="5"/>
  <c r="J1955" i="5" s="1"/>
  <c r="G1955" i="5"/>
  <c r="I1954" i="5"/>
  <c r="H1954" i="5"/>
  <c r="J1954" i="5" s="1"/>
  <c r="G1954" i="5"/>
  <c r="I1953" i="5"/>
  <c r="H1953" i="5"/>
  <c r="J1953" i="5" s="1"/>
  <c r="G1953" i="5"/>
  <c r="I1952" i="5"/>
  <c r="H1952" i="5"/>
  <c r="J1952" i="5" s="1"/>
  <c r="G1952" i="5"/>
  <c r="I1951" i="5"/>
  <c r="H1951" i="5"/>
  <c r="J1951" i="5" s="1"/>
  <c r="G1951" i="5"/>
  <c r="I1950" i="5"/>
  <c r="H1950" i="5"/>
  <c r="J1950" i="5" s="1"/>
  <c r="G1950" i="5"/>
  <c r="I1949" i="5"/>
  <c r="H1949" i="5"/>
  <c r="J1949" i="5" s="1"/>
  <c r="G1949" i="5"/>
  <c r="I1948" i="5"/>
  <c r="H1948" i="5"/>
  <c r="J1948" i="5" s="1"/>
  <c r="G1948" i="5"/>
  <c r="I1947" i="5"/>
  <c r="H1947" i="5"/>
  <c r="J1947" i="5" s="1"/>
  <c r="G1947" i="5"/>
  <c r="I1946" i="5"/>
  <c r="H1946" i="5"/>
  <c r="J1946" i="5" s="1"/>
  <c r="G1946" i="5"/>
  <c r="I1945" i="5"/>
  <c r="H1945" i="5"/>
  <c r="J1945" i="5" s="1"/>
  <c r="G1945" i="5"/>
  <c r="I1944" i="5"/>
  <c r="H1944" i="5"/>
  <c r="J1944" i="5" s="1"/>
  <c r="G1944" i="5"/>
  <c r="I1943" i="5"/>
  <c r="H1943" i="5"/>
  <c r="J1943" i="5" s="1"/>
  <c r="G1943" i="5"/>
  <c r="I1942" i="5"/>
  <c r="H1942" i="5"/>
  <c r="J1942" i="5" s="1"/>
  <c r="G1942" i="5"/>
  <c r="I1941" i="5"/>
  <c r="H1941" i="5"/>
  <c r="J1941" i="5" s="1"/>
  <c r="G1941" i="5"/>
  <c r="I1940" i="5"/>
  <c r="H1940" i="5"/>
  <c r="J1940" i="5" s="1"/>
  <c r="G1940" i="5"/>
  <c r="I1939" i="5"/>
  <c r="H1939" i="5"/>
  <c r="J1939" i="5" s="1"/>
  <c r="G1939" i="5"/>
  <c r="I1938" i="5"/>
  <c r="H1938" i="5"/>
  <c r="J1938" i="5" s="1"/>
  <c r="G1938" i="5"/>
  <c r="I1937" i="5"/>
  <c r="H1937" i="5"/>
  <c r="J1937" i="5" s="1"/>
  <c r="G1937" i="5"/>
  <c r="I1936" i="5"/>
  <c r="H1936" i="5"/>
  <c r="J1936" i="5" s="1"/>
  <c r="G1936" i="5"/>
  <c r="I1935" i="5"/>
  <c r="H1935" i="5"/>
  <c r="J1935" i="5" s="1"/>
  <c r="G1935" i="5"/>
  <c r="I1934" i="5"/>
  <c r="H1934" i="5"/>
  <c r="J1934" i="5" s="1"/>
  <c r="G1934" i="5"/>
  <c r="I1933" i="5"/>
  <c r="H1933" i="5"/>
  <c r="J1933" i="5" s="1"/>
  <c r="G1933" i="5"/>
  <c r="I1932" i="5"/>
  <c r="H1932" i="5"/>
  <c r="J1932" i="5" s="1"/>
  <c r="G1932" i="5"/>
  <c r="I1931" i="5"/>
  <c r="H1931" i="5"/>
  <c r="J1931" i="5" s="1"/>
  <c r="G1931" i="5"/>
  <c r="I1930" i="5"/>
  <c r="H1930" i="5"/>
  <c r="J1930" i="5" s="1"/>
  <c r="G1930" i="5"/>
  <c r="I1929" i="5"/>
  <c r="H1929" i="5"/>
  <c r="J1929" i="5" s="1"/>
  <c r="G1929" i="5"/>
  <c r="I1928" i="5"/>
  <c r="H1928" i="5"/>
  <c r="J1928" i="5" s="1"/>
  <c r="G1928" i="5"/>
  <c r="I1927" i="5"/>
  <c r="H1927" i="5"/>
  <c r="J1927" i="5" s="1"/>
  <c r="G1927" i="5"/>
  <c r="I1926" i="5"/>
  <c r="H1926" i="5"/>
  <c r="J1926" i="5" s="1"/>
  <c r="G1926" i="5"/>
  <c r="I1925" i="5"/>
  <c r="H1925" i="5"/>
  <c r="J1925" i="5" s="1"/>
  <c r="G1925" i="5"/>
  <c r="I1924" i="5"/>
  <c r="H1924" i="5"/>
  <c r="J1924" i="5" s="1"/>
  <c r="G1924" i="5"/>
  <c r="I1923" i="5"/>
  <c r="H1923" i="5"/>
  <c r="J1923" i="5" s="1"/>
  <c r="G1923" i="5"/>
  <c r="I1922" i="5"/>
  <c r="H1922" i="5"/>
  <c r="J1922" i="5" s="1"/>
  <c r="G1922" i="5"/>
  <c r="I1921" i="5"/>
  <c r="H1921" i="5"/>
  <c r="J1921" i="5" s="1"/>
  <c r="G1921" i="5"/>
  <c r="I1920" i="5"/>
  <c r="H1920" i="5"/>
  <c r="J1920" i="5" s="1"/>
  <c r="G1920" i="5"/>
  <c r="I1919" i="5"/>
  <c r="H1919" i="5"/>
  <c r="J1919" i="5" s="1"/>
  <c r="G1919" i="5"/>
  <c r="I1918" i="5"/>
  <c r="H1918" i="5"/>
  <c r="J1918" i="5" s="1"/>
  <c r="G1918" i="5"/>
  <c r="I1917" i="5"/>
  <c r="H1917" i="5"/>
  <c r="J1917" i="5" s="1"/>
  <c r="G1917" i="5"/>
  <c r="I1916" i="5"/>
  <c r="H1916" i="5"/>
  <c r="J1916" i="5" s="1"/>
  <c r="G1916" i="5"/>
  <c r="I1915" i="5"/>
  <c r="H1915" i="5"/>
  <c r="J1915" i="5" s="1"/>
  <c r="G1915" i="5"/>
  <c r="I1914" i="5"/>
  <c r="H1914" i="5"/>
  <c r="J1914" i="5" s="1"/>
  <c r="G1914" i="5"/>
  <c r="I1913" i="5"/>
  <c r="H1913" i="5"/>
  <c r="J1913" i="5" s="1"/>
  <c r="G1913" i="5"/>
  <c r="I1912" i="5"/>
  <c r="H1912" i="5"/>
  <c r="J1912" i="5" s="1"/>
  <c r="G1912" i="5"/>
  <c r="I1911" i="5"/>
  <c r="H1911" i="5"/>
  <c r="J1911" i="5" s="1"/>
  <c r="G1911" i="5"/>
  <c r="I1910" i="5"/>
  <c r="H1910" i="5"/>
  <c r="J1910" i="5" s="1"/>
  <c r="G1910" i="5"/>
  <c r="I1909" i="5"/>
  <c r="H1909" i="5"/>
  <c r="J1909" i="5" s="1"/>
  <c r="G1909" i="5"/>
  <c r="I1908" i="5"/>
  <c r="H1908" i="5"/>
  <c r="J1908" i="5" s="1"/>
  <c r="G1908" i="5"/>
  <c r="I1907" i="5"/>
  <c r="H1907" i="5"/>
  <c r="J1907" i="5" s="1"/>
  <c r="G1907" i="5"/>
  <c r="I1906" i="5"/>
  <c r="H1906" i="5"/>
  <c r="J1906" i="5" s="1"/>
  <c r="G1906" i="5"/>
  <c r="I1905" i="5"/>
  <c r="H1905" i="5"/>
  <c r="J1905" i="5" s="1"/>
  <c r="G1905" i="5"/>
  <c r="I1904" i="5"/>
  <c r="H1904" i="5"/>
  <c r="J1904" i="5" s="1"/>
  <c r="G1904" i="5"/>
  <c r="I1903" i="5"/>
  <c r="H1903" i="5"/>
  <c r="J1903" i="5" s="1"/>
  <c r="G1903" i="5"/>
  <c r="I1902" i="5"/>
  <c r="H1902" i="5"/>
  <c r="J1902" i="5" s="1"/>
  <c r="G1902" i="5"/>
  <c r="I1901" i="5"/>
  <c r="H1901" i="5"/>
  <c r="J1901" i="5" s="1"/>
  <c r="G1901" i="5"/>
  <c r="I1900" i="5"/>
  <c r="H1900" i="5"/>
  <c r="J1900" i="5" s="1"/>
  <c r="G1900" i="5"/>
  <c r="I1899" i="5"/>
  <c r="H1899" i="5"/>
  <c r="J1899" i="5" s="1"/>
  <c r="G1899" i="5"/>
  <c r="I1898" i="5"/>
  <c r="H1898" i="5"/>
  <c r="J1898" i="5" s="1"/>
  <c r="G1898" i="5"/>
  <c r="I1897" i="5"/>
  <c r="H1897" i="5"/>
  <c r="J1897" i="5" s="1"/>
  <c r="G1897" i="5"/>
  <c r="I1896" i="5"/>
  <c r="H1896" i="5"/>
  <c r="J1896" i="5" s="1"/>
  <c r="G1896" i="5"/>
  <c r="I1895" i="5"/>
  <c r="H1895" i="5"/>
  <c r="J1895" i="5" s="1"/>
  <c r="G1895" i="5"/>
  <c r="I1894" i="5"/>
  <c r="H1894" i="5"/>
  <c r="J1894" i="5" s="1"/>
  <c r="G1894" i="5"/>
  <c r="I1893" i="5"/>
  <c r="H1893" i="5"/>
  <c r="J1893" i="5" s="1"/>
  <c r="G1893" i="5"/>
  <c r="I1892" i="5"/>
  <c r="H1892" i="5"/>
  <c r="J1892" i="5" s="1"/>
  <c r="G1892" i="5"/>
  <c r="I1891" i="5"/>
  <c r="H1891" i="5"/>
  <c r="J1891" i="5" s="1"/>
  <c r="G1891" i="5"/>
  <c r="I1890" i="5"/>
  <c r="H1890" i="5"/>
  <c r="J1890" i="5" s="1"/>
  <c r="G1890" i="5"/>
  <c r="I1889" i="5"/>
  <c r="H1889" i="5"/>
  <c r="J1889" i="5" s="1"/>
  <c r="G1889" i="5"/>
  <c r="I1888" i="5"/>
  <c r="H1888" i="5"/>
  <c r="J1888" i="5" s="1"/>
  <c r="G1888" i="5"/>
  <c r="I1887" i="5"/>
  <c r="H1887" i="5"/>
  <c r="J1887" i="5" s="1"/>
  <c r="G1887" i="5"/>
  <c r="I1886" i="5"/>
  <c r="H1886" i="5"/>
  <c r="J1886" i="5" s="1"/>
  <c r="G1886" i="5"/>
  <c r="I1885" i="5"/>
  <c r="H1885" i="5"/>
  <c r="J1885" i="5" s="1"/>
  <c r="G1885" i="5"/>
  <c r="I1884" i="5"/>
  <c r="H1884" i="5"/>
  <c r="J1884" i="5" s="1"/>
  <c r="G1884" i="5"/>
  <c r="I1883" i="5"/>
  <c r="H1883" i="5"/>
  <c r="J1883" i="5" s="1"/>
  <c r="G1883" i="5"/>
  <c r="I1882" i="5"/>
  <c r="H1882" i="5"/>
  <c r="J1882" i="5" s="1"/>
  <c r="G1882" i="5"/>
  <c r="I1881" i="5"/>
  <c r="H1881" i="5"/>
  <c r="J1881" i="5" s="1"/>
  <c r="G1881" i="5"/>
  <c r="I1880" i="5"/>
  <c r="H1880" i="5"/>
  <c r="J1880" i="5" s="1"/>
  <c r="G1880" i="5"/>
  <c r="I1879" i="5"/>
  <c r="H1879" i="5"/>
  <c r="J1879" i="5" s="1"/>
  <c r="G1879" i="5"/>
  <c r="I1878" i="5"/>
  <c r="H1878" i="5"/>
  <c r="J1878" i="5" s="1"/>
  <c r="G1878" i="5"/>
  <c r="I1877" i="5"/>
  <c r="H1877" i="5"/>
  <c r="J1877" i="5" s="1"/>
  <c r="G1877" i="5"/>
  <c r="I1876" i="5"/>
  <c r="H1876" i="5"/>
  <c r="J1876" i="5" s="1"/>
  <c r="G1876" i="5"/>
  <c r="I1875" i="5"/>
  <c r="H1875" i="5"/>
  <c r="J1875" i="5" s="1"/>
  <c r="G1875" i="5"/>
  <c r="I1874" i="5"/>
  <c r="H1874" i="5"/>
  <c r="J1874" i="5" s="1"/>
  <c r="G1874" i="5"/>
  <c r="I1873" i="5"/>
  <c r="H1873" i="5"/>
  <c r="J1873" i="5" s="1"/>
  <c r="G1873" i="5"/>
  <c r="I1872" i="5"/>
  <c r="H1872" i="5"/>
  <c r="J1872" i="5" s="1"/>
  <c r="G1872" i="5"/>
  <c r="I1871" i="5"/>
  <c r="H1871" i="5"/>
  <c r="J1871" i="5" s="1"/>
  <c r="G1871" i="5"/>
  <c r="I1870" i="5"/>
  <c r="H1870" i="5"/>
  <c r="J1870" i="5" s="1"/>
  <c r="G1870" i="5"/>
  <c r="I1869" i="5"/>
  <c r="H1869" i="5"/>
  <c r="J1869" i="5" s="1"/>
  <c r="G1869" i="5"/>
  <c r="I1868" i="5"/>
  <c r="H1868" i="5"/>
  <c r="J1868" i="5" s="1"/>
  <c r="G1868" i="5"/>
  <c r="I1867" i="5"/>
  <c r="H1867" i="5"/>
  <c r="J1867" i="5" s="1"/>
  <c r="G1867" i="5"/>
  <c r="I1866" i="5"/>
  <c r="H1866" i="5"/>
  <c r="J1866" i="5" s="1"/>
  <c r="G1866" i="5"/>
  <c r="I1865" i="5"/>
  <c r="H1865" i="5"/>
  <c r="J1865" i="5" s="1"/>
  <c r="G1865" i="5"/>
  <c r="I1864" i="5"/>
  <c r="H1864" i="5"/>
  <c r="J1864" i="5" s="1"/>
  <c r="G1864" i="5"/>
  <c r="I1863" i="5"/>
  <c r="H1863" i="5"/>
  <c r="J1863" i="5" s="1"/>
  <c r="G1863" i="5"/>
  <c r="I1862" i="5"/>
  <c r="H1862" i="5"/>
  <c r="J1862" i="5" s="1"/>
  <c r="G1862" i="5"/>
  <c r="I1861" i="5"/>
  <c r="H1861" i="5"/>
  <c r="J1861" i="5" s="1"/>
  <c r="G1861" i="5"/>
  <c r="I1860" i="5"/>
  <c r="H1860" i="5"/>
  <c r="J1860" i="5" s="1"/>
  <c r="G1860" i="5"/>
  <c r="I1859" i="5"/>
  <c r="H1859" i="5"/>
  <c r="J1859" i="5" s="1"/>
  <c r="G1859" i="5"/>
  <c r="I1858" i="5"/>
  <c r="H1858" i="5"/>
  <c r="J1858" i="5" s="1"/>
  <c r="G1858" i="5"/>
  <c r="I1857" i="5"/>
  <c r="H1857" i="5"/>
  <c r="J1857" i="5" s="1"/>
  <c r="G1857" i="5"/>
  <c r="I1856" i="5"/>
  <c r="H1856" i="5"/>
  <c r="J1856" i="5" s="1"/>
  <c r="G1856" i="5"/>
  <c r="I1855" i="5"/>
  <c r="H1855" i="5"/>
  <c r="J1855" i="5" s="1"/>
  <c r="G1855" i="5"/>
  <c r="I1854" i="5"/>
  <c r="H1854" i="5"/>
  <c r="J1854" i="5" s="1"/>
  <c r="G1854" i="5"/>
  <c r="I1853" i="5"/>
  <c r="H1853" i="5"/>
  <c r="J1853" i="5" s="1"/>
  <c r="G1853" i="5"/>
  <c r="I1852" i="5"/>
  <c r="H1852" i="5"/>
  <c r="J1852" i="5" s="1"/>
  <c r="G1852" i="5"/>
  <c r="I1851" i="5"/>
  <c r="H1851" i="5"/>
  <c r="J1851" i="5" s="1"/>
  <c r="G1851" i="5"/>
  <c r="I1850" i="5"/>
  <c r="H1850" i="5"/>
  <c r="J1850" i="5" s="1"/>
  <c r="G1850" i="5"/>
  <c r="I1849" i="5"/>
  <c r="H1849" i="5"/>
  <c r="J1849" i="5" s="1"/>
  <c r="G1849" i="5"/>
  <c r="I1848" i="5"/>
  <c r="H1848" i="5"/>
  <c r="J1848" i="5" s="1"/>
  <c r="G1848" i="5"/>
  <c r="I1847" i="5"/>
  <c r="H1847" i="5"/>
  <c r="J1847" i="5" s="1"/>
  <c r="G1847" i="5"/>
  <c r="I1846" i="5"/>
  <c r="H1846" i="5"/>
  <c r="J1846" i="5" s="1"/>
  <c r="G1846" i="5"/>
  <c r="I1845" i="5"/>
  <c r="H1845" i="5"/>
  <c r="J1845" i="5" s="1"/>
  <c r="G1845" i="5"/>
  <c r="I1844" i="5"/>
  <c r="H1844" i="5"/>
  <c r="J1844" i="5" s="1"/>
  <c r="G1844" i="5"/>
  <c r="I1843" i="5"/>
  <c r="H1843" i="5"/>
  <c r="J1843" i="5" s="1"/>
  <c r="G1843" i="5"/>
  <c r="I1842" i="5"/>
  <c r="H1842" i="5"/>
  <c r="J1842" i="5" s="1"/>
  <c r="G1842" i="5"/>
  <c r="I1841" i="5"/>
  <c r="H1841" i="5"/>
  <c r="J1841" i="5" s="1"/>
  <c r="G1841" i="5"/>
  <c r="I1840" i="5"/>
  <c r="H1840" i="5"/>
  <c r="J1840" i="5" s="1"/>
  <c r="G1840" i="5"/>
  <c r="I1839" i="5"/>
  <c r="H1839" i="5"/>
  <c r="J1839" i="5" s="1"/>
  <c r="G1839" i="5"/>
  <c r="I1838" i="5"/>
  <c r="H1838" i="5"/>
  <c r="J1838" i="5" s="1"/>
  <c r="G1838" i="5"/>
  <c r="I1837" i="5"/>
  <c r="H1837" i="5"/>
  <c r="J1837" i="5" s="1"/>
  <c r="G1837" i="5"/>
  <c r="I1836" i="5"/>
  <c r="H1836" i="5"/>
  <c r="J1836" i="5" s="1"/>
  <c r="G1836" i="5"/>
  <c r="I1835" i="5"/>
  <c r="H1835" i="5"/>
  <c r="J1835" i="5" s="1"/>
  <c r="G1835" i="5"/>
  <c r="I1834" i="5"/>
  <c r="H1834" i="5"/>
  <c r="J1834" i="5" s="1"/>
  <c r="G1834" i="5"/>
  <c r="I1833" i="5"/>
  <c r="H1833" i="5"/>
  <c r="J1833" i="5" s="1"/>
  <c r="G1833" i="5"/>
  <c r="I1832" i="5"/>
  <c r="H1832" i="5"/>
  <c r="J1832" i="5" s="1"/>
  <c r="G1832" i="5"/>
  <c r="I1831" i="5"/>
  <c r="H1831" i="5"/>
  <c r="J1831" i="5" s="1"/>
  <c r="G1831" i="5"/>
  <c r="I1830" i="5"/>
  <c r="H1830" i="5"/>
  <c r="J1830" i="5" s="1"/>
  <c r="G1830" i="5"/>
  <c r="I1829" i="5"/>
  <c r="H1829" i="5"/>
  <c r="J1829" i="5" s="1"/>
  <c r="G1829" i="5"/>
  <c r="I1828" i="5"/>
  <c r="H1828" i="5"/>
  <c r="J1828" i="5" s="1"/>
  <c r="G1828" i="5"/>
  <c r="I1827" i="5"/>
  <c r="H1827" i="5"/>
  <c r="J1827" i="5" s="1"/>
  <c r="G1827" i="5"/>
  <c r="I1826" i="5"/>
  <c r="H1826" i="5"/>
  <c r="J1826" i="5" s="1"/>
  <c r="G1826" i="5"/>
  <c r="I1825" i="5"/>
  <c r="H1825" i="5"/>
  <c r="J1825" i="5" s="1"/>
  <c r="G1825" i="5"/>
  <c r="I1824" i="5"/>
  <c r="H1824" i="5"/>
  <c r="J1824" i="5" s="1"/>
  <c r="G1824" i="5"/>
  <c r="I1823" i="5"/>
  <c r="H1823" i="5"/>
  <c r="J1823" i="5" s="1"/>
  <c r="G1823" i="5"/>
  <c r="I1822" i="5"/>
  <c r="H1822" i="5"/>
  <c r="J1822" i="5" s="1"/>
  <c r="G1822" i="5"/>
  <c r="I1821" i="5"/>
  <c r="H1821" i="5"/>
  <c r="J1821" i="5" s="1"/>
  <c r="G1821" i="5"/>
  <c r="I1820" i="5"/>
  <c r="H1820" i="5"/>
  <c r="J1820" i="5" s="1"/>
  <c r="G1820" i="5"/>
  <c r="I1819" i="5"/>
  <c r="H1819" i="5"/>
  <c r="J1819" i="5" s="1"/>
  <c r="G1819" i="5"/>
  <c r="I1818" i="5"/>
  <c r="H1818" i="5"/>
  <c r="J1818" i="5" s="1"/>
  <c r="G1818" i="5"/>
  <c r="I1817" i="5"/>
  <c r="H1817" i="5"/>
  <c r="J1817" i="5" s="1"/>
  <c r="G1817" i="5"/>
  <c r="I1816" i="5"/>
  <c r="H1816" i="5"/>
  <c r="J1816" i="5" s="1"/>
  <c r="G1816" i="5"/>
  <c r="I1815" i="5"/>
  <c r="H1815" i="5"/>
  <c r="J1815" i="5" s="1"/>
  <c r="G1815" i="5"/>
  <c r="I1814" i="5"/>
  <c r="H1814" i="5"/>
  <c r="J1814" i="5" s="1"/>
  <c r="G1814" i="5"/>
  <c r="I1813" i="5"/>
  <c r="H1813" i="5"/>
  <c r="J1813" i="5" s="1"/>
  <c r="G1813" i="5"/>
  <c r="I1812" i="5"/>
  <c r="H1812" i="5"/>
  <c r="J1812" i="5" s="1"/>
  <c r="G1812" i="5"/>
  <c r="I1811" i="5"/>
  <c r="H1811" i="5"/>
  <c r="J1811" i="5" s="1"/>
  <c r="G1811" i="5"/>
  <c r="I1810" i="5"/>
  <c r="H1810" i="5"/>
  <c r="J1810" i="5" s="1"/>
  <c r="G1810" i="5"/>
  <c r="I1809" i="5"/>
  <c r="H1809" i="5"/>
  <c r="J1809" i="5" s="1"/>
  <c r="G1809" i="5"/>
  <c r="I1808" i="5"/>
  <c r="H1808" i="5"/>
  <c r="J1808" i="5" s="1"/>
  <c r="G1808" i="5"/>
  <c r="I1807" i="5"/>
  <c r="H1807" i="5"/>
  <c r="J1807" i="5" s="1"/>
  <c r="G1807" i="5"/>
  <c r="I1806" i="5"/>
  <c r="H1806" i="5"/>
  <c r="J1806" i="5" s="1"/>
  <c r="G1806" i="5"/>
  <c r="I1805" i="5"/>
  <c r="H1805" i="5"/>
  <c r="J1805" i="5" s="1"/>
  <c r="G1805" i="5"/>
  <c r="I1804" i="5"/>
  <c r="H1804" i="5"/>
  <c r="J1804" i="5" s="1"/>
  <c r="G1804" i="5"/>
  <c r="I1803" i="5"/>
  <c r="H1803" i="5"/>
  <c r="J1803" i="5" s="1"/>
  <c r="G1803" i="5"/>
  <c r="I1802" i="5"/>
  <c r="H1802" i="5"/>
  <c r="J1802" i="5" s="1"/>
  <c r="G1802" i="5"/>
  <c r="I1801" i="5"/>
  <c r="H1801" i="5"/>
  <c r="J1801" i="5" s="1"/>
  <c r="G1801" i="5"/>
  <c r="I1800" i="5"/>
  <c r="H1800" i="5"/>
  <c r="J1800" i="5" s="1"/>
  <c r="G1800" i="5"/>
  <c r="I1799" i="5"/>
  <c r="H1799" i="5"/>
  <c r="J1799" i="5" s="1"/>
  <c r="G1799" i="5"/>
  <c r="I1798" i="5"/>
  <c r="H1798" i="5"/>
  <c r="J1798" i="5" s="1"/>
  <c r="G1798" i="5"/>
  <c r="I1797" i="5"/>
  <c r="H1797" i="5"/>
  <c r="J1797" i="5" s="1"/>
  <c r="G1797" i="5"/>
  <c r="I1796" i="5"/>
  <c r="H1796" i="5"/>
  <c r="J1796" i="5" s="1"/>
  <c r="G1796" i="5"/>
  <c r="I1795" i="5"/>
  <c r="H1795" i="5"/>
  <c r="J1795" i="5" s="1"/>
  <c r="G1795" i="5"/>
  <c r="I1794" i="5"/>
  <c r="H1794" i="5"/>
  <c r="J1794" i="5" s="1"/>
  <c r="G1794" i="5"/>
  <c r="I1793" i="5"/>
  <c r="H1793" i="5"/>
  <c r="J1793" i="5" s="1"/>
  <c r="G1793" i="5"/>
  <c r="I1792" i="5"/>
  <c r="H1792" i="5"/>
  <c r="J1792" i="5" s="1"/>
  <c r="G1792" i="5"/>
  <c r="I1791" i="5"/>
  <c r="H1791" i="5"/>
  <c r="J1791" i="5" s="1"/>
  <c r="G1791" i="5"/>
  <c r="I1790" i="5"/>
  <c r="H1790" i="5"/>
  <c r="J1790" i="5" s="1"/>
  <c r="G1790" i="5"/>
  <c r="I1789" i="5"/>
  <c r="H1789" i="5"/>
  <c r="J1789" i="5" s="1"/>
  <c r="G1789" i="5"/>
  <c r="I1788" i="5"/>
  <c r="H1788" i="5"/>
  <c r="J1788" i="5" s="1"/>
  <c r="G1788" i="5"/>
  <c r="I1787" i="5"/>
  <c r="H1787" i="5"/>
  <c r="J1787" i="5" s="1"/>
  <c r="G1787" i="5"/>
  <c r="I1786" i="5"/>
  <c r="H1786" i="5"/>
  <c r="J1786" i="5" s="1"/>
  <c r="G1786" i="5"/>
  <c r="I1785" i="5"/>
  <c r="H1785" i="5"/>
  <c r="J1785" i="5" s="1"/>
  <c r="G1785" i="5"/>
  <c r="I1784" i="5"/>
  <c r="H1784" i="5"/>
  <c r="J1784" i="5" s="1"/>
  <c r="G1784" i="5"/>
  <c r="I1783" i="5"/>
  <c r="H1783" i="5"/>
  <c r="J1783" i="5" s="1"/>
  <c r="G1783" i="5"/>
  <c r="I1782" i="5"/>
  <c r="H1782" i="5"/>
  <c r="J1782" i="5" s="1"/>
  <c r="G1782" i="5"/>
  <c r="I1781" i="5"/>
  <c r="H1781" i="5"/>
  <c r="J1781" i="5" s="1"/>
  <c r="G1781" i="5"/>
  <c r="I1780" i="5"/>
  <c r="H1780" i="5"/>
  <c r="J1780" i="5" s="1"/>
  <c r="G1780" i="5"/>
  <c r="I1779" i="5"/>
  <c r="H1779" i="5"/>
  <c r="J1779" i="5" s="1"/>
  <c r="G1779" i="5"/>
  <c r="I1778" i="5"/>
  <c r="H1778" i="5"/>
  <c r="J1778" i="5" s="1"/>
  <c r="G1778" i="5"/>
  <c r="I1777" i="5"/>
  <c r="H1777" i="5"/>
  <c r="J1777" i="5" s="1"/>
  <c r="G1777" i="5"/>
  <c r="I1776" i="5"/>
  <c r="H1776" i="5"/>
  <c r="J1776" i="5" s="1"/>
  <c r="G1776" i="5"/>
  <c r="I1775" i="5"/>
  <c r="H1775" i="5"/>
  <c r="J1775" i="5" s="1"/>
  <c r="G1775" i="5"/>
  <c r="I1774" i="5"/>
  <c r="H1774" i="5"/>
  <c r="J1774" i="5" s="1"/>
  <c r="G1774" i="5"/>
  <c r="I1773" i="5"/>
  <c r="H1773" i="5"/>
  <c r="J1773" i="5" s="1"/>
  <c r="G1773" i="5"/>
  <c r="I1772" i="5"/>
  <c r="H1772" i="5"/>
  <c r="J1772" i="5" s="1"/>
  <c r="G1772" i="5"/>
  <c r="I1771" i="5"/>
  <c r="H1771" i="5"/>
  <c r="J1771" i="5" s="1"/>
  <c r="G1771" i="5"/>
  <c r="I1770" i="5"/>
  <c r="H1770" i="5"/>
  <c r="J1770" i="5" s="1"/>
  <c r="G1770" i="5"/>
  <c r="I1769" i="5"/>
  <c r="H1769" i="5"/>
  <c r="J1769" i="5" s="1"/>
  <c r="G1769" i="5"/>
  <c r="I1768" i="5"/>
  <c r="H1768" i="5"/>
  <c r="J1768" i="5" s="1"/>
  <c r="G1768" i="5"/>
  <c r="I1767" i="5"/>
  <c r="H1767" i="5"/>
  <c r="J1767" i="5" s="1"/>
  <c r="G1767" i="5"/>
  <c r="I1766" i="5"/>
  <c r="H1766" i="5"/>
  <c r="J1766" i="5" s="1"/>
  <c r="G1766" i="5"/>
  <c r="I1765" i="5"/>
  <c r="H1765" i="5"/>
  <c r="J1765" i="5" s="1"/>
  <c r="G1765" i="5"/>
  <c r="I1764" i="5"/>
  <c r="H1764" i="5"/>
  <c r="J1764" i="5" s="1"/>
  <c r="G1764" i="5"/>
  <c r="I1763" i="5"/>
  <c r="H1763" i="5"/>
  <c r="J1763" i="5" s="1"/>
  <c r="G1763" i="5"/>
  <c r="I1762" i="5"/>
  <c r="H1762" i="5"/>
  <c r="J1762" i="5" s="1"/>
  <c r="G1762" i="5"/>
  <c r="I1761" i="5"/>
  <c r="H1761" i="5"/>
  <c r="J1761" i="5" s="1"/>
  <c r="G1761" i="5"/>
  <c r="I1760" i="5"/>
  <c r="H1760" i="5"/>
  <c r="J1760" i="5" s="1"/>
  <c r="G1760" i="5"/>
  <c r="I1759" i="5"/>
  <c r="H1759" i="5"/>
  <c r="J1759" i="5" s="1"/>
  <c r="G1759" i="5"/>
  <c r="I1758" i="5"/>
  <c r="H1758" i="5"/>
  <c r="J1758" i="5" s="1"/>
  <c r="G1758" i="5"/>
  <c r="I1757" i="5"/>
  <c r="H1757" i="5"/>
  <c r="J1757" i="5" s="1"/>
  <c r="G1757" i="5"/>
  <c r="I1756" i="5"/>
  <c r="H1756" i="5"/>
  <c r="J1756" i="5" s="1"/>
  <c r="G1756" i="5"/>
  <c r="I1755" i="5"/>
  <c r="H1755" i="5"/>
  <c r="J1755" i="5" s="1"/>
  <c r="G1755" i="5"/>
  <c r="I1754" i="5"/>
  <c r="H1754" i="5"/>
  <c r="J1754" i="5" s="1"/>
  <c r="G1754" i="5"/>
  <c r="I1753" i="5"/>
  <c r="H1753" i="5"/>
  <c r="J1753" i="5" s="1"/>
  <c r="G1753" i="5"/>
  <c r="I1752" i="5"/>
  <c r="H1752" i="5"/>
  <c r="J1752" i="5" s="1"/>
  <c r="G1752" i="5"/>
  <c r="I1751" i="5"/>
  <c r="H1751" i="5"/>
  <c r="J1751" i="5" s="1"/>
  <c r="G1751" i="5"/>
  <c r="I1750" i="5"/>
  <c r="H1750" i="5"/>
  <c r="J1750" i="5" s="1"/>
  <c r="G1750" i="5"/>
  <c r="I1749" i="5"/>
  <c r="H1749" i="5"/>
  <c r="J1749" i="5" s="1"/>
  <c r="G1749" i="5"/>
  <c r="I1748" i="5"/>
  <c r="H1748" i="5"/>
  <c r="J1748" i="5" s="1"/>
  <c r="G1748" i="5"/>
  <c r="I1747" i="5"/>
  <c r="H1747" i="5"/>
  <c r="J1747" i="5" s="1"/>
  <c r="G1747" i="5"/>
  <c r="I1746" i="5"/>
  <c r="H1746" i="5"/>
  <c r="J1746" i="5" s="1"/>
  <c r="G1746" i="5"/>
  <c r="I1745" i="5"/>
  <c r="H1745" i="5"/>
  <c r="J1745" i="5" s="1"/>
  <c r="G1745" i="5"/>
  <c r="I1744" i="5"/>
  <c r="H1744" i="5"/>
  <c r="J1744" i="5" s="1"/>
  <c r="G1744" i="5"/>
  <c r="I1743" i="5"/>
  <c r="H1743" i="5"/>
  <c r="J1743" i="5" s="1"/>
  <c r="G1743" i="5"/>
  <c r="I1742" i="5"/>
  <c r="H1742" i="5"/>
  <c r="J1742" i="5" s="1"/>
  <c r="G1742" i="5"/>
  <c r="I1741" i="5"/>
  <c r="H1741" i="5"/>
  <c r="J1741" i="5" s="1"/>
  <c r="G1741" i="5"/>
  <c r="I1740" i="5"/>
  <c r="H1740" i="5"/>
  <c r="J1740" i="5" s="1"/>
  <c r="G1740" i="5"/>
  <c r="I1739" i="5"/>
  <c r="H1739" i="5"/>
  <c r="J1739" i="5" s="1"/>
  <c r="G1739" i="5"/>
  <c r="I1738" i="5"/>
  <c r="H1738" i="5"/>
  <c r="J1738" i="5" s="1"/>
  <c r="G1738" i="5"/>
  <c r="I1737" i="5"/>
  <c r="H1737" i="5"/>
  <c r="J1737" i="5" s="1"/>
  <c r="G1737" i="5"/>
  <c r="I1736" i="5"/>
  <c r="H1736" i="5"/>
  <c r="J1736" i="5" s="1"/>
  <c r="G1736" i="5"/>
  <c r="I1735" i="5"/>
  <c r="H1735" i="5"/>
  <c r="J1735" i="5" s="1"/>
  <c r="G1735" i="5"/>
  <c r="I1734" i="5"/>
  <c r="H1734" i="5"/>
  <c r="J1734" i="5" s="1"/>
  <c r="G1734" i="5"/>
  <c r="I1733" i="5"/>
  <c r="H1733" i="5"/>
  <c r="J1733" i="5" s="1"/>
  <c r="G1733" i="5"/>
  <c r="I1732" i="5"/>
  <c r="H1732" i="5"/>
  <c r="J1732" i="5" s="1"/>
  <c r="G1732" i="5"/>
  <c r="I1731" i="5"/>
  <c r="H1731" i="5"/>
  <c r="J1731" i="5" s="1"/>
  <c r="G1731" i="5"/>
  <c r="I1730" i="5"/>
  <c r="H1730" i="5"/>
  <c r="J1730" i="5" s="1"/>
  <c r="G1730" i="5"/>
  <c r="I1729" i="5"/>
  <c r="H1729" i="5"/>
  <c r="J1729" i="5" s="1"/>
  <c r="G1729" i="5"/>
  <c r="I1728" i="5"/>
  <c r="H1728" i="5"/>
  <c r="J1728" i="5" s="1"/>
  <c r="G1728" i="5"/>
  <c r="I1727" i="5"/>
  <c r="H1727" i="5"/>
  <c r="J1727" i="5" s="1"/>
  <c r="G1727" i="5"/>
  <c r="I1726" i="5"/>
  <c r="H1726" i="5"/>
  <c r="J1726" i="5" s="1"/>
  <c r="G1726" i="5"/>
  <c r="I1725" i="5"/>
  <c r="H1725" i="5"/>
  <c r="J1725" i="5" s="1"/>
  <c r="G1725" i="5"/>
  <c r="I1724" i="5"/>
  <c r="H1724" i="5"/>
  <c r="J1724" i="5" s="1"/>
  <c r="G1724" i="5"/>
  <c r="I1723" i="5"/>
  <c r="H1723" i="5"/>
  <c r="J1723" i="5" s="1"/>
  <c r="G1723" i="5"/>
  <c r="I1722" i="5"/>
  <c r="H1722" i="5"/>
  <c r="J1722" i="5" s="1"/>
  <c r="G1722" i="5"/>
  <c r="I1721" i="5"/>
  <c r="H1721" i="5"/>
  <c r="J1721" i="5" s="1"/>
  <c r="G1721" i="5"/>
  <c r="I1720" i="5"/>
  <c r="H1720" i="5"/>
  <c r="J1720" i="5" s="1"/>
  <c r="G1720" i="5"/>
  <c r="I1719" i="5"/>
  <c r="H1719" i="5"/>
  <c r="J1719" i="5" s="1"/>
  <c r="G1719" i="5"/>
  <c r="I1718" i="5"/>
  <c r="H1718" i="5"/>
  <c r="J1718" i="5" s="1"/>
  <c r="G1718" i="5"/>
  <c r="I1717" i="5"/>
  <c r="H1717" i="5"/>
  <c r="J1717" i="5" s="1"/>
  <c r="G1717" i="5"/>
  <c r="I1716" i="5"/>
  <c r="H1716" i="5"/>
  <c r="J1716" i="5" s="1"/>
  <c r="G1716" i="5"/>
  <c r="I1715" i="5"/>
  <c r="H1715" i="5"/>
  <c r="J1715" i="5" s="1"/>
  <c r="G1715" i="5"/>
  <c r="I1714" i="5"/>
  <c r="H1714" i="5"/>
  <c r="J1714" i="5" s="1"/>
  <c r="G1714" i="5"/>
  <c r="I1713" i="5"/>
  <c r="H1713" i="5"/>
  <c r="J1713" i="5" s="1"/>
  <c r="G1713" i="5"/>
  <c r="I1712" i="5"/>
  <c r="H1712" i="5"/>
  <c r="J1712" i="5" s="1"/>
  <c r="G1712" i="5"/>
  <c r="I1711" i="5"/>
  <c r="H1711" i="5"/>
  <c r="J1711" i="5" s="1"/>
  <c r="G1711" i="5"/>
  <c r="I1710" i="5"/>
  <c r="H1710" i="5"/>
  <c r="J1710" i="5" s="1"/>
  <c r="G1710" i="5"/>
  <c r="I1709" i="5"/>
  <c r="H1709" i="5"/>
  <c r="J1709" i="5" s="1"/>
  <c r="G1709" i="5"/>
  <c r="I1708" i="5"/>
  <c r="H1708" i="5"/>
  <c r="J1708" i="5" s="1"/>
  <c r="G1708" i="5"/>
  <c r="I1707" i="5"/>
  <c r="H1707" i="5"/>
  <c r="J1707" i="5" s="1"/>
  <c r="G1707" i="5"/>
  <c r="I1706" i="5"/>
  <c r="H1706" i="5"/>
  <c r="J1706" i="5" s="1"/>
  <c r="G1706" i="5"/>
  <c r="I1705" i="5"/>
  <c r="H1705" i="5"/>
  <c r="J1705" i="5" s="1"/>
  <c r="G1705" i="5"/>
  <c r="I1704" i="5"/>
  <c r="H1704" i="5"/>
  <c r="J1704" i="5" s="1"/>
  <c r="G1704" i="5"/>
  <c r="I1703" i="5"/>
  <c r="H1703" i="5"/>
  <c r="J1703" i="5" s="1"/>
  <c r="G1703" i="5"/>
  <c r="I1702" i="5"/>
  <c r="H1702" i="5"/>
  <c r="J1702" i="5" s="1"/>
  <c r="G1702" i="5"/>
  <c r="I1701" i="5"/>
  <c r="H1701" i="5"/>
  <c r="J1701" i="5" s="1"/>
  <c r="G1701" i="5"/>
  <c r="I1700" i="5"/>
  <c r="H1700" i="5"/>
  <c r="J1700" i="5" s="1"/>
  <c r="G1700" i="5"/>
  <c r="I1699" i="5"/>
  <c r="H1699" i="5"/>
  <c r="J1699" i="5" s="1"/>
  <c r="G1699" i="5"/>
  <c r="I1698" i="5"/>
  <c r="H1698" i="5"/>
  <c r="J1698" i="5" s="1"/>
  <c r="G1698" i="5"/>
  <c r="I1697" i="5"/>
  <c r="H1697" i="5"/>
  <c r="J1697" i="5" s="1"/>
  <c r="G1697" i="5"/>
  <c r="I1696" i="5"/>
  <c r="H1696" i="5"/>
  <c r="J1696" i="5" s="1"/>
  <c r="G1696" i="5"/>
  <c r="I1695" i="5"/>
  <c r="H1695" i="5"/>
  <c r="J1695" i="5" s="1"/>
  <c r="G1695" i="5"/>
  <c r="I1694" i="5"/>
  <c r="H1694" i="5"/>
  <c r="J1694" i="5" s="1"/>
  <c r="G1694" i="5"/>
  <c r="I1693" i="5"/>
  <c r="H1693" i="5"/>
  <c r="J1693" i="5" s="1"/>
  <c r="G1693" i="5"/>
  <c r="I1692" i="5"/>
  <c r="H1692" i="5"/>
  <c r="J1692" i="5" s="1"/>
  <c r="G1692" i="5"/>
  <c r="I1691" i="5"/>
  <c r="H1691" i="5"/>
  <c r="J1691" i="5" s="1"/>
  <c r="G1691" i="5"/>
  <c r="I1690" i="5"/>
  <c r="H1690" i="5"/>
  <c r="J1690" i="5" s="1"/>
  <c r="G1690" i="5"/>
  <c r="I1689" i="5"/>
  <c r="H1689" i="5"/>
  <c r="J1689" i="5" s="1"/>
  <c r="G1689" i="5"/>
  <c r="I1688" i="5"/>
  <c r="H1688" i="5"/>
  <c r="J1688" i="5" s="1"/>
  <c r="G1688" i="5"/>
  <c r="I1687" i="5"/>
  <c r="H1687" i="5"/>
  <c r="J1687" i="5" s="1"/>
  <c r="G1687" i="5"/>
  <c r="I1686" i="5"/>
  <c r="H1686" i="5"/>
  <c r="J1686" i="5" s="1"/>
  <c r="G1686" i="5"/>
  <c r="I1685" i="5"/>
  <c r="H1685" i="5"/>
  <c r="J1685" i="5" s="1"/>
  <c r="G1685" i="5"/>
  <c r="I1684" i="5"/>
  <c r="H1684" i="5"/>
  <c r="J1684" i="5" s="1"/>
  <c r="G1684" i="5"/>
  <c r="I1683" i="5"/>
  <c r="H1683" i="5"/>
  <c r="J1683" i="5" s="1"/>
  <c r="G1683" i="5"/>
  <c r="I1682" i="5"/>
  <c r="H1682" i="5"/>
  <c r="J1682" i="5" s="1"/>
  <c r="G1682" i="5"/>
  <c r="I1681" i="5"/>
  <c r="H1681" i="5"/>
  <c r="J1681" i="5" s="1"/>
  <c r="G1681" i="5"/>
  <c r="I1680" i="5"/>
  <c r="H1680" i="5"/>
  <c r="J1680" i="5" s="1"/>
  <c r="G1680" i="5"/>
  <c r="I1679" i="5"/>
  <c r="H1679" i="5"/>
  <c r="J1679" i="5" s="1"/>
  <c r="G1679" i="5"/>
  <c r="I1678" i="5"/>
  <c r="H1678" i="5"/>
  <c r="J1678" i="5" s="1"/>
  <c r="G1678" i="5"/>
  <c r="I1677" i="5"/>
  <c r="H1677" i="5"/>
  <c r="J1677" i="5" s="1"/>
  <c r="G1677" i="5"/>
  <c r="I1676" i="5"/>
  <c r="H1676" i="5"/>
  <c r="J1676" i="5" s="1"/>
  <c r="G1676" i="5"/>
  <c r="I1675" i="5"/>
  <c r="H1675" i="5"/>
  <c r="J1675" i="5" s="1"/>
  <c r="G1675" i="5"/>
  <c r="I1674" i="5"/>
  <c r="H1674" i="5"/>
  <c r="J1674" i="5" s="1"/>
  <c r="G1674" i="5"/>
  <c r="I1673" i="5"/>
  <c r="H1673" i="5"/>
  <c r="J1673" i="5" s="1"/>
  <c r="G1673" i="5"/>
  <c r="I1672" i="5"/>
  <c r="H1672" i="5"/>
  <c r="J1672" i="5" s="1"/>
  <c r="G1672" i="5"/>
  <c r="I1671" i="5"/>
  <c r="H1671" i="5"/>
  <c r="J1671" i="5" s="1"/>
  <c r="G1671" i="5"/>
  <c r="I1670" i="5"/>
  <c r="H1670" i="5"/>
  <c r="J1670" i="5" s="1"/>
  <c r="G1670" i="5"/>
  <c r="I1669" i="5"/>
  <c r="H1669" i="5"/>
  <c r="J1669" i="5" s="1"/>
  <c r="G1669" i="5"/>
  <c r="I1668" i="5"/>
  <c r="H1668" i="5"/>
  <c r="J1668" i="5" s="1"/>
  <c r="G1668" i="5"/>
  <c r="I1667" i="5"/>
  <c r="H1667" i="5"/>
  <c r="J1667" i="5" s="1"/>
  <c r="G1667" i="5"/>
  <c r="I1666" i="5"/>
  <c r="H1666" i="5"/>
  <c r="J1666" i="5" s="1"/>
  <c r="G1666" i="5"/>
  <c r="I1665" i="5"/>
  <c r="H1665" i="5"/>
  <c r="J1665" i="5" s="1"/>
  <c r="G1665" i="5"/>
  <c r="I1664" i="5"/>
  <c r="H1664" i="5"/>
  <c r="J1664" i="5" s="1"/>
  <c r="G1664" i="5"/>
  <c r="I1663" i="5"/>
  <c r="H1663" i="5"/>
  <c r="J1663" i="5" s="1"/>
  <c r="G1663" i="5"/>
  <c r="I1662" i="5"/>
  <c r="H1662" i="5"/>
  <c r="J1662" i="5" s="1"/>
  <c r="G1662" i="5"/>
  <c r="I1661" i="5"/>
  <c r="H1661" i="5"/>
  <c r="J1661" i="5" s="1"/>
  <c r="G1661" i="5"/>
  <c r="I1660" i="5"/>
  <c r="H1660" i="5"/>
  <c r="J1660" i="5" s="1"/>
  <c r="G1660" i="5"/>
  <c r="I1659" i="5"/>
  <c r="H1659" i="5"/>
  <c r="J1659" i="5" s="1"/>
  <c r="G1659" i="5"/>
  <c r="I1658" i="5"/>
  <c r="H1658" i="5"/>
  <c r="J1658" i="5" s="1"/>
  <c r="G1658" i="5"/>
  <c r="I1657" i="5"/>
  <c r="H1657" i="5"/>
  <c r="J1657" i="5" s="1"/>
  <c r="G1657" i="5"/>
  <c r="I1656" i="5"/>
  <c r="H1656" i="5"/>
  <c r="J1656" i="5" s="1"/>
  <c r="G1656" i="5"/>
  <c r="I1655" i="5"/>
  <c r="H1655" i="5"/>
  <c r="J1655" i="5" s="1"/>
  <c r="G1655" i="5"/>
  <c r="I1654" i="5"/>
  <c r="H1654" i="5"/>
  <c r="J1654" i="5" s="1"/>
  <c r="G1654" i="5"/>
  <c r="I1653" i="5"/>
  <c r="H1653" i="5"/>
  <c r="J1653" i="5" s="1"/>
  <c r="G1653" i="5"/>
  <c r="I1652" i="5"/>
  <c r="H1652" i="5"/>
  <c r="J1652" i="5" s="1"/>
  <c r="G1652" i="5"/>
  <c r="I1651" i="5"/>
  <c r="H1651" i="5"/>
  <c r="J1651" i="5" s="1"/>
  <c r="G1651" i="5"/>
  <c r="I1650" i="5"/>
  <c r="H1650" i="5"/>
  <c r="J1650" i="5" s="1"/>
  <c r="G1650" i="5"/>
  <c r="I1649" i="5"/>
  <c r="H1649" i="5"/>
  <c r="J1649" i="5" s="1"/>
  <c r="G1649" i="5"/>
  <c r="I1648" i="5"/>
  <c r="H1648" i="5"/>
  <c r="J1648" i="5" s="1"/>
  <c r="G1648" i="5"/>
  <c r="I1647" i="5"/>
  <c r="H1647" i="5"/>
  <c r="J1647" i="5" s="1"/>
  <c r="G1647" i="5"/>
  <c r="I1646" i="5"/>
  <c r="H1646" i="5"/>
  <c r="J1646" i="5" s="1"/>
  <c r="G1646" i="5"/>
  <c r="I1645" i="5"/>
  <c r="H1645" i="5"/>
  <c r="J1645" i="5" s="1"/>
  <c r="G1645" i="5"/>
  <c r="I1644" i="5"/>
  <c r="H1644" i="5"/>
  <c r="J1644" i="5" s="1"/>
  <c r="G1644" i="5"/>
  <c r="I1643" i="5"/>
  <c r="H1643" i="5"/>
  <c r="J1643" i="5" s="1"/>
  <c r="G1643" i="5"/>
  <c r="I1642" i="5"/>
  <c r="H1642" i="5"/>
  <c r="J1642" i="5" s="1"/>
  <c r="G1642" i="5"/>
  <c r="I1641" i="5"/>
  <c r="H1641" i="5"/>
  <c r="J1641" i="5" s="1"/>
  <c r="G1641" i="5"/>
  <c r="I1640" i="5"/>
  <c r="H1640" i="5"/>
  <c r="J1640" i="5" s="1"/>
  <c r="G1640" i="5"/>
  <c r="I1639" i="5"/>
  <c r="H1639" i="5"/>
  <c r="J1639" i="5" s="1"/>
  <c r="G1639" i="5"/>
  <c r="I1638" i="5"/>
  <c r="H1638" i="5"/>
  <c r="J1638" i="5" s="1"/>
  <c r="G1638" i="5"/>
  <c r="I1637" i="5"/>
  <c r="H1637" i="5"/>
  <c r="J1637" i="5" s="1"/>
  <c r="G1637" i="5"/>
  <c r="I1636" i="5"/>
  <c r="H1636" i="5"/>
  <c r="J1636" i="5" s="1"/>
  <c r="G1636" i="5"/>
  <c r="I1635" i="5"/>
  <c r="H1635" i="5"/>
  <c r="J1635" i="5" s="1"/>
  <c r="G1635" i="5"/>
  <c r="I1634" i="5"/>
  <c r="H1634" i="5"/>
  <c r="J1634" i="5" s="1"/>
  <c r="G1634" i="5"/>
  <c r="I1633" i="5"/>
  <c r="H1633" i="5"/>
  <c r="J1633" i="5" s="1"/>
  <c r="G1633" i="5"/>
  <c r="I1632" i="5"/>
  <c r="H1632" i="5"/>
  <c r="J1632" i="5" s="1"/>
  <c r="G1632" i="5"/>
  <c r="I1631" i="5"/>
  <c r="H1631" i="5"/>
  <c r="J1631" i="5" s="1"/>
  <c r="G1631" i="5"/>
  <c r="I1630" i="5"/>
  <c r="H1630" i="5"/>
  <c r="J1630" i="5" s="1"/>
  <c r="G1630" i="5"/>
  <c r="I1629" i="5"/>
  <c r="H1629" i="5"/>
  <c r="J1629" i="5" s="1"/>
  <c r="G1629" i="5"/>
  <c r="I1628" i="5"/>
  <c r="H1628" i="5"/>
  <c r="J1628" i="5" s="1"/>
  <c r="G1628" i="5"/>
  <c r="I1627" i="5"/>
  <c r="H1627" i="5"/>
  <c r="J1627" i="5" s="1"/>
  <c r="G1627" i="5"/>
  <c r="I1626" i="5"/>
  <c r="H1626" i="5"/>
  <c r="J1626" i="5" s="1"/>
  <c r="G1626" i="5"/>
  <c r="I1625" i="5"/>
  <c r="H1625" i="5"/>
  <c r="J1625" i="5" s="1"/>
  <c r="G1625" i="5"/>
  <c r="I1624" i="5"/>
  <c r="H1624" i="5"/>
  <c r="J1624" i="5" s="1"/>
  <c r="G1624" i="5"/>
  <c r="I1623" i="5"/>
  <c r="H1623" i="5"/>
  <c r="J1623" i="5" s="1"/>
  <c r="G1623" i="5"/>
  <c r="I1622" i="5"/>
  <c r="H1622" i="5"/>
  <c r="J1622" i="5" s="1"/>
  <c r="G1622" i="5"/>
  <c r="I1621" i="5"/>
  <c r="H1621" i="5"/>
  <c r="J1621" i="5" s="1"/>
  <c r="G1621" i="5"/>
  <c r="I1620" i="5"/>
  <c r="H1620" i="5"/>
  <c r="J1620" i="5" s="1"/>
  <c r="G1620" i="5"/>
  <c r="I1619" i="5"/>
  <c r="H1619" i="5"/>
  <c r="J1619" i="5" s="1"/>
  <c r="G1619" i="5"/>
  <c r="I1618" i="5"/>
  <c r="H1618" i="5"/>
  <c r="J1618" i="5" s="1"/>
  <c r="G1618" i="5"/>
  <c r="I1617" i="5"/>
  <c r="H1617" i="5"/>
  <c r="J1617" i="5" s="1"/>
  <c r="G1617" i="5"/>
  <c r="I1616" i="5"/>
  <c r="H1616" i="5"/>
  <c r="J1616" i="5" s="1"/>
  <c r="G1616" i="5"/>
  <c r="I1615" i="5"/>
  <c r="H1615" i="5"/>
  <c r="J1615" i="5" s="1"/>
  <c r="G1615" i="5"/>
  <c r="I1614" i="5"/>
  <c r="H1614" i="5"/>
  <c r="J1614" i="5" s="1"/>
  <c r="G1614" i="5"/>
  <c r="I1613" i="5"/>
  <c r="H1613" i="5"/>
  <c r="J1613" i="5" s="1"/>
  <c r="G1613" i="5"/>
  <c r="I1612" i="5"/>
  <c r="H1612" i="5"/>
  <c r="J1612" i="5" s="1"/>
  <c r="G1612" i="5"/>
  <c r="I1611" i="5"/>
  <c r="H1611" i="5"/>
  <c r="J1611" i="5" s="1"/>
  <c r="G1611" i="5"/>
  <c r="I1610" i="5"/>
  <c r="H1610" i="5"/>
  <c r="J1610" i="5" s="1"/>
  <c r="G1610" i="5"/>
  <c r="I1609" i="5"/>
  <c r="H1609" i="5"/>
  <c r="J1609" i="5" s="1"/>
  <c r="G1609" i="5"/>
  <c r="I1608" i="5"/>
  <c r="H1608" i="5"/>
  <c r="J1608" i="5" s="1"/>
  <c r="G1608" i="5"/>
  <c r="I1607" i="5"/>
  <c r="H1607" i="5"/>
  <c r="J1607" i="5" s="1"/>
  <c r="G1607" i="5"/>
  <c r="I1606" i="5"/>
  <c r="H1606" i="5"/>
  <c r="J1606" i="5" s="1"/>
  <c r="G1606" i="5"/>
  <c r="I1605" i="5"/>
  <c r="H1605" i="5"/>
  <c r="J1605" i="5" s="1"/>
  <c r="G1605" i="5"/>
  <c r="I1604" i="5"/>
  <c r="H1604" i="5"/>
  <c r="J1604" i="5" s="1"/>
  <c r="G1604" i="5"/>
  <c r="I1603" i="5"/>
  <c r="H1603" i="5"/>
  <c r="J1603" i="5" s="1"/>
  <c r="G1603" i="5"/>
  <c r="I1602" i="5"/>
  <c r="H1602" i="5"/>
  <c r="J1602" i="5" s="1"/>
  <c r="G1602" i="5"/>
  <c r="I1601" i="5"/>
  <c r="H1601" i="5"/>
  <c r="J1601" i="5" s="1"/>
  <c r="G1601" i="5"/>
  <c r="I1600" i="5"/>
  <c r="H1600" i="5"/>
  <c r="J1600" i="5" s="1"/>
  <c r="G1600" i="5"/>
  <c r="I1599" i="5"/>
  <c r="H1599" i="5"/>
  <c r="J1599" i="5" s="1"/>
  <c r="G1599" i="5"/>
  <c r="I1598" i="5"/>
  <c r="H1598" i="5"/>
  <c r="J1598" i="5" s="1"/>
  <c r="G1598" i="5"/>
  <c r="I1597" i="5"/>
  <c r="H1597" i="5"/>
  <c r="J1597" i="5" s="1"/>
  <c r="G1597" i="5"/>
  <c r="I1596" i="5"/>
  <c r="H1596" i="5"/>
  <c r="J1596" i="5" s="1"/>
  <c r="G1596" i="5"/>
  <c r="I1595" i="5"/>
  <c r="H1595" i="5"/>
  <c r="J1595" i="5" s="1"/>
  <c r="G1595" i="5"/>
  <c r="I1594" i="5"/>
  <c r="H1594" i="5"/>
  <c r="J1594" i="5" s="1"/>
  <c r="G1594" i="5"/>
  <c r="I1593" i="5"/>
  <c r="H1593" i="5"/>
  <c r="J1593" i="5" s="1"/>
  <c r="G1593" i="5"/>
  <c r="I1592" i="5"/>
  <c r="H1592" i="5"/>
  <c r="J1592" i="5" s="1"/>
  <c r="G1592" i="5"/>
  <c r="I1591" i="5"/>
  <c r="H1591" i="5"/>
  <c r="J1591" i="5" s="1"/>
  <c r="G1591" i="5"/>
  <c r="I1590" i="5"/>
  <c r="H1590" i="5"/>
  <c r="J1590" i="5" s="1"/>
  <c r="G1590" i="5"/>
  <c r="I1589" i="5"/>
  <c r="H1589" i="5"/>
  <c r="J1589" i="5" s="1"/>
  <c r="G1589" i="5"/>
  <c r="I1588" i="5"/>
  <c r="H1588" i="5"/>
  <c r="J1588" i="5" s="1"/>
  <c r="G1588" i="5"/>
  <c r="I1587" i="5"/>
  <c r="H1587" i="5"/>
  <c r="J1587" i="5" s="1"/>
  <c r="G1587" i="5"/>
  <c r="I1586" i="5"/>
  <c r="H1586" i="5"/>
  <c r="J1586" i="5" s="1"/>
  <c r="G1586" i="5"/>
  <c r="I1585" i="5"/>
  <c r="H1585" i="5"/>
  <c r="J1585" i="5" s="1"/>
  <c r="G1585" i="5"/>
  <c r="I1584" i="5"/>
  <c r="H1584" i="5"/>
  <c r="J1584" i="5" s="1"/>
  <c r="G1584" i="5"/>
  <c r="I1583" i="5"/>
  <c r="H1583" i="5"/>
  <c r="J1583" i="5" s="1"/>
  <c r="G1583" i="5"/>
  <c r="I1582" i="5"/>
  <c r="H1582" i="5"/>
  <c r="J1582" i="5" s="1"/>
  <c r="G1582" i="5"/>
  <c r="I1581" i="5"/>
  <c r="H1581" i="5"/>
  <c r="J1581" i="5" s="1"/>
  <c r="G1581" i="5"/>
  <c r="I1580" i="5"/>
  <c r="H1580" i="5"/>
  <c r="J1580" i="5" s="1"/>
  <c r="G1580" i="5"/>
  <c r="I1579" i="5"/>
  <c r="H1579" i="5"/>
  <c r="J1579" i="5" s="1"/>
  <c r="G1579" i="5"/>
  <c r="I1578" i="5"/>
  <c r="H1578" i="5"/>
  <c r="J1578" i="5" s="1"/>
  <c r="G1578" i="5"/>
  <c r="I1577" i="5"/>
  <c r="H1577" i="5"/>
  <c r="J1577" i="5" s="1"/>
  <c r="G1577" i="5"/>
  <c r="I1576" i="5"/>
  <c r="H1576" i="5"/>
  <c r="J1576" i="5" s="1"/>
  <c r="G1576" i="5"/>
  <c r="I1575" i="5"/>
  <c r="H1575" i="5"/>
  <c r="J1575" i="5" s="1"/>
  <c r="G1575" i="5"/>
  <c r="I1574" i="5"/>
  <c r="H1574" i="5"/>
  <c r="J1574" i="5" s="1"/>
  <c r="G1574" i="5"/>
  <c r="I1573" i="5"/>
  <c r="H1573" i="5"/>
  <c r="J1573" i="5" s="1"/>
  <c r="G1573" i="5"/>
  <c r="I1572" i="5"/>
  <c r="H1572" i="5"/>
  <c r="J1572" i="5" s="1"/>
  <c r="G1572" i="5"/>
  <c r="I1571" i="5"/>
  <c r="H1571" i="5"/>
  <c r="J1571" i="5" s="1"/>
  <c r="G1571" i="5"/>
  <c r="I1570" i="5"/>
  <c r="H1570" i="5"/>
  <c r="J1570" i="5" s="1"/>
  <c r="G1570" i="5"/>
  <c r="I1569" i="5"/>
  <c r="H1569" i="5"/>
  <c r="J1569" i="5" s="1"/>
  <c r="G1569" i="5"/>
  <c r="I1568" i="5"/>
  <c r="H1568" i="5"/>
  <c r="J1568" i="5" s="1"/>
  <c r="G1568" i="5"/>
  <c r="I1567" i="5"/>
  <c r="H1567" i="5"/>
  <c r="J1567" i="5" s="1"/>
  <c r="G1567" i="5"/>
  <c r="I1566" i="5"/>
  <c r="H1566" i="5"/>
  <c r="J1566" i="5" s="1"/>
  <c r="G1566" i="5"/>
  <c r="I1565" i="5"/>
  <c r="H1565" i="5"/>
  <c r="J1565" i="5" s="1"/>
  <c r="G1565" i="5"/>
  <c r="I1564" i="5"/>
  <c r="H1564" i="5"/>
  <c r="J1564" i="5" s="1"/>
  <c r="G1564" i="5"/>
  <c r="I1563" i="5"/>
  <c r="H1563" i="5"/>
  <c r="J1563" i="5" s="1"/>
  <c r="G1563" i="5"/>
  <c r="I1562" i="5"/>
  <c r="H1562" i="5"/>
  <c r="J1562" i="5" s="1"/>
  <c r="G1562" i="5"/>
  <c r="I1561" i="5"/>
  <c r="H1561" i="5"/>
  <c r="J1561" i="5" s="1"/>
  <c r="G1561" i="5"/>
  <c r="I1560" i="5"/>
  <c r="H1560" i="5"/>
  <c r="J1560" i="5" s="1"/>
  <c r="G1560" i="5"/>
  <c r="I1559" i="5"/>
  <c r="H1559" i="5"/>
  <c r="J1559" i="5" s="1"/>
  <c r="G1559" i="5"/>
  <c r="I1558" i="5"/>
  <c r="H1558" i="5"/>
  <c r="J1558" i="5" s="1"/>
  <c r="G1558" i="5"/>
  <c r="I1557" i="5"/>
  <c r="H1557" i="5"/>
  <c r="J1557" i="5" s="1"/>
  <c r="G1557" i="5"/>
  <c r="I1556" i="5"/>
  <c r="H1556" i="5"/>
  <c r="J1556" i="5" s="1"/>
  <c r="G1556" i="5"/>
  <c r="I1555" i="5"/>
  <c r="H1555" i="5"/>
  <c r="J1555" i="5" s="1"/>
  <c r="G1555" i="5"/>
  <c r="I1554" i="5"/>
  <c r="H1554" i="5"/>
  <c r="J1554" i="5" s="1"/>
  <c r="G1554" i="5"/>
  <c r="I1553" i="5"/>
  <c r="H1553" i="5"/>
  <c r="J1553" i="5" s="1"/>
  <c r="G1553" i="5"/>
  <c r="I1552" i="5"/>
  <c r="H1552" i="5"/>
  <c r="J1552" i="5" s="1"/>
  <c r="G1552" i="5"/>
  <c r="I1551" i="5"/>
  <c r="H1551" i="5"/>
  <c r="J1551" i="5" s="1"/>
  <c r="G1551" i="5"/>
  <c r="I1550" i="5"/>
  <c r="H1550" i="5"/>
  <c r="J1550" i="5" s="1"/>
  <c r="G1550" i="5"/>
  <c r="I1549" i="5"/>
  <c r="H1549" i="5"/>
  <c r="J1549" i="5" s="1"/>
  <c r="G1549" i="5"/>
  <c r="I1548" i="5"/>
  <c r="H1548" i="5"/>
  <c r="J1548" i="5" s="1"/>
  <c r="G1548" i="5"/>
  <c r="I1547" i="5"/>
  <c r="H1547" i="5"/>
  <c r="J1547" i="5" s="1"/>
  <c r="G1547" i="5"/>
  <c r="I1546" i="5"/>
  <c r="H1546" i="5"/>
  <c r="J1546" i="5" s="1"/>
  <c r="G1546" i="5"/>
  <c r="I1545" i="5"/>
  <c r="H1545" i="5"/>
  <c r="J1545" i="5" s="1"/>
  <c r="G1545" i="5"/>
  <c r="I1544" i="5"/>
  <c r="H1544" i="5"/>
  <c r="J1544" i="5" s="1"/>
  <c r="G1544" i="5"/>
  <c r="I1543" i="5"/>
  <c r="H1543" i="5"/>
  <c r="J1543" i="5" s="1"/>
  <c r="G1543" i="5"/>
  <c r="I1542" i="5"/>
  <c r="H1542" i="5"/>
  <c r="J1542" i="5" s="1"/>
  <c r="G1542" i="5"/>
  <c r="I1541" i="5"/>
  <c r="H1541" i="5"/>
  <c r="J1541" i="5" s="1"/>
  <c r="G1541" i="5"/>
  <c r="I1540" i="5"/>
  <c r="H1540" i="5"/>
  <c r="J1540" i="5" s="1"/>
  <c r="G1540" i="5"/>
  <c r="I1539" i="5"/>
  <c r="H1539" i="5"/>
  <c r="J1539" i="5" s="1"/>
  <c r="G1539" i="5"/>
  <c r="I1538" i="5"/>
  <c r="H1538" i="5"/>
  <c r="J1538" i="5" s="1"/>
  <c r="G1538" i="5"/>
  <c r="I1537" i="5"/>
  <c r="H1537" i="5"/>
  <c r="J1537" i="5" s="1"/>
  <c r="G1537" i="5"/>
  <c r="I1536" i="5"/>
  <c r="H1536" i="5"/>
  <c r="J1536" i="5" s="1"/>
  <c r="G1536" i="5"/>
  <c r="I1535" i="5"/>
  <c r="H1535" i="5"/>
  <c r="J1535" i="5" s="1"/>
  <c r="G1535" i="5"/>
  <c r="I1534" i="5"/>
  <c r="H1534" i="5"/>
  <c r="J1534" i="5" s="1"/>
  <c r="G1534" i="5"/>
  <c r="I1533" i="5"/>
  <c r="H1533" i="5"/>
  <c r="J1533" i="5" s="1"/>
  <c r="G1533" i="5"/>
  <c r="I1532" i="5"/>
  <c r="H1532" i="5"/>
  <c r="J1532" i="5" s="1"/>
  <c r="G1532" i="5"/>
  <c r="I1531" i="5"/>
  <c r="H1531" i="5"/>
  <c r="J1531" i="5" s="1"/>
  <c r="G1531" i="5"/>
  <c r="I1530" i="5"/>
  <c r="H1530" i="5"/>
  <c r="J1530" i="5" s="1"/>
  <c r="G1530" i="5"/>
  <c r="I1529" i="5"/>
  <c r="H1529" i="5"/>
  <c r="J1529" i="5" s="1"/>
  <c r="G1529" i="5"/>
  <c r="I1528" i="5"/>
  <c r="H1528" i="5"/>
  <c r="J1528" i="5" s="1"/>
  <c r="G1528" i="5"/>
  <c r="I1527" i="5"/>
  <c r="H1527" i="5"/>
  <c r="J1527" i="5" s="1"/>
  <c r="G1527" i="5"/>
  <c r="I1526" i="5"/>
  <c r="H1526" i="5"/>
  <c r="J1526" i="5" s="1"/>
  <c r="G1526" i="5"/>
  <c r="I1525" i="5"/>
  <c r="H1525" i="5"/>
  <c r="J1525" i="5" s="1"/>
  <c r="G1525" i="5"/>
  <c r="I1524" i="5"/>
  <c r="H1524" i="5"/>
  <c r="J1524" i="5" s="1"/>
  <c r="G1524" i="5"/>
  <c r="I1523" i="5"/>
  <c r="H1523" i="5"/>
  <c r="J1523" i="5" s="1"/>
  <c r="G1523" i="5"/>
  <c r="I1522" i="5"/>
  <c r="H1522" i="5"/>
  <c r="J1522" i="5" s="1"/>
  <c r="G1522" i="5"/>
  <c r="I1521" i="5"/>
  <c r="H1521" i="5"/>
  <c r="J1521" i="5" s="1"/>
  <c r="G1521" i="5"/>
  <c r="I1520" i="5"/>
  <c r="H1520" i="5"/>
  <c r="J1520" i="5" s="1"/>
  <c r="G1520" i="5"/>
  <c r="I1519" i="5"/>
  <c r="H1519" i="5"/>
  <c r="J1519" i="5" s="1"/>
  <c r="G1519" i="5"/>
  <c r="I1518" i="5"/>
  <c r="H1518" i="5"/>
  <c r="J1518" i="5" s="1"/>
  <c r="G1518" i="5"/>
  <c r="I1517" i="5"/>
  <c r="H1517" i="5"/>
  <c r="J1517" i="5" s="1"/>
  <c r="G1517" i="5"/>
  <c r="I1516" i="5"/>
  <c r="H1516" i="5"/>
  <c r="J1516" i="5" s="1"/>
  <c r="G1516" i="5"/>
  <c r="I1515" i="5"/>
  <c r="H1515" i="5"/>
  <c r="J1515" i="5" s="1"/>
  <c r="G1515" i="5"/>
  <c r="I1514" i="5"/>
  <c r="H1514" i="5"/>
  <c r="J1514" i="5" s="1"/>
  <c r="G1514" i="5"/>
  <c r="I1513" i="5"/>
  <c r="H1513" i="5"/>
  <c r="J1513" i="5" s="1"/>
  <c r="G1513" i="5"/>
  <c r="I1512" i="5"/>
  <c r="H1512" i="5"/>
  <c r="J1512" i="5" s="1"/>
  <c r="G1512" i="5"/>
  <c r="I1511" i="5"/>
  <c r="H1511" i="5"/>
  <c r="J1511" i="5" s="1"/>
  <c r="G1511" i="5"/>
  <c r="I1510" i="5"/>
  <c r="H1510" i="5"/>
  <c r="J1510" i="5" s="1"/>
  <c r="G1510" i="5"/>
  <c r="I1509" i="5"/>
  <c r="H1509" i="5"/>
  <c r="J1509" i="5" s="1"/>
  <c r="G1509" i="5"/>
  <c r="I1508" i="5"/>
  <c r="H1508" i="5"/>
  <c r="J1508" i="5" s="1"/>
  <c r="G1508" i="5"/>
  <c r="I1507" i="5"/>
  <c r="H1507" i="5"/>
  <c r="J1507" i="5" s="1"/>
  <c r="G1507" i="5"/>
  <c r="I1506" i="5"/>
  <c r="H1506" i="5"/>
  <c r="J1506" i="5" s="1"/>
  <c r="G1506" i="5"/>
  <c r="I1505" i="5"/>
  <c r="H1505" i="5"/>
  <c r="J1505" i="5" s="1"/>
  <c r="G1505" i="5"/>
  <c r="I1504" i="5"/>
  <c r="H1504" i="5"/>
  <c r="J1504" i="5" s="1"/>
  <c r="G1504" i="5"/>
  <c r="I1503" i="5"/>
  <c r="H1503" i="5"/>
  <c r="J1503" i="5" s="1"/>
  <c r="G1503" i="5"/>
  <c r="I1502" i="5"/>
  <c r="H1502" i="5"/>
  <c r="J1502" i="5" s="1"/>
  <c r="G1502" i="5"/>
  <c r="I1501" i="5"/>
  <c r="H1501" i="5"/>
  <c r="J1501" i="5" s="1"/>
  <c r="G1501" i="5"/>
  <c r="I1500" i="5"/>
  <c r="H1500" i="5"/>
  <c r="J1500" i="5" s="1"/>
  <c r="G1500" i="5"/>
  <c r="I1499" i="5"/>
  <c r="H1499" i="5"/>
  <c r="J1499" i="5" s="1"/>
  <c r="G1499" i="5"/>
  <c r="I1498" i="5"/>
  <c r="H1498" i="5"/>
  <c r="J1498" i="5" s="1"/>
  <c r="G1498" i="5"/>
  <c r="I1497" i="5"/>
  <c r="H1497" i="5"/>
  <c r="J1497" i="5" s="1"/>
  <c r="G1497" i="5"/>
  <c r="I1496" i="5"/>
  <c r="H1496" i="5"/>
  <c r="J1496" i="5" s="1"/>
  <c r="G1496" i="5"/>
  <c r="I1495" i="5"/>
  <c r="H1495" i="5"/>
  <c r="J1495" i="5" s="1"/>
  <c r="G1495" i="5"/>
  <c r="I1494" i="5"/>
  <c r="H1494" i="5"/>
  <c r="J1494" i="5" s="1"/>
  <c r="G1494" i="5"/>
  <c r="I1493" i="5"/>
  <c r="H1493" i="5"/>
  <c r="J1493" i="5" s="1"/>
  <c r="G1493" i="5"/>
  <c r="I1492" i="5"/>
  <c r="H1492" i="5"/>
  <c r="J1492" i="5" s="1"/>
  <c r="G1492" i="5"/>
  <c r="I1491" i="5"/>
  <c r="H1491" i="5"/>
  <c r="J1491" i="5" s="1"/>
  <c r="G1491" i="5"/>
  <c r="I1490" i="5"/>
  <c r="H1490" i="5"/>
  <c r="J1490" i="5" s="1"/>
  <c r="G1490" i="5"/>
  <c r="I1489" i="5"/>
  <c r="H1489" i="5"/>
  <c r="J1489" i="5" s="1"/>
  <c r="G1489" i="5"/>
  <c r="I1488" i="5"/>
  <c r="H1488" i="5"/>
  <c r="J1488" i="5" s="1"/>
  <c r="G1488" i="5"/>
  <c r="I1487" i="5"/>
  <c r="H1487" i="5"/>
  <c r="J1487" i="5" s="1"/>
  <c r="G1487" i="5"/>
  <c r="I1486" i="5"/>
  <c r="H1486" i="5"/>
  <c r="J1486" i="5" s="1"/>
  <c r="G1486" i="5"/>
  <c r="I1485" i="5"/>
  <c r="H1485" i="5"/>
  <c r="J1485" i="5" s="1"/>
  <c r="G1485" i="5"/>
  <c r="I1484" i="5"/>
  <c r="H1484" i="5"/>
  <c r="J1484" i="5" s="1"/>
  <c r="G1484" i="5"/>
  <c r="I1483" i="5"/>
  <c r="H1483" i="5"/>
  <c r="J1483" i="5" s="1"/>
  <c r="G1483" i="5"/>
  <c r="I1482" i="5"/>
  <c r="H1482" i="5"/>
  <c r="J1482" i="5" s="1"/>
  <c r="G1482" i="5"/>
  <c r="I1481" i="5"/>
  <c r="H1481" i="5"/>
  <c r="J1481" i="5" s="1"/>
  <c r="G1481" i="5"/>
  <c r="I1480" i="5"/>
  <c r="H1480" i="5"/>
  <c r="J1480" i="5" s="1"/>
  <c r="G1480" i="5"/>
  <c r="I1479" i="5"/>
  <c r="H1479" i="5"/>
  <c r="J1479" i="5" s="1"/>
  <c r="G1479" i="5"/>
  <c r="I1478" i="5"/>
  <c r="H1478" i="5"/>
  <c r="J1478" i="5" s="1"/>
  <c r="G1478" i="5"/>
  <c r="I1477" i="5"/>
  <c r="H1477" i="5"/>
  <c r="J1477" i="5" s="1"/>
  <c r="G1477" i="5"/>
  <c r="I1476" i="5"/>
  <c r="H1476" i="5"/>
  <c r="J1476" i="5" s="1"/>
  <c r="G1476" i="5"/>
  <c r="I1475" i="5"/>
  <c r="H1475" i="5"/>
  <c r="J1475" i="5" s="1"/>
  <c r="G1475" i="5"/>
  <c r="I1474" i="5"/>
  <c r="H1474" i="5"/>
  <c r="J1474" i="5" s="1"/>
  <c r="G1474" i="5"/>
  <c r="I1473" i="5"/>
  <c r="H1473" i="5"/>
  <c r="J1473" i="5" s="1"/>
  <c r="G1473" i="5"/>
  <c r="I1472" i="5"/>
  <c r="H1472" i="5"/>
  <c r="J1472" i="5" s="1"/>
  <c r="G1472" i="5"/>
  <c r="I1471" i="5"/>
  <c r="H1471" i="5"/>
  <c r="J1471" i="5" s="1"/>
  <c r="G1471" i="5"/>
  <c r="I1470" i="5"/>
  <c r="H1470" i="5"/>
  <c r="J1470" i="5" s="1"/>
  <c r="G1470" i="5"/>
  <c r="I1469" i="5"/>
  <c r="H1469" i="5"/>
  <c r="J1469" i="5" s="1"/>
  <c r="G1469" i="5"/>
  <c r="I1468" i="5"/>
  <c r="H1468" i="5"/>
  <c r="J1468" i="5" s="1"/>
  <c r="G1468" i="5"/>
  <c r="I1467" i="5"/>
  <c r="H1467" i="5"/>
  <c r="J1467" i="5" s="1"/>
  <c r="G1467" i="5"/>
  <c r="I1466" i="5"/>
  <c r="H1466" i="5"/>
  <c r="J1466" i="5" s="1"/>
  <c r="G1466" i="5"/>
  <c r="I1465" i="5"/>
  <c r="H1465" i="5"/>
  <c r="J1465" i="5" s="1"/>
  <c r="G1465" i="5"/>
  <c r="I1464" i="5"/>
  <c r="H1464" i="5"/>
  <c r="J1464" i="5" s="1"/>
  <c r="G1464" i="5"/>
  <c r="I1463" i="5"/>
  <c r="H1463" i="5"/>
  <c r="J1463" i="5" s="1"/>
  <c r="G1463" i="5"/>
  <c r="I1462" i="5"/>
  <c r="H1462" i="5"/>
  <c r="J1462" i="5" s="1"/>
  <c r="G1462" i="5"/>
  <c r="I1461" i="5"/>
  <c r="H1461" i="5"/>
  <c r="J1461" i="5" s="1"/>
  <c r="G1461" i="5"/>
  <c r="I1460" i="5"/>
  <c r="H1460" i="5"/>
  <c r="J1460" i="5" s="1"/>
  <c r="G1460" i="5"/>
  <c r="I1459" i="5"/>
  <c r="H1459" i="5"/>
  <c r="J1459" i="5" s="1"/>
  <c r="G1459" i="5"/>
  <c r="I1458" i="5"/>
  <c r="H1458" i="5"/>
  <c r="J1458" i="5" s="1"/>
  <c r="G1458" i="5"/>
  <c r="I1457" i="5"/>
  <c r="H1457" i="5"/>
  <c r="J1457" i="5" s="1"/>
  <c r="G1457" i="5"/>
  <c r="I1456" i="5"/>
  <c r="H1456" i="5"/>
  <c r="J1456" i="5" s="1"/>
  <c r="G1456" i="5"/>
  <c r="I1455" i="5"/>
  <c r="H1455" i="5"/>
  <c r="J1455" i="5" s="1"/>
  <c r="G1455" i="5"/>
  <c r="I1454" i="5"/>
  <c r="H1454" i="5"/>
  <c r="J1454" i="5" s="1"/>
  <c r="G1454" i="5"/>
  <c r="I1453" i="5"/>
  <c r="H1453" i="5"/>
  <c r="J1453" i="5" s="1"/>
  <c r="G1453" i="5"/>
  <c r="I1452" i="5"/>
  <c r="H1452" i="5"/>
  <c r="J1452" i="5" s="1"/>
  <c r="G1452" i="5"/>
  <c r="I1451" i="5"/>
  <c r="H1451" i="5"/>
  <c r="J1451" i="5" s="1"/>
  <c r="G1451" i="5"/>
  <c r="I1450" i="5"/>
  <c r="H1450" i="5"/>
  <c r="J1450" i="5" s="1"/>
  <c r="G1450" i="5"/>
  <c r="I1449" i="5"/>
  <c r="H1449" i="5"/>
  <c r="J1449" i="5" s="1"/>
  <c r="G1449" i="5"/>
  <c r="I1448" i="5"/>
  <c r="H1448" i="5"/>
  <c r="J1448" i="5" s="1"/>
  <c r="G1448" i="5"/>
  <c r="I1447" i="5"/>
  <c r="H1447" i="5"/>
  <c r="J1447" i="5" s="1"/>
  <c r="G1447" i="5"/>
  <c r="I1446" i="5"/>
  <c r="H1446" i="5"/>
  <c r="J1446" i="5" s="1"/>
  <c r="G1446" i="5"/>
  <c r="I1445" i="5"/>
  <c r="H1445" i="5"/>
  <c r="J1445" i="5" s="1"/>
  <c r="G1445" i="5"/>
  <c r="I1444" i="5"/>
  <c r="H1444" i="5"/>
  <c r="J1444" i="5" s="1"/>
  <c r="G1444" i="5"/>
  <c r="I1443" i="5"/>
  <c r="H1443" i="5"/>
  <c r="J1443" i="5" s="1"/>
  <c r="G1443" i="5"/>
  <c r="I1442" i="5"/>
  <c r="H1442" i="5"/>
  <c r="J1442" i="5" s="1"/>
  <c r="G1442" i="5"/>
  <c r="I1441" i="5"/>
  <c r="H1441" i="5"/>
  <c r="J1441" i="5" s="1"/>
  <c r="G1441" i="5"/>
  <c r="I1440" i="5"/>
  <c r="H1440" i="5"/>
  <c r="J1440" i="5" s="1"/>
  <c r="G1440" i="5"/>
  <c r="I1439" i="5"/>
  <c r="H1439" i="5"/>
  <c r="J1439" i="5" s="1"/>
  <c r="G1439" i="5"/>
  <c r="I1438" i="5"/>
  <c r="H1438" i="5"/>
  <c r="J1438" i="5" s="1"/>
  <c r="G1438" i="5"/>
  <c r="I1437" i="5"/>
  <c r="H1437" i="5"/>
  <c r="J1437" i="5" s="1"/>
  <c r="G1437" i="5"/>
  <c r="I1436" i="5"/>
  <c r="H1436" i="5"/>
  <c r="J1436" i="5" s="1"/>
  <c r="G1436" i="5"/>
  <c r="I1435" i="5"/>
  <c r="H1435" i="5"/>
  <c r="J1435" i="5" s="1"/>
  <c r="G1435" i="5"/>
  <c r="I1434" i="5"/>
  <c r="H1434" i="5"/>
  <c r="J1434" i="5" s="1"/>
  <c r="G1434" i="5"/>
  <c r="I1433" i="5"/>
  <c r="H1433" i="5"/>
  <c r="J1433" i="5" s="1"/>
  <c r="G1433" i="5"/>
  <c r="I1432" i="5"/>
  <c r="H1432" i="5"/>
  <c r="J1432" i="5" s="1"/>
  <c r="G1432" i="5"/>
  <c r="I1431" i="5"/>
  <c r="H1431" i="5"/>
  <c r="J1431" i="5" s="1"/>
  <c r="G1431" i="5"/>
  <c r="I1430" i="5"/>
  <c r="H1430" i="5"/>
  <c r="J1430" i="5" s="1"/>
  <c r="G1430" i="5"/>
  <c r="I1429" i="5"/>
  <c r="H1429" i="5"/>
  <c r="J1429" i="5" s="1"/>
  <c r="G1429" i="5"/>
  <c r="I1428" i="5"/>
  <c r="H1428" i="5"/>
  <c r="J1428" i="5" s="1"/>
  <c r="G1428" i="5"/>
  <c r="I1427" i="5"/>
  <c r="H1427" i="5"/>
  <c r="J1427" i="5" s="1"/>
  <c r="G1427" i="5"/>
  <c r="I1426" i="5"/>
  <c r="H1426" i="5"/>
  <c r="J1426" i="5" s="1"/>
  <c r="G1426" i="5"/>
  <c r="I1425" i="5"/>
  <c r="H1425" i="5"/>
  <c r="J1425" i="5" s="1"/>
  <c r="G1425" i="5"/>
  <c r="I1424" i="5"/>
  <c r="H1424" i="5"/>
  <c r="J1424" i="5" s="1"/>
  <c r="G1424" i="5"/>
  <c r="I1423" i="5"/>
  <c r="H1423" i="5"/>
  <c r="J1423" i="5" s="1"/>
  <c r="G1423" i="5"/>
  <c r="I1422" i="5"/>
  <c r="H1422" i="5"/>
  <c r="J1422" i="5" s="1"/>
  <c r="G1422" i="5"/>
  <c r="I1421" i="5"/>
  <c r="H1421" i="5"/>
  <c r="J1421" i="5" s="1"/>
  <c r="G1421" i="5"/>
  <c r="I1420" i="5"/>
  <c r="H1420" i="5"/>
  <c r="J1420" i="5" s="1"/>
  <c r="G1420" i="5"/>
  <c r="I1419" i="5"/>
  <c r="H1419" i="5"/>
  <c r="J1419" i="5" s="1"/>
  <c r="G1419" i="5"/>
  <c r="I1418" i="5"/>
  <c r="H1418" i="5"/>
  <c r="J1418" i="5" s="1"/>
  <c r="G1418" i="5"/>
  <c r="I1417" i="5"/>
  <c r="H1417" i="5"/>
  <c r="J1417" i="5" s="1"/>
  <c r="G1417" i="5"/>
  <c r="I1416" i="5"/>
  <c r="H1416" i="5"/>
  <c r="J1416" i="5" s="1"/>
  <c r="G1416" i="5"/>
  <c r="I1415" i="5"/>
  <c r="H1415" i="5"/>
  <c r="J1415" i="5" s="1"/>
  <c r="G1415" i="5"/>
  <c r="I1414" i="5"/>
  <c r="H1414" i="5"/>
  <c r="J1414" i="5" s="1"/>
  <c r="G1414" i="5"/>
  <c r="I1413" i="5"/>
  <c r="H1413" i="5"/>
  <c r="J1413" i="5" s="1"/>
  <c r="G1413" i="5"/>
  <c r="I1412" i="5"/>
  <c r="H1412" i="5"/>
  <c r="J1412" i="5" s="1"/>
  <c r="G1412" i="5"/>
  <c r="I1411" i="5"/>
  <c r="H1411" i="5"/>
  <c r="J1411" i="5" s="1"/>
  <c r="G1411" i="5"/>
  <c r="I1410" i="5"/>
  <c r="H1410" i="5"/>
  <c r="J1410" i="5" s="1"/>
  <c r="G1410" i="5"/>
  <c r="I1409" i="5"/>
  <c r="H1409" i="5"/>
  <c r="J1409" i="5" s="1"/>
  <c r="G1409" i="5"/>
  <c r="I1408" i="5"/>
  <c r="H1408" i="5"/>
  <c r="J1408" i="5" s="1"/>
  <c r="G1408" i="5"/>
  <c r="I1407" i="5"/>
  <c r="H1407" i="5"/>
  <c r="J1407" i="5" s="1"/>
  <c r="G1407" i="5"/>
  <c r="I1406" i="5"/>
  <c r="H1406" i="5"/>
  <c r="J1406" i="5" s="1"/>
  <c r="G1406" i="5"/>
  <c r="I1405" i="5"/>
  <c r="H1405" i="5"/>
  <c r="J1405" i="5" s="1"/>
  <c r="G1405" i="5"/>
  <c r="I1404" i="5"/>
  <c r="H1404" i="5"/>
  <c r="J1404" i="5" s="1"/>
  <c r="G1404" i="5"/>
  <c r="I1403" i="5"/>
  <c r="H1403" i="5"/>
  <c r="J1403" i="5" s="1"/>
  <c r="G1403" i="5"/>
  <c r="I1402" i="5"/>
  <c r="H1402" i="5"/>
  <c r="J1402" i="5" s="1"/>
  <c r="G1402" i="5"/>
  <c r="I1401" i="5"/>
  <c r="H1401" i="5"/>
  <c r="J1401" i="5" s="1"/>
  <c r="G1401" i="5"/>
  <c r="I1400" i="5"/>
  <c r="H1400" i="5"/>
  <c r="J1400" i="5" s="1"/>
  <c r="G1400" i="5"/>
  <c r="I1399" i="5"/>
  <c r="H1399" i="5"/>
  <c r="J1399" i="5" s="1"/>
  <c r="G1399" i="5"/>
  <c r="I1398" i="5"/>
  <c r="H1398" i="5"/>
  <c r="J1398" i="5" s="1"/>
  <c r="G1398" i="5"/>
  <c r="I1397" i="5"/>
  <c r="H1397" i="5"/>
  <c r="J1397" i="5" s="1"/>
  <c r="G1397" i="5"/>
  <c r="I1396" i="5"/>
  <c r="H1396" i="5"/>
  <c r="J1396" i="5" s="1"/>
  <c r="G1396" i="5"/>
  <c r="I1395" i="5"/>
  <c r="H1395" i="5"/>
  <c r="J1395" i="5" s="1"/>
  <c r="G1395" i="5"/>
  <c r="I1394" i="5"/>
  <c r="H1394" i="5"/>
  <c r="J1394" i="5" s="1"/>
  <c r="G1394" i="5"/>
  <c r="I1393" i="5"/>
  <c r="H1393" i="5"/>
  <c r="J1393" i="5" s="1"/>
  <c r="G1393" i="5"/>
  <c r="I1392" i="5"/>
  <c r="H1392" i="5"/>
  <c r="J1392" i="5" s="1"/>
  <c r="G1392" i="5"/>
  <c r="I1391" i="5"/>
  <c r="H1391" i="5"/>
  <c r="J1391" i="5" s="1"/>
  <c r="G1391" i="5"/>
  <c r="I1390" i="5"/>
  <c r="H1390" i="5"/>
  <c r="J1390" i="5" s="1"/>
  <c r="G1390" i="5"/>
  <c r="I1389" i="5"/>
  <c r="H1389" i="5"/>
  <c r="J1389" i="5" s="1"/>
  <c r="G1389" i="5"/>
  <c r="I1388" i="5"/>
  <c r="H1388" i="5"/>
  <c r="J1388" i="5" s="1"/>
  <c r="G1388" i="5"/>
  <c r="I1387" i="5"/>
  <c r="H1387" i="5"/>
  <c r="J1387" i="5" s="1"/>
  <c r="G1387" i="5"/>
  <c r="I1386" i="5"/>
  <c r="H1386" i="5"/>
  <c r="J1386" i="5" s="1"/>
  <c r="G1386" i="5"/>
  <c r="I1385" i="5"/>
  <c r="H1385" i="5"/>
  <c r="J1385" i="5" s="1"/>
  <c r="G1385" i="5"/>
  <c r="I1384" i="5"/>
  <c r="H1384" i="5"/>
  <c r="J1384" i="5" s="1"/>
  <c r="G1384" i="5"/>
  <c r="I1383" i="5"/>
  <c r="H1383" i="5"/>
  <c r="J1383" i="5" s="1"/>
  <c r="G1383" i="5"/>
  <c r="I1382" i="5"/>
  <c r="H1382" i="5"/>
  <c r="J1382" i="5" s="1"/>
  <c r="G1382" i="5"/>
  <c r="I1381" i="5"/>
  <c r="H1381" i="5"/>
  <c r="J1381" i="5" s="1"/>
  <c r="G1381" i="5"/>
  <c r="I1380" i="5"/>
  <c r="H1380" i="5"/>
  <c r="J1380" i="5" s="1"/>
  <c r="G1380" i="5"/>
  <c r="I1379" i="5"/>
  <c r="H1379" i="5"/>
  <c r="J1379" i="5" s="1"/>
  <c r="G1379" i="5"/>
  <c r="I1378" i="5"/>
  <c r="H1378" i="5"/>
  <c r="J1378" i="5" s="1"/>
  <c r="G1378" i="5"/>
  <c r="I1377" i="5"/>
  <c r="H1377" i="5"/>
  <c r="J1377" i="5" s="1"/>
  <c r="G1377" i="5"/>
  <c r="I1376" i="5"/>
  <c r="H1376" i="5"/>
  <c r="J1376" i="5" s="1"/>
  <c r="G1376" i="5"/>
  <c r="I1375" i="5"/>
  <c r="H1375" i="5"/>
  <c r="J1375" i="5" s="1"/>
  <c r="G1375" i="5"/>
  <c r="I1374" i="5"/>
  <c r="H1374" i="5"/>
  <c r="J1374" i="5" s="1"/>
  <c r="G1374" i="5"/>
  <c r="I1373" i="5"/>
  <c r="H1373" i="5"/>
  <c r="J1373" i="5" s="1"/>
  <c r="G1373" i="5"/>
  <c r="I1372" i="5"/>
  <c r="H1372" i="5"/>
  <c r="J1372" i="5" s="1"/>
  <c r="G1372" i="5"/>
  <c r="I1371" i="5"/>
  <c r="H1371" i="5"/>
  <c r="J1371" i="5" s="1"/>
  <c r="G1371" i="5"/>
  <c r="I1370" i="5"/>
  <c r="H1370" i="5"/>
  <c r="J1370" i="5" s="1"/>
  <c r="G1370" i="5"/>
  <c r="I1369" i="5"/>
  <c r="H1369" i="5"/>
  <c r="J1369" i="5" s="1"/>
  <c r="G1369" i="5"/>
  <c r="I1368" i="5"/>
  <c r="H1368" i="5"/>
  <c r="J1368" i="5" s="1"/>
  <c r="G1368" i="5"/>
  <c r="I1367" i="5"/>
  <c r="H1367" i="5"/>
  <c r="J1367" i="5" s="1"/>
  <c r="G1367" i="5"/>
  <c r="I1366" i="5"/>
  <c r="H1366" i="5"/>
  <c r="J1366" i="5" s="1"/>
  <c r="G1366" i="5"/>
  <c r="I1365" i="5"/>
  <c r="H1365" i="5"/>
  <c r="J1365" i="5" s="1"/>
  <c r="G1365" i="5"/>
  <c r="I1364" i="5"/>
  <c r="H1364" i="5"/>
  <c r="J1364" i="5" s="1"/>
  <c r="G1364" i="5"/>
  <c r="I1363" i="5"/>
  <c r="H1363" i="5"/>
  <c r="J1363" i="5" s="1"/>
  <c r="G1363" i="5"/>
  <c r="I1362" i="5"/>
  <c r="H1362" i="5"/>
  <c r="J1362" i="5" s="1"/>
  <c r="G1362" i="5"/>
  <c r="I1361" i="5"/>
  <c r="H1361" i="5"/>
  <c r="J1361" i="5" s="1"/>
  <c r="G1361" i="5"/>
  <c r="I1360" i="5"/>
  <c r="H1360" i="5"/>
  <c r="J1360" i="5" s="1"/>
  <c r="G1360" i="5"/>
  <c r="I1359" i="5"/>
  <c r="H1359" i="5"/>
  <c r="J1359" i="5" s="1"/>
  <c r="G1359" i="5"/>
  <c r="I1358" i="5"/>
  <c r="H1358" i="5"/>
  <c r="J1358" i="5" s="1"/>
  <c r="G1358" i="5"/>
  <c r="I1357" i="5"/>
  <c r="H1357" i="5"/>
  <c r="J1357" i="5" s="1"/>
  <c r="G1357" i="5"/>
  <c r="I1356" i="5"/>
  <c r="H1356" i="5"/>
  <c r="J1356" i="5" s="1"/>
  <c r="G1356" i="5"/>
  <c r="I1355" i="5"/>
  <c r="H1355" i="5"/>
  <c r="J1355" i="5" s="1"/>
  <c r="G1355" i="5"/>
  <c r="I1354" i="5"/>
  <c r="H1354" i="5"/>
  <c r="J1354" i="5" s="1"/>
  <c r="G1354" i="5"/>
  <c r="I1353" i="5"/>
  <c r="H1353" i="5"/>
  <c r="J1353" i="5" s="1"/>
  <c r="G1353" i="5"/>
  <c r="I1352" i="5"/>
  <c r="H1352" i="5"/>
  <c r="J1352" i="5" s="1"/>
  <c r="G1352" i="5"/>
  <c r="I1351" i="5"/>
  <c r="H1351" i="5"/>
  <c r="J1351" i="5" s="1"/>
  <c r="G1351" i="5"/>
  <c r="I1350" i="5"/>
  <c r="H1350" i="5"/>
  <c r="J1350" i="5" s="1"/>
  <c r="G1350" i="5"/>
  <c r="I1349" i="5"/>
  <c r="H1349" i="5"/>
  <c r="J1349" i="5" s="1"/>
  <c r="G1349" i="5"/>
  <c r="I1348" i="5"/>
  <c r="H1348" i="5"/>
  <c r="J1348" i="5" s="1"/>
  <c r="G1348" i="5"/>
  <c r="I1347" i="5"/>
  <c r="H1347" i="5"/>
  <c r="J1347" i="5" s="1"/>
  <c r="G1347" i="5"/>
  <c r="I1346" i="5"/>
  <c r="H1346" i="5"/>
  <c r="J1346" i="5" s="1"/>
  <c r="G1346" i="5"/>
  <c r="I1345" i="5"/>
  <c r="H1345" i="5"/>
  <c r="J1345" i="5" s="1"/>
  <c r="G1345" i="5"/>
  <c r="I1344" i="5"/>
  <c r="H1344" i="5"/>
  <c r="J1344" i="5" s="1"/>
  <c r="G1344" i="5"/>
  <c r="I1343" i="5"/>
  <c r="H1343" i="5"/>
  <c r="J1343" i="5" s="1"/>
  <c r="G1343" i="5"/>
  <c r="I1342" i="5"/>
  <c r="H1342" i="5"/>
  <c r="J1342" i="5" s="1"/>
  <c r="G1342" i="5"/>
  <c r="I1341" i="5"/>
  <c r="H1341" i="5"/>
  <c r="J1341" i="5" s="1"/>
  <c r="G1341" i="5"/>
  <c r="I1340" i="5"/>
  <c r="H1340" i="5"/>
  <c r="J1340" i="5" s="1"/>
  <c r="G1340" i="5"/>
  <c r="I1339" i="5"/>
  <c r="H1339" i="5"/>
  <c r="J1339" i="5" s="1"/>
  <c r="G1339" i="5"/>
  <c r="I1338" i="5"/>
  <c r="H1338" i="5"/>
  <c r="J1338" i="5" s="1"/>
  <c r="G1338" i="5"/>
  <c r="I1337" i="5"/>
  <c r="H1337" i="5"/>
  <c r="J1337" i="5" s="1"/>
  <c r="G1337" i="5"/>
  <c r="I1336" i="5"/>
  <c r="H1336" i="5"/>
  <c r="J1336" i="5" s="1"/>
  <c r="G1336" i="5"/>
  <c r="I1335" i="5"/>
  <c r="H1335" i="5"/>
  <c r="J1335" i="5" s="1"/>
  <c r="G1335" i="5"/>
  <c r="I1334" i="5"/>
  <c r="H1334" i="5"/>
  <c r="J1334" i="5" s="1"/>
  <c r="G1334" i="5"/>
  <c r="I1333" i="5"/>
  <c r="H1333" i="5"/>
  <c r="J1333" i="5" s="1"/>
  <c r="G1333" i="5"/>
  <c r="I1332" i="5"/>
  <c r="H1332" i="5"/>
  <c r="J1332" i="5" s="1"/>
  <c r="G1332" i="5"/>
  <c r="I1331" i="5"/>
  <c r="H1331" i="5"/>
  <c r="J1331" i="5" s="1"/>
  <c r="G1331" i="5"/>
  <c r="I1330" i="5"/>
  <c r="H1330" i="5"/>
  <c r="J1330" i="5" s="1"/>
  <c r="G1330" i="5"/>
  <c r="I1329" i="5"/>
  <c r="H1329" i="5"/>
  <c r="J1329" i="5" s="1"/>
  <c r="G1329" i="5"/>
  <c r="I1328" i="5"/>
  <c r="H1328" i="5"/>
  <c r="J1328" i="5" s="1"/>
  <c r="G1328" i="5"/>
  <c r="I1327" i="5"/>
  <c r="H1327" i="5"/>
  <c r="J1327" i="5" s="1"/>
  <c r="G1327" i="5"/>
  <c r="I1326" i="5"/>
  <c r="H1326" i="5"/>
  <c r="J1326" i="5" s="1"/>
  <c r="G1326" i="5"/>
  <c r="I1325" i="5"/>
  <c r="H1325" i="5"/>
  <c r="J1325" i="5" s="1"/>
  <c r="G1325" i="5"/>
  <c r="I1324" i="5"/>
  <c r="H1324" i="5"/>
  <c r="J1324" i="5" s="1"/>
  <c r="G1324" i="5"/>
  <c r="I1323" i="5"/>
  <c r="H1323" i="5"/>
  <c r="J1323" i="5" s="1"/>
  <c r="G1323" i="5"/>
  <c r="I1322" i="5"/>
  <c r="H1322" i="5"/>
  <c r="J1322" i="5" s="1"/>
  <c r="G1322" i="5"/>
  <c r="I1321" i="5"/>
  <c r="H1321" i="5"/>
  <c r="J1321" i="5" s="1"/>
  <c r="G1321" i="5"/>
  <c r="I1320" i="5"/>
  <c r="H1320" i="5"/>
  <c r="J1320" i="5" s="1"/>
  <c r="G1320" i="5"/>
  <c r="I1319" i="5"/>
  <c r="H1319" i="5"/>
  <c r="J1319" i="5" s="1"/>
  <c r="G1319" i="5"/>
  <c r="I1318" i="5"/>
  <c r="H1318" i="5"/>
  <c r="J1318" i="5" s="1"/>
  <c r="G1318" i="5"/>
  <c r="I1317" i="5"/>
  <c r="H1317" i="5"/>
  <c r="J1317" i="5" s="1"/>
  <c r="G1317" i="5"/>
  <c r="I1316" i="5"/>
  <c r="H1316" i="5"/>
  <c r="J1316" i="5" s="1"/>
  <c r="G1316" i="5"/>
  <c r="I1315" i="5"/>
  <c r="H1315" i="5"/>
  <c r="J1315" i="5" s="1"/>
  <c r="G1315" i="5"/>
  <c r="I1314" i="5"/>
  <c r="H1314" i="5"/>
  <c r="J1314" i="5" s="1"/>
  <c r="G1314" i="5"/>
  <c r="I1313" i="5"/>
  <c r="H1313" i="5"/>
  <c r="J1313" i="5" s="1"/>
  <c r="G1313" i="5"/>
  <c r="I1312" i="5"/>
  <c r="H1312" i="5"/>
  <c r="J1312" i="5" s="1"/>
  <c r="G1312" i="5"/>
  <c r="I1311" i="5"/>
  <c r="H1311" i="5"/>
  <c r="J1311" i="5" s="1"/>
  <c r="G1311" i="5"/>
  <c r="I1310" i="5"/>
  <c r="H1310" i="5"/>
  <c r="J1310" i="5" s="1"/>
  <c r="G1310" i="5"/>
  <c r="I1309" i="5"/>
  <c r="H1309" i="5"/>
  <c r="J1309" i="5" s="1"/>
  <c r="G1309" i="5"/>
  <c r="I1308" i="5"/>
  <c r="H1308" i="5"/>
  <c r="J1308" i="5" s="1"/>
  <c r="G1308" i="5"/>
  <c r="I1307" i="5"/>
  <c r="H1307" i="5"/>
  <c r="J1307" i="5" s="1"/>
  <c r="G1307" i="5"/>
  <c r="I1306" i="5"/>
  <c r="H1306" i="5"/>
  <c r="J1306" i="5" s="1"/>
  <c r="G1306" i="5"/>
  <c r="I1305" i="5"/>
  <c r="H1305" i="5"/>
  <c r="J1305" i="5" s="1"/>
  <c r="G1305" i="5"/>
  <c r="I1304" i="5"/>
  <c r="H1304" i="5"/>
  <c r="J1304" i="5" s="1"/>
  <c r="G1304" i="5"/>
  <c r="I1303" i="5"/>
  <c r="H1303" i="5"/>
  <c r="J1303" i="5" s="1"/>
  <c r="G1303" i="5"/>
  <c r="I1302" i="5"/>
  <c r="H1302" i="5"/>
  <c r="J1302" i="5" s="1"/>
  <c r="G1302" i="5"/>
  <c r="I1301" i="5"/>
  <c r="H1301" i="5"/>
  <c r="J1301" i="5" s="1"/>
  <c r="G1301" i="5"/>
  <c r="I1300" i="5"/>
  <c r="H1300" i="5"/>
  <c r="J1300" i="5" s="1"/>
  <c r="G1300" i="5"/>
  <c r="I1299" i="5"/>
  <c r="H1299" i="5"/>
  <c r="J1299" i="5" s="1"/>
  <c r="G1299" i="5"/>
  <c r="I1298" i="5"/>
  <c r="H1298" i="5"/>
  <c r="J1298" i="5" s="1"/>
  <c r="G1298" i="5"/>
  <c r="I1297" i="5"/>
  <c r="H1297" i="5"/>
  <c r="J1297" i="5" s="1"/>
  <c r="G1297" i="5"/>
  <c r="I1296" i="5"/>
  <c r="H1296" i="5"/>
  <c r="J1296" i="5" s="1"/>
  <c r="G1296" i="5"/>
  <c r="I1295" i="5"/>
  <c r="H1295" i="5"/>
  <c r="J1295" i="5" s="1"/>
  <c r="G1295" i="5"/>
  <c r="I1294" i="5"/>
  <c r="H1294" i="5"/>
  <c r="J1294" i="5" s="1"/>
  <c r="G1294" i="5"/>
  <c r="I1293" i="5"/>
  <c r="H1293" i="5"/>
  <c r="J1293" i="5" s="1"/>
  <c r="G1293" i="5"/>
  <c r="I1292" i="5"/>
  <c r="H1292" i="5"/>
  <c r="J1292" i="5" s="1"/>
  <c r="G1292" i="5"/>
  <c r="I1291" i="5"/>
  <c r="H1291" i="5"/>
  <c r="J1291" i="5" s="1"/>
  <c r="G1291" i="5"/>
  <c r="I1290" i="5"/>
  <c r="H1290" i="5"/>
  <c r="J1290" i="5" s="1"/>
  <c r="G1290" i="5"/>
  <c r="I1289" i="5"/>
  <c r="H1289" i="5"/>
  <c r="J1289" i="5" s="1"/>
  <c r="G1289" i="5"/>
  <c r="I1288" i="5"/>
  <c r="H1288" i="5"/>
  <c r="J1288" i="5" s="1"/>
  <c r="G1288" i="5"/>
  <c r="I1287" i="5"/>
  <c r="H1287" i="5"/>
  <c r="J1287" i="5" s="1"/>
  <c r="G1287" i="5"/>
  <c r="I1286" i="5"/>
  <c r="H1286" i="5"/>
  <c r="J1286" i="5" s="1"/>
  <c r="G1286" i="5"/>
  <c r="I1285" i="5"/>
  <c r="H1285" i="5"/>
  <c r="J1285" i="5" s="1"/>
  <c r="G1285" i="5"/>
  <c r="I1284" i="5"/>
  <c r="H1284" i="5"/>
  <c r="J1284" i="5" s="1"/>
  <c r="G1284" i="5"/>
  <c r="I1283" i="5"/>
  <c r="H1283" i="5"/>
  <c r="J1283" i="5" s="1"/>
  <c r="G1283" i="5"/>
  <c r="I1282" i="5"/>
  <c r="H1282" i="5"/>
  <c r="J1282" i="5" s="1"/>
  <c r="G1282" i="5"/>
  <c r="I1281" i="5"/>
  <c r="H1281" i="5"/>
  <c r="J1281" i="5" s="1"/>
  <c r="G1281" i="5"/>
  <c r="I1280" i="5"/>
  <c r="H1280" i="5"/>
  <c r="J1280" i="5" s="1"/>
  <c r="G1280" i="5"/>
  <c r="I1279" i="5"/>
  <c r="H1279" i="5"/>
  <c r="J1279" i="5" s="1"/>
  <c r="G1279" i="5"/>
  <c r="I1278" i="5"/>
  <c r="H1278" i="5"/>
  <c r="J1278" i="5" s="1"/>
  <c r="G1278" i="5"/>
  <c r="I1277" i="5"/>
  <c r="H1277" i="5"/>
  <c r="J1277" i="5" s="1"/>
  <c r="G1277" i="5"/>
  <c r="I1276" i="5"/>
  <c r="H1276" i="5"/>
  <c r="J1276" i="5" s="1"/>
  <c r="G1276" i="5"/>
  <c r="I1275" i="5"/>
  <c r="H1275" i="5"/>
  <c r="J1275" i="5" s="1"/>
  <c r="G1275" i="5"/>
  <c r="I1274" i="5"/>
  <c r="H1274" i="5"/>
  <c r="J1274" i="5" s="1"/>
  <c r="G1274" i="5"/>
  <c r="I1273" i="5"/>
  <c r="H1273" i="5"/>
  <c r="J1273" i="5" s="1"/>
  <c r="G1273" i="5"/>
  <c r="I1272" i="5"/>
  <c r="H1272" i="5"/>
  <c r="J1272" i="5" s="1"/>
  <c r="G1272" i="5"/>
  <c r="I1271" i="5"/>
  <c r="H1271" i="5"/>
  <c r="J1271" i="5" s="1"/>
  <c r="G1271" i="5"/>
  <c r="I1270" i="5"/>
  <c r="H1270" i="5"/>
  <c r="J1270" i="5" s="1"/>
  <c r="G1270" i="5"/>
  <c r="I1269" i="5"/>
  <c r="H1269" i="5"/>
  <c r="J1269" i="5" s="1"/>
  <c r="G1269" i="5"/>
  <c r="I1268" i="5"/>
  <c r="H1268" i="5"/>
  <c r="J1268" i="5" s="1"/>
  <c r="G1268" i="5"/>
  <c r="I1267" i="5"/>
  <c r="H1267" i="5"/>
  <c r="J1267" i="5" s="1"/>
  <c r="G1267" i="5"/>
  <c r="I1266" i="5"/>
  <c r="H1266" i="5"/>
  <c r="J1266" i="5" s="1"/>
  <c r="G1266" i="5"/>
  <c r="I1265" i="5"/>
  <c r="H1265" i="5"/>
  <c r="J1265" i="5" s="1"/>
  <c r="G1265" i="5"/>
  <c r="I1264" i="5"/>
  <c r="H1264" i="5"/>
  <c r="J1264" i="5" s="1"/>
  <c r="G1264" i="5"/>
  <c r="I1263" i="5"/>
  <c r="H1263" i="5"/>
  <c r="J1263" i="5" s="1"/>
  <c r="G1263" i="5"/>
  <c r="I1262" i="5"/>
  <c r="H1262" i="5"/>
  <c r="J1262" i="5" s="1"/>
  <c r="G1262" i="5"/>
  <c r="I1261" i="5"/>
  <c r="H1261" i="5"/>
  <c r="J1261" i="5" s="1"/>
  <c r="G1261" i="5"/>
  <c r="I1260" i="5"/>
  <c r="H1260" i="5"/>
  <c r="J1260" i="5" s="1"/>
  <c r="G1260" i="5"/>
  <c r="I1259" i="5"/>
  <c r="H1259" i="5"/>
  <c r="J1259" i="5" s="1"/>
  <c r="G1259" i="5"/>
  <c r="I1258" i="5"/>
  <c r="H1258" i="5"/>
  <c r="J1258" i="5" s="1"/>
  <c r="G1258" i="5"/>
  <c r="I1257" i="5"/>
  <c r="H1257" i="5"/>
  <c r="J1257" i="5" s="1"/>
  <c r="G1257" i="5"/>
  <c r="I1256" i="5"/>
  <c r="H1256" i="5"/>
  <c r="J1256" i="5" s="1"/>
  <c r="G1256" i="5"/>
  <c r="I1255" i="5"/>
  <c r="H1255" i="5"/>
  <c r="J1255" i="5" s="1"/>
  <c r="G1255" i="5"/>
  <c r="I1254" i="5"/>
  <c r="H1254" i="5"/>
  <c r="J1254" i="5" s="1"/>
  <c r="G1254" i="5"/>
  <c r="I1253" i="5"/>
  <c r="H1253" i="5"/>
  <c r="J1253" i="5" s="1"/>
  <c r="G1253" i="5"/>
  <c r="I1252" i="5"/>
  <c r="H1252" i="5"/>
  <c r="J1252" i="5" s="1"/>
  <c r="G1252" i="5"/>
  <c r="I1251" i="5"/>
  <c r="H1251" i="5"/>
  <c r="J1251" i="5" s="1"/>
  <c r="G1251" i="5"/>
  <c r="I1250" i="5"/>
  <c r="H1250" i="5"/>
  <c r="J1250" i="5" s="1"/>
  <c r="G1250" i="5"/>
  <c r="I1249" i="5"/>
  <c r="H1249" i="5"/>
  <c r="J1249" i="5" s="1"/>
  <c r="G1249" i="5"/>
  <c r="I1248" i="5"/>
  <c r="H1248" i="5"/>
  <c r="J1248" i="5" s="1"/>
  <c r="G1248" i="5"/>
  <c r="I1247" i="5"/>
  <c r="H1247" i="5"/>
  <c r="J1247" i="5" s="1"/>
  <c r="G1247" i="5"/>
  <c r="I1246" i="5"/>
  <c r="H1246" i="5"/>
  <c r="J1246" i="5" s="1"/>
  <c r="G1246" i="5"/>
  <c r="I1245" i="5"/>
  <c r="H1245" i="5"/>
  <c r="J1245" i="5" s="1"/>
  <c r="G1245" i="5"/>
  <c r="I1244" i="5"/>
  <c r="H1244" i="5"/>
  <c r="J1244" i="5" s="1"/>
  <c r="G1244" i="5"/>
  <c r="I1243" i="5"/>
  <c r="H1243" i="5"/>
  <c r="J1243" i="5" s="1"/>
  <c r="G1243" i="5"/>
  <c r="I1242" i="5"/>
  <c r="H1242" i="5"/>
  <c r="J1242" i="5" s="1"/>
  <c r="G1242" i="5"/>
  <c r="I1241" i="5"/>
  <c r="H1241" i="5"/>
  <c r="J1241" i="5" s="1"/>
  <c r="G1241" i="5"/>
  <c r="I1240" i="5"/>
  <c r="H1240" i="5"/>
  <c r="J1240" i="5" s="1"/>
  <c r="G1240" i="5"/>
  <c r="I1239" i="5"/>
  <c r="H1239" i="5"/>
  <c r="J1239" i="5" s="1"/>
  <c r="G1239" i="5"/>
  <c r="I1238" i="5"/>
  <c r="H1238" i="5"/>
  <c r="J1238" i="5" s="1"/>
  <c r="G1238" i="5"/>
  <c r="I1237" i="5"/>
  <c r="H1237" i="5"/>
  <c r="J1237" i="5" s="1"/>
  <c r="G1237" i="5"/>
  <c r="I1236" i="5"/>
  <c r="H1236" i="5"/>
  <c r="J1236" i="5" s="1"/>
  <c r="G1236" i="5"/>
  <c r="I1235" i="5"/>
  <c r="H1235" i="5"/>
  <c r="J1235" i="5" s="1"/>
  <c r="G1235" i="5"/>
  <c r="I1234" i="5"/>
  <c r="H1234" i="5"/>
  <c r="J1234" i="5" s="1"/>
  <c r="G1234" i="5"/>
  <c r="I1233" i="5"/>
  <c r="H1233" i="5"/>
  <c r="J1233" i="5" s="1"/>
  <c r="G1233" i="5"/>
  <c r="I1232" i="5"/>
  <c r="H1232" i="5"/>
  <c r="J1232" i="5" s="1"/>
  <c r="G1232" i="5"/>
  <c r="I1231" i="5"/>
  <c r="H1231" i="5"/>
  <c r="J1231" i="5" s="1"/>
  <c r="G1231" i="5"/>
  <c r="I1230" i="5"/>
  <c r="H1230" i="5"/>
  <c r="J1230" i="5" s="1"/>
  <c r="G1230" i="5"/>
  <c r="I1229" i="5"/>
  <c r="H1229" i="5"/>
  <c r="J1229" i="5" s="1"/>
  <c r="G1229" i="5"/>
  <c r="I1228" i="5"/>
  <c r="H1228" i="5"/>
  <c r="J1228" i="5" s="1"/>
  <c r="G1228" i="5"/>
  <c r="I1227" i="5"/>
  <c r="H1227" i="5"/>
  <c r="J1227" i="5" s="1"/>
  <c r="G1227" i="5"/>
  <c r="I1226" i="5"/>
  <c r="H1226" i="5"/>
  <c r="J1226" i="5" s="1"/>
  <c r="G1226" i="5"/>
  <c r="I1225" i="5"/>
  <c r="H1225" i="5"/>
  <c r="J1225" i="5" s="1"/>
  <c r="G1225" i="5"/>
  <c r="I1224" i="5"/>
  <c r="H1224" i="5"/>
  <c r="J1224" i="5" s="1"/>
  <c r="G1224" i="5"/>
  <c r="I1223" i="5"/>
  <c r="H1223" i="5"/>
  <c r="J1223" i="5" s="1"/>
  <c r="G1223" i="5"/>
  <c r="I1222" i="5"/>
  <c r="H1222" i="5"/>
  <c r="J1222" i="5" s="1"/>
  <c r="G1222" i="5"/>
  <c r="I1221" i="5"/>
  <c r="H1221" i="5"/>
  <c r="J1221" i="5" s="1"/>
  <c r="G1221" i="5"/>
  <c r="I1220" i="5"/>
  <c r="H1220" i="5"/>
  <c r="J1220" i="5" s="1"/>
  <c r="G1220" i="5"/>
  <c r="I1219" i="5"/>
  <c r="H1219" i="5"/>
  <c r="J1219" i="5" s="1"/>
  <c r="G1219" i="5"/>
  <c r="I1218" i="5"/>
  <c r="H1218" i="5"/>
  <c r="J1218" i="5" s="1"/>
  <c r="G1218" i="5"/>
  <c r="I1217" i="5"/>
  <c r="H1217" i="5"/>
  <c r="J1217" i="5" s="1"/>
  <c r="G1217" i="5"/>
  <c r="I1216" i="5"/>
  <c r="H1216" i="5"/>
  <c r="J1216" i="5" s="1"/>
  <c r="G1216" i="5"/>
  <c r="I1215" i="5"/>
  <c r="H1215" i="5"/>
  <c r="J1215" i="5" s="1"/>
  <c r="G1215" i="5"/>
  <c r="I1214" i="5"/>
  <c r="H1214" i="5"/>
  <c r="J1214" i="5" s="1"/>
  <c r="G1214" i="5"/>
  <c r="I1213" i="5"/>
  <c r="H1213" i="5"/>
  <c r="J1213" i="5" s="1"/>
  <c r="G1213" i="5"/>
  <c r="I1212" i="5"/>
  <c r="H1212" i="5"/>
  <c r="J1212" i="5" s="1"/>
  <c r="G1212" i="5"/>
  <c r="I1211" i="5"/>
  <c r="H1211" i="5"/>
  <c r="J1211" i="5" s="1"/>
  <c r="G1211" i="5"/>
  <c r="I1210" i="5"/>
  <c r="H1210" i="5"/>
  <c r="J1210" i="5" s="1"/>
  <c r="G1210" i="5"/>
  <c r="I1209" i="5"/>
  <c r="H1209" i="5"/>
  <c r="J1209" i="5" s="1"/>
  <c r="G1209" i="5"/>
  <c r="I1208" i="5"/>
  <c r="H1208" i="5"/>
  <c r="J1208" i="5" s="1"/>
  <c r="G1208" i="5"/>
  <c r="I1207" i="5"/>
  <c r="H1207" i="5"/>
  <c r="J1207" i="5" s="1"/>
  <c r="G1207" i="5"/>
  <c r="I1206" i="5"/>
  <c r="H1206" i="5"/>
  <c r="J1206" i="5" s="1"/>
  <c r="G1206" i="5"/>
  <c r="I1205" i="5"/>
  <c r="H1205" i="5"/>
  <c r="J1205" i="5" s="1"/>
  <c r="G1205" i="5"/>
  <c r="I1204" i="5"/>
  <c r="H1204" i="5"/>
  <c r="J1204" i="5" s="1"/>
  <c r="G1204" i="5"/>
  <c r="I1203" i="5"/>
  <c r="H1203" i="5"/>
  <c r="J1203" i="5" s="1"/>
  <c r="G1203" i="5"/>
  <c r="I1202" i="5"/>
  <c r="H1202" i="5"/>
  <c r="J1202" i="5" s="1"/>
  <c r="G1202" i="5"/>
  <c r="I1201" i="5"/>
  <c r="H1201" i="5"/>
  <c r="J1201" i="5" s="1"/>
  <c r="G1201" i="5"/>
  <c r="I1200" i="5"/>
  <c r="H1200" i="5"/>
  <c r="J1200" i="5" s="1"/>
  <c r="G1200" i="5"/>
  <c r="I1199" i="5"/>
  <c r="H1199" i="5"/>
  <c r="J1199" i="5" s="1"/>
  <c r="G1199" i="5"/>
  <c r="I1198" i="5"/>
  <c r="H1198" i="5"/>
  <c r="J1198" i="5" s="1"/>
  <c r="G1198" i="5"/>
  <c r="I1197" i="5"/>
  <c r="H1197" i="5"/>
  <c r="J1197" i="5" s="1"/>
  <c r="G1197" i="5"/>
  <c r="I1196" i="5"/>
  <c r="H1196" i="5"/>
  <c r="J1196" i="5" s="1"/>
  <c r="G1196" i="5"/>
  <c r="I1195" i="5"/>
  <c r="H1195" i="5"/>
  <c r="J1195" i="5" s="1"/>
  <c r="G1195" i="5"/>
  <c r="I1194" i="5"/>
  <c r="H1194" i="5"/>
  <c r="J1194" i="5" s="1"/>
  <c r="G1194" i="5"/>
  <c r="I1193" i="5"/>
  <c r="H1193" i="5"/>
  <c r="J1193" i="5" s="1"/>
  <c r="G1193" i="5"/>
  <c r="I1192" i="5"/>
  <c r="H1192" i="5"/>
  <c r="J1192" i="5" s="1"/>
  <c r="G1192" i="5"/>
  <c r="I1191" i="5"/>
  <c r="H1191" i="5"/>
  <c r="J1191" i="5" s="1"/>
  <c r="G1191" i="5"/>
  <c r="I1190" i="5"/>
  <c r="H1190" i="5"/>
  <c r="J1190" i="5" s="1"/>
  <c r="G1190" i="5"/>
  <c r="I1189" i="5"/>
  <c r="H1189" i="5"/>
  <c r="J1189" i="5" s="1"/>
  <c r="G1189" i="5"/>
  <c r="I1188" i="5"/>
  <c r="H1188" i="5"/>
  <c r="J1188" i="5" s="1"/>
  <c r="G1188" i="5"/>
  <c r="I1187" i="5"/>
  <c r="H1187" i="5"/>
  <c r="J1187" i="5" s="1"/>
  <c r="G1187" i="5"/>
  <c r="I1186" i="5"/>
  <c r="H1186" i="5"/>
  <c r="J1186" i="5" s="1"/>
  <c r="G1186" i="5"/>
  <c r="I1185" i="5"/>
  <c r="H1185" i="5"/>
  <c r="J1185" i="5" s="1"/>
  <c r="G1185" i="5"/>
  <c r="I1184" i="5"/>
  <c r="H1184" i="5"/>
  <c r="J1184" i="5" s="1"/>
  <c r="G1184" i="5"/>
  <c r="I1183" i="5"/>
  <c r="H1183" i="5"/>
  <c r="J1183" i="5" s="1"/>
  <c r="G1183" i="5"/>
  <c r="I1182" i="5"/>
  <c r="H1182" i="5"/>
  <c r="J1182" i="5" s="1"/>
  <c r="G1182" i="5"/>
  <c r="I1181" i="5"/>
  <c r="H1181" i="5"/>
  <c r="J1181" i="5" s="1"/>
  <c r="G1181" i="5"/>
  <c r="I1180" i="5"/>
  <c r="H1180" i="5"/>
  <c r="J1180" i="5" s="1"/>
  <c r="G1180" i="5"/>
  <c r="I1179" i="5"/>
  <c r="H1179" i="5"/>
  <c r="J1179" i="5" s="1"/>
  <c r="G1179" i="5"/>
  <c r="I1178" i="5"/>
  <c r="H1178" i="5"/>
  <c r="J1178" i="5" s="1"/>
  <c r="G1178" i="5"/>
  <c r="I1177" i="5"/>
  <c r="H1177" i="5"/>
  <c r="J1177" i="5" s="1"/>
  <c r="G1177" i="5"/>
  <c r="I1176" i="5"/>
  <c r="H1176" i="5"/>
  <c r="J1176" i="5" s="1"/>
  <c r="G1176" i="5"/>
  <c r="I1175" i="5"/>
  <c r="H1175" i="5"/>
  <c r="J1175" i="5" s="1"/>
  <c r="G1175" i="5"/>
  <c r="I1174" i="5"/>
  <c r="H1174" i="5"/>
  <c r="J1174" i="5" s="1"/>
  <c r="G1174" i="5"/>
  <c r="I1173" i="5"/>
  <c r="H1173" i="5"/>
  <c r="J1173" i="5" s="1"/>
  <c r="G1173" i="5"/>
  <c r="I1172" i="5"/>
  <c r="H1172" i="5"/>
  <c r="J1172" i="5" s="1"/>
  <c r="G1172" i="5"/>
  <c r="I1171" i="5"/>
  <c r="H1171" i="5"/>
  <c r="J1171" i="5" s="1"/>
  <c r="G1171" i="5"/>
  <c r="I1170" i="5"/>
  <c r="H1170" i="5"/>
  <c r="J1170" i="5" s="1"/>
  <c r="G1170" i="5"/>
  <c r="I1169" i="5"/>
  <c r="H1169" i="5"/>
  <c r="J1169" i="5" s="1"/>
  <c r="G1169" i="5"/>
  <c r="I1168" i="5"/>
  <c r="H1168" i="5"/>
  <c r="J1168" i="5" s="1"/>
  <c r="G1168" i="5"/>
  <c r="I1167" i="5"/>
  <c r="H1167" i="5"/>
  <c r="J1167" i="5" s="1"/>
  <c r="G1167" i="5"/>
  <c r="I1166" i="5"/>
  <c r="H1166" i="5"/>
  <c r="J1166" i="5" s="1"/>
  <c r="G1166" i="5"/>
  <c r="I1165" i="5"/>
  <c r="H1165" i="5"/>
  <c r="J1165" i="5" s="1"/>
  <c r="G1165" i="5"/>
  <c r="I1164" i="5"/>
  <c r="H1164" i="5"/>
  <c r="J1164" i="5" s="1"/>
  <c r="G1164" i="5"/>
  <c r="I1163" i="5"/>
  <c r="H1163" i="5"/>
  <c r="J1163" i="5" s="1"/>
  <c r="G1163" i="5"/>
  <c r="I1162" i="5"/>
  <c r="H1162" i="5"/>
  <c r="J1162" i="5" s="1"/>
  <c r="G1162" i="5"/>
  <c r="I1161" i="5"/>
  <c r="H1161" i="5"/>
  <c r="J1161" i="5" s="1"/>
  <c r="G1161" i="5"/>
  <c r="I1160" i="5"/>
  <c r="H1160" i="5"/>
  <c r="J1160" i="5" s="1"/>
  <c r="G1160" i="5"/>
  <c r="I1159" i="5"/>
  <c r="H1159" i="5"/>
  <c r="J1159" i="5" s="1"/>
  <c r="G1159" i="5"/>
  <c r="I1158" i="5"/>
  <c r="H1158" i="5"/>
  <c r="J1158" i="5" s="1"/>
  <c r="G1158" i="5"/>
  <c r="I1157" i="5"/>
  <c r="H1157" i="5"/>
  <c r="J1157" i="5" s="1"/>
  <c r="G1157" i="5"/>
  <c r="I1156" i="5"/>
  <c r="H1156" i="5"/>
  <c r="J1156" i="5" s="1"/>
  <c r="G1156" i="5"/>
  <c r="I1155" i="5"/>
  <c r="H1155" i="5"/>
  <c r="J1155" i="5" s="1"/>
  <c r="G1155" i="5"/>
  <c r="I1154" i="5"/>
  <c r="H1154" i="5"/>
  <c r="J1154" i="5" s="1"/>
  <c r="G1154" i="5"/>
  <c r="I1153" i="5"/>
  <c r="H1153" i="5"/>
  <c r="J1153" i="5" s="1"/>
  <c r="G1153" i="5"/>
  <c r="I1152" i="5"/>
  <c r="H1152" i="5"/>
  <c r="J1152" i="5" s="1"/>
  <c r="G1152" i="5"/>
  <c r="I1151" i="5"/>
  <c r="H1151" i="5"/>
  <c r="J1151" i="5" s="1"/>
  <c r="G1151" i="5"/>
  <c r="I1150" i="5"/>
  <c r="H1150" i="5"/>
  <c r="J1150" i="5" s="1"/>
  <c r="G1150" i="5"/>
  <c r="I1149" i="5"/>
  <c r="H1149" i="5"/>
  <c r="J1149" i="5" s="1"/>
  <c r="G1149" i="5"/>
  <c r="I1148" i="5"/>
  <c r="H1148" i="5"/>
  <c r="J1148" i="5" s="1"/>
  <c r="G1148" i="5"/>
  <c r="I1147" i="5"/>
  <c r="H1147" i="5"/>
  <c r="J1147" i="5" s="1"/>
  <c r="G1147" i="5"/>
  <c r="I1146" i="5"/>
  <c r="H1146" i="5"/>
  <c r="J1146" i="5" s="1"/>
  <c r="G1146" i="5"/>
  <c r="I1145" i="5"/>
  <c r="H1145" i="5"/>
  <c r="J1145" i="5" s="1"/>
  <c r="G1145" i="5"/>
  <c r="I1144" i="5"/>
  <c r="H1144" i="5"/>
  <c r="J1144" i="5" s="1"/>
  <c r="G1144" i="5"/>
  <c r="I1143" i="5"/>
  <c r="H1143" i="5"/>
  <c r="J1143" i="5" s="1"/>
  <c r="G1143" i="5"/>
  <c r="I1142" i="5"/>
  <c r="H1142" i="5"/>
  <c r="J1142" i="5" s="1"/>
  <c r="G1142" i="5"/>
  <c r="I1141" i="5"/>
  <c r="H1141" i="5"/>
  <c r="J1141" i="5" s="1"/>
  <c r="G1141" i="5"/>
  <c r="I1140" i="5"/>
  <c r="H1140" i="5"/>
  <c r="J1140" i="5" s="1"/>
  <c r="G1140" i="5"/>
  <c r="I1139" i="5"/>
  <c r="H1139" i="5"/>
  <c r="J1139" i="5" s="1"/>
  <c r="G1139" i="5"/>
  <c r="I1138" i="5"/>
  <c r="H1138" i="5"/>
  <c r="J1138" i="5" s="1"/>
  <c r="G1138" i="5"/>
  <c r="I1137" i="5"/>
  <c r="H1137" i="5"/>
  <c r="J1137" i="5" s="1"/>
  <c r="G1137" i="5"/>
  <c r="I1136" i="5"/>
  <c r="H1136" i="5"/>
  <c r="J1136" i="5" s="1"/>
  <c r="G1136" i="5"/>
  <c r="I1135" i="5"/>
  <c r="H1135" i="5"/>
  <c r="J1135" i="5" s="1"/>
  <c r="G1135" i="5"/>
  <c r="I1134" i="5"/>
  <c r="H1134" i="5"/>
  <c r="J1134" i="5" s="1"/>
  <c r="G1134" i="5"/>
  <c r="I1133" i="5"/>
  <c r="H1133" i="5"/>
  <c r="J1133" i="5" s="1"/>
  <c r="G1133" i="5"/>
  <c r="I1132" i="5"/>
  <c r="H1132" i="5"/>
  <c r="J1132" i="5" s="1"/>
  <c r="G1132" i="5"/>
  <c r="I1131" i="5"/>
  <c r="H1131" i="5"/>
  <c r="J1131" i="5" s="1"/>
  <c r="G1131" i="5"/>
  <c r="I1130" i="5"/>
  <c r="H1130" i="5"/>
  <c r="J1130" i="5" s="1"/>
  <c r="G1130" i="5"/>
  <c r="I1129" i="5"/>
  <c r="H1129" i="5"/>
  <c r="J1129" i="5" s="1"/>
  <c r="G1129" i="5"/>
  <c r="I1128" i="5"/>
  <c r="H1128" i="5"/>
  <c r="J1128" i="5" s="1"/>
  <c r="G1128" i="5"/>
  <c r="I1127" i="5"/>
  <c r="H1127" i="5"/>
  <c r="J1127" i="5" s="1"/>
  <c r="G1127" i="5"/>
  <c r="I1126" i="5"/>
  <c r="H1126" i="5"/>
  <c r="J1126" i="5" s="1"/>
  <c r="G1126" i="5"/>
  <c r="I1125" i="5"/>
  <c r="H1125" i="5"/>
  <c r="J1125" i="5" s="1"/>
  <c r="G1125" i="5"/>
  <c r="I1124" i="5"/>
  <c r="H1124" i="5"/>
  <c r="J1124" i="5" s="1"/>
  <c r="G1124" i="5"/>
  <c r="I1123" i="5"/>
  <c r="H1123" i="5"/>
  <c r="J1123" i="5" s="1"/>
  <c r="G1123" i="5"/>
  <c r="I1122" i="5"/>
  <c r="H1122" i="5"/>
  <c r="J1122" i="5" s="1"/>
  <c r="G1122" i="5"/>
  <c r="I1121" i="5"/>
  <c r="H1121" i="5"/>
  <c r="J1121" i="5" s="1"/>
  <c r="G1121" i="5"/>
  <c r="I1120" i="5"/>
  <c r="H1120" i="5"/>
  <c r="J1120" i="5" s="1"/>
  <c r="G1120" i="5"/>
  <c r="I1119" i="5"/>
  <c r="H1119" i="5"/>
  <c r="J1119" i="5" s="1"/>
  <c r="G1119" i="5"/>
  <c r="I1118" i="5"/>
  <c r="H1118" i="5"/>
  <c r="J1118" i="5" s="1"/>
  <c r="G1118" i="5"/>
  <c r="I1117" i="5"/>
  <c r="H1117" i="5"/>
  <c r="J1117" i="5" s="1"/>
  <c r="G1117" i="5"/>
  <c r="I1116" i="5"/>
  <c r="H1116" i="5"/>
  <c r="J1116" i="5" s="1"/>
  <c r="G1116" i="5"/>
  <c r="I1115" i="5"/>
  <c r="H1115" i="5"/>
  <c r="J1115" i="5" s="1"/>
  <c r="G1115" i="5"/>
  <c r="I1114" i="5"/>
  <c r="H1114" i="5"/>
  <c r="J1114" i="5" s="1"/>
  <c r="G1114" i="5"/>
  <c r="I1113" i="5"/>
  <c r="H1113" i="5"/>
  <c r="J1113" i="5" s="1"/>
  <c r="G1113" i="5"/>
  <c r="I1112" i="5"/>
  <c r="H1112" i="5"/>
  <c r="J1112" i="5" s="1"/>
  <c r="G1112" i="5"/>
  <c r="I1111" i="5"/>
  <c r="H1111" i="5"/>
  <c r="J1111" i="5" s="1"/>
  <c r="G1111" i="5"/>
  <c r="I1110" i="5"/>
  <c r="H1110" i="5"/>
  <c r="J1110" i="5" s="1"/>
  <c r="G1110" i="5"/>
  <c r="I1109" i="5"/>
  <c r="H1109" i="5"/>
  <c r="J1109" i="5" s="1"/>
  <c r="G1109" i="5"/>
  <c r="I1108" i="5"/>
  <c r="H1108" i="5"/>
  <c r="J1108" i="5" s="1"/>
  <c r="G1108" i="5"/>
  <c r="I1107" i="5"/>
  <c r="H1107" i="5"/>
  <c r="J1107" i="5" s="1"/>
  <c r="G1107" i="5"/>
  <c r="I1106" i="5"/>
  <c r="H1106" i="5"/>
  <c r="J1106" i="5" s="1"/>
  <c r="G1106" i="5"/>
  <c r="I1105" i="5"/>
  <c r="H1105" i="5"/>
  <c r="J1105" i="5" s="1"/>
  <c r="G1105" i="5"/>
  <c r="I1104" i="5"/>
  <c r="H1104" i="5"/>
  <c r="J1104" i="5" s="1"/>
  <c r="G1104" i="5"/>
  <c r="I1103" i="5"/>
  <c r="H1103" i="5"/>
  <c r="J1103" i="5" s="1"/>
  <c r="G1103" i="5"/>
  <c r="I1102" i="5"/>
  <c r="H1102" i="5"/>
  <c r="J1102" i="5" s="1"/>
  <c r="G1102" i="5"/>
  <c r="I1101" i="5"/>
  <c r="H1101" i="5"/>
  <c r="J1101" i="5" s="1"/>
  <c r="G1101" i="5"/>
  <c r="I1100" i="5"/>
  <c r="H1100" i="5"/>
  <c r="J1100" i="5" s="1"/>
  <c r="G1100" i="5"/>
  <c r="I1099" i="5"/>
  <c r="H1099" i="5"/>
  <c r="J1099" i="5" s="1"/>
  <c r="G1099" i="5"/>
  <c r="I1098" i="5"/>
  <c r="H1098" i="5"/>
  <c r="J1098" i="5" s="1"/>
  <c r="G1098" i="5"/>
  <c r="I1097" i="5"/>
  <c r="H1097" i="5"/>
  <c r="J1097" i="5" s="1"/>
  <c r="G1097" i="5"/>
  <c r="I1096" i="5"/>
  <c r="H1096" i="5"/>
  <c r="J1096" i="5" s="1"/>
  <c r="G1096" i="5"/>
  <c r="I1095" i="5"/>
  <c r="H1095" i="5"/>
  <c r="J1095" i="5" s="1"/>
  <c r="G1095" i="5"/>
  <c r="I1094" i="5"/>
  <c r="H1094" i="5"/>
  <c r="J1094" i="5" s="1"/>
  <c r="G1094" i="5"/>
  <c r="I1093" i="5"/>
  <c r="H1093" i="5"/>
  <c r="J1093" i="5" s="1"/>
  <c r="G1093" i="5"/>
  <c r="I1092" i="5"/>
  <c r="H1092" i="5"/>
  <c r="J1092" i="5" s="1"/>
  <c r="G1092" i="5"/>
  <c r="I1091" i="5"/>
  <c r="H1091" i="5"/>
  <c r="J1091" i="5" s="1"/>
  <c r="G1091" i="5"/>
  <c r="I1090" i="5"/>
  <c r="H1090" i="5"/>
  <c r="J1090" i="5" s="1"/>
  <c r="G1090" i="5"/>
  <c r="I1089" i="5"/>
  <c r="H1089" i="5"/>
  <c r="J1089" i="5" s="1"/>
  <c r="G1089" i="5"/>
  <c r="I1088" i="5"/>
  <c r="H1088" i="5"/>
  <c r="J1088" i="5" s="1"/>
  <c r="G1088" i="5"/>
  <c r="I1087" i="5"/>
  <c r="H1087" i="5"/>
  <c r="J1087" i="5" s="1"/>
  <c r="G1087" i="5"/>
  <c r="I1086" i="5"/>
  <c r="H1086" i="5"/>
  <c r="J1086" i="5" s="1"/>
  <c r="G1086" i="5"/>
  <c r="I1085" i="5"/>
  <c r="H1085" i="5"/>
  <c r="J1085" i="5" s="1"/>
  <c r="G1085" i="5"/>
  <c r="I1084" i="5"/>
  <c r="H1084" i="5"/>
  <c r="J1084" i="5" s="1"/>
  <c r="G1084" i="5"/>
  <c r="I1083" i="5"/>
  <c r="H1083" i="5"/>
  <c r="J1083" i="5" s="1"/>
  <c r="G1083" i="5"/>
  <c r="I1082" i="5"/>
  <c r="H1082" i="5"/>
  <c r="J1082" i="5" s="1"/>
  <c r="G1082" i="5"/>
  <c r="I1081" i="5"/>
  <c r="H1081" i="5"/>
  <c r="J1081" i="5" s="1"/>
  <c r="G1081" i="5"/>
  <c r="I1080" i="5"/>
  <c r="H1080" i="5"/>
  <c r="J1080" i="5" s="1"/>
  <c r="G1080" i="5"/>
  <c r="I1079" i="5"/>
  <c r="H1079" i="5"/>
  <c r="J1079" i="5" s="1"/>
  <c r="G1079" i="5"/>
  <c r="I1078" i="5"/>
  <c r="H1078" i="5"/>
  <c r="J1078" i="5" s="1"/>
  <c r="G1078" i="5"/>
  <c r="I1077" i="5"/>
  <c r="H1077" i="5"/>
  <c r="J1077" i="5" s="1"/>
  <c r="G1077" i="5"/>
  <c r="I1076" i="5"/>
  <c r="H1076" i="5"/>
  <c r="J1076" i="5" s="1"/>
  <c r="G1076" i="5"/>
  <c r="I1075" i="5"/>
  <c r="H1075" i="5"/>
  <c r="J1075" i="5" s="1"/>
  <c r="G1075" i="5"/>
  <c r="I1074" i="5"/>
  <c r="H1074" i="5"/>
  <c r="J1074" i="5" s="1"/>
  <c r="G1074" i="5"/>
  <c r="I1073" i="5"/>
  <c r="H1073" i="5"/>
  <c r="J1073" i="5" s="1"/>
  <c r="G1073" i="5"/>
  <c r="I1072" i="5"/>
  <c r="H1072" i="5"/>
  <c r="J1072" i="5" s="1"/>
  <c r="G1072" i="5"/>
  <c r="I1071" i="5"/>
  <c r="H1071" i="5"/>
  <c r="J1071" i="5" s="1"/>
  <c r="G1071" i="5"/>
  <c r="I1070" i="5"/>
  <c r="H1070" i="5"/>
  <c r="J1070" i="5" s="1"/>
  <c r="G1070" i="5"/>
  <c r="I1069" i="5"/>
  <c r="H1069" i="5"/>
  <c r="J1069" i="5" s="1"/>
  <c r="G1069" i="5"/>
  <c r="I1068" i="5"/>
  <c r="H1068" i="5"/>
  <c r="J1068" i="5" s="1"/>
  <c r="G1068" i="5"/>
  <c r="I1067" i="5"/>
  <c r="H1067" i="5"/>
  <c r="J1067" i="5" s="1"/>
  <c r="G1067" i="5"/>
  <c r="I1066" i="5"/>
  <c r="H1066" i="5"/>
  <c r="J1066" i="5" s="1"/>
  <c r="G1066" i="5"/>
  <c r="I1065" i="5"/>
  <c r="H1065" i="5"/>
  <c r="J1065" i="5" s="1"/>
  <c r="G1065" i="5"/>
  <c r="I1064" i="5"/>
  <c r="H1064" i="5"/>
  <c r="J1064" i="5" s="1"/>
  <c r="G1064" i="5"/>
  <c r="I1063" i="5"/>
  <c r="H1063" i="5"/>
  <c r="J1063" i="5" s="1"/>
  <c r="G1063" i="5"/>
  <c r="I1062" i="5"/>
  <c r="H1062" i="5"/>
  <c r="J1062" i="5" s="1"/>
  <c r="G1062" i="5"/>
  <c r="I1061" i="5"/>
  <c r="H1061" i="5"/>
  <c r="J1061" i="5" s="1"/>
  <c r="G1061" i="5"/>
  <c r="I1060" i="5"/>
  <c r="H1060" i="5"/>
  <c r="J1060" i="5" s="1"/>
  <c r="G1060" i="5"/>
  <c r="I1059" i="5"/>
  <c r="H1059" i="5"/>
  <c r="J1059" i="5" s="1"/>
  <c r="G1059" i="5"/>
  <c r="I1058" i="5"/>
  <c r="H1058" i="5"/>
  <c r="J1058" i="5" s="1"/>
  <c r="G1058" i="5"/>
  <c r="I1057" i="5"/>
  <c r="H1057" i="5"/>
  <c r="J1057" i="5" s="1"/>
  <c r="G1057" i="5"/>
  <c r="I1056" i="5"/>
  <c r="H1056" i="5"/>
  <c r="J1056" i="5" s="1"/>
  <c r="G1056" i="5"/>
  <c r="I1055" i="5"/>
  <c r="H1055" i="5"/>
  <c r="J1055" i="5" s="1"/>
  <c r="G1055" i="5"/>
  <c r="I1054" i="5"/>
  <c r="H1054" i="5"/>
  <c r="J1054" i="5" s="1"/>
  <c r="G1054" i="5"/>
  <c r="I1053" i="5"/>
  <c r="H1053" i="5"/>
  <c r="J1053" i="5" s="1"/>
  <c r="G1053" i="5"/>
  <c r="I1052" i="5"/>
  <c r="H1052" i="5"/>
  <c r="J1052" i="5" s="1"/>
  <c r="G1052" i="5"/>
  <c r="I1051" i="5"/>
  <c r="H1051" i="5"/>
  <c r="J1051" i="5" s="1"/>
  <c r="G1051" i="5"/>
  <c r="I1050" i="5"/>
  <c r="H1050" i="5"/>
  <c r="J1050" i="5" s="1"/>
  <c r="G1050" i="5"/>
  <c r="I1049" i="5"/>
  <c r="H1049" i="5"/>
  <c r="J1049" i="5" s="1"/>
  <c r="G1049" i="5"/>
  <c r="I1048" i="5"/>
  <c r="H1048" i="5"/>
  <c r="J1048" i="5" s="1"/>
  <c r="G1048" i="5"/>
  <c r="I1047" i="5"/>
  <c r="H1047" i="5"/>
  <c r="J1047" i="5" s="1"/>
  <c r="G1047" i="5"/>
  <c r="I1046" i="5"/>
  <c r="H1046" i="5"/>
  <c r="J1046" i="5" s="1"/>
  <c r="G1046" i="5"/>
  <c r="I1045" i="5"/>
  <c r="H1045" i="5"/>
  <c r="J1045" i="5" s="1"/>
  <c r="G1045" i="5"/>
  <c r="I1044" i="5"/>
  <c r="H1044" i="5"/>
  <c r="J1044" i="5" s="1"/>
  <c r="G1044" i="5"/>
  <c r="I1043" i="5"/>
  <c r="H1043" i="5"/>
  <c r="J1043" i="5" s="1"/>
  <c r="G1043" i="5"/>
  <c r="I1042" i="5"/>
  <c r="H1042" i="5"/>
  <c r="J1042" i="5" s="1"/>
  <c r="G1042" i="5"/>
  <c r="I1041" i="5"/>
  <c r="H1041" i="5"/>
  <c r="J1041" i="5" s="1"/>
  <c r="G1041" i="5"/>
  <c r="I1040" i="5"/>
  <c r="H1040" i="5"/>
  <c r="J1040" i="5" s="1"/>
  <c r="G1040" i="5"/>
  <c r="I1039" i="5"/>
  <c r="H1039" i="5"/>
  <c r="J1039" i="5" s="1"/>
  <c r="G1039" i="5"/>
  <c r="I1038" i="5"/>
  <c r="H1038" i="5"/>
  <c r="J1038" i="5" s="1"/>
  <c r="G1038" i="5"/>
  <c r="I1037" i="5"/>
  <c r="H1037" i="5"/>
  <c r="J1037" i="5" s="1"/>
  <c r="G1037" i="5"/>
  <c r="I1036" i="5"/>
  <c r="H1036" i="5"/>
  <c r="J1036" i="5" s="1"/>
  <c r="G1036" i="5"/>
  <c r="I1035" i="5"/>
  <c r="H1035" i="5"/>
  <c r="J1035" i="5" s="1"/>
  <c r="G1035" i="5"/>
  <c r="I1034" i="5"/>
  <c r="H1034" i="5"/>
  <c r="J1034" i="5" s="1"/>
  <c r="G1034" i="5"/>
  <c r="I1033" i="5"/>
  <c r="H1033" i="5"/>
  <c r="J1033" i="5" s="1"/>
  <c r="G1033" i="5"/>
  <c r="I1032" i="5"/>
  <c r="H1032" i="5"/>
  <c r="J1032" i="5" s="1"/>
  <c r="G1032" i="5"/>
  <c r="I1031" i="5"/>
  <c r="H1031" i="5"/>
  <c r="J1031" i="5" s="1"/>
  <c r="G1031" i="5"/>
  <c r="I1030" i="5"/>
  <c r="H1030" i="5"/>
  <c r="J1030" i="5" s="1"/>
  <c r="G1030" i="5"/>
  <c r="I1029" i="5"/>
  <c r="H1029" i="5"/>
  <c r="J1029" i="5" s="1"/>
  <c r="G1029" i="5"/>
  <c r="I1028" i="5"/>
  <c r="H1028" i="5"/>
  <c r="J1028" i="5" s="1"/>
  <c r="G1028" i="5"/>
  <c r="I1027" i="5"/>
  <c r="H1027" i="5"/>
  <c r="J1027" i="5" s="1"/>
  <c r="G1027" i="5"/>
  <c r="I1026" i="5"/>
  <c r="H1026" i="5"/>
  <c r="J1026" i="5" s="1"/>
  <c r="G1026" i="5"/>
  <c r="I1025" i="5"/>
  <c r="H1025" i="5"/>
  <c r="J1025" i="5" s="1"/>
  <c r="G1025" i="5"/>
  <c r="I1024" i="5"/>
  <c r="H1024" i="5"/>
  <c r="J1024" i="5" s="1"/>
  <c r="G1024" i="5"/>
  <c r="I1023" i="5"/>
  <c r="H1023" i="5"/>
  <c r="J1023" i="5" s="1"/>
  <c r="G1023" i="5"/>
  <c r="I1022" i="5"/>
  <c r="H1022" i="5"/>
  <c r="J1022" i="5" s="1"/>
  <c r="G1022" i="5"/>
  <c r="I1021" i="5"/>
  <c r="H1021" i="5"/>
  <c r="J1021" i="5" s="1"/>
  <c r="G1021" i="5"/>
  <c r="I1020" i="5"/>
  <c r="H1020" i="5"/>
  <c r="J1020" i="5" s="1"/>
  <c r="G1020" i="5"/>
  <c r="I1019" i="5"/>
  <c r="H1019" i="5"/>
  <c r="J1019" i="5" s="1"/>
  <c r="G1019" i="5"/>
  <c r="I1018" i="5"/>
  <c r="H1018" i="5"/>
  <c r="J1018" i="5" s="1"/>
  <c r="G1018" i="5"/>
  <c r="I1017" i="5"/>
  <c r="H1017" i="5"/>
  <c r="J1017" i="5" s="1"/>
  <c r="G1017" i="5"/>
  <c r="I1016" i="5"/>
  <c r="H1016" i="5"/>
  <c r="J1016" i="5" s="1"/>
  <c r="G1016" i="5"/>
  <c r="I1015" i="5"/>
  <c r="H1015" i="5"/>
  <c r="J1015" i="5" s="1"/>
  <c r="G1015" i="5"/>
  <c r="I1014" i="5"/>
  <c r="H1014" i="5"/>
  <c r="J1014" i="5" s="1"/>
  <c r="G1014" i="5"/>
  <c r="I1013" i="5"/>
  <c r="H1013" i="5"/>
  <c r="J1013" i="5" s="1"/>
  <c r="G1013" i="5"/>
  <c r="I1012" i="5"/>
  <c r="H1012" i="5"/>
  <c r="J1012" i="5" s="1"/>
  <c r="G1012" i="5"/>
  <c r="I1011" i="5"/>
  <c r="H1011" i="5"/>
  <c r="J1011" i="5" s="1"/>
  <c r="G1011" i="5"/>
  <c r="I1010" i="5"/>
  <c r="H1010" i="5"/>
  <c r="J1010" i="5" s="1"/>
  <c r="G1010" i="5"/>
  <c r="I1009" i="5"/>
  <c r="H1009" i="5"/>
  <c r="J1009" i="5" s="1"/>
  <c r="G1009" i="5"/>
  <c r="I1008" i="5"/>
  <c r="H1008" i="5"/>
  <c r="J1008" i="5" s="1"/>
  <c r="G1008" i="5"/>
  <c r="I1007" i="5"/>
  <c r="H1007" i="5"/>
  <c r="J1007" i="5" s="1"/>
  <c r="G1007" i="5"/>
  <c r="I1006" i="5"/>
  <c r="H1006" i="5"/>
  <c r="J1006" i="5" s="1"/>
  <c r="G1006" i="5"/>
  <c r="I1005" i="5"/>
  <c r="H1005" i="5"/>
  <c r="J1005" i="5" s="1"/>
  <c r="G1005" i="5"/>
  <c r="I1004" i="5"/>
  <c r="H1004" i="5"/>
  <c r="J1004" i="5" s="1"/>
  <c r="G1004" i="5"/>
  <c r="I1003" i="5"/>
  <c r="H1003" i="5"/>
  <c r="J1003" i="5" s="1"/>
  <c r="G1003" i="5"/>
  <c r="I1002" i="5"/>
  <c r="H1002" i="5"/>
  <c r="J1002" i="5" s="1"/>
  <c r="G1002" i="5"/>
  <c r="I1001" i="5"/>
  <c r="H1001" i="5"/>
  <c r="J1001" i="5" s="1"/>
  <c r="G1001" i="5"/>
  <c r="I1000" i="5"/>
  <c r="H1000" i="5"/>
  <c r="J1000" i="5" s="1"/>
  <c r="G1000" i="5"/>
  <c r="I999" i="5"/>
  <c r="H999" i="5"/>
  <c r="J999" i="5" s="1"/>
  <c r="G999" i="5"/>
  <c r="I998" i="5"/>
  <c r="H998" i="5"/>
  <c r="J998" i="5" s="1"/>
  <c r="G998" i="5"/>
  <c r="I997" i="5"/>
  <c r="H997" i="5"/>
  <c r="J997" i="5" s="1"/>
  <c r="G997" i="5"/>
  <c r="I996" i="5"/>
  <c r="H996" i="5"/>
  <c r="J996" i="5" s="1"/>
  <c r="G996" i="5"/>
  <c r="I995" i="5"/>
  <c r="H995" i="5"/>
  <c r="J995" i="5" s="1"/>
  <c r="G995" i="5"/>
  <c r="I994" i="5"/>
  <c r="H994" i="5"/>
  <c r="J994" i="5" s="1"/>
  <c r="G994" i="5"/>
  <c r="I993" i="5"/>
  <c r="H993" i="5"/>
  <c r="J993" i="5" s="1"/>
  <c r="G993" i="5"/>
  <c r="I992" i="5"/>
  <c r="H992" i="5"/>
  <c r="J992" i="5" s="1"/>
  <c r="G992" i="5"/>
  <c r="I991" i="5"/>
  <c r="H991" i="5"/>
  <c r="J991" i="5" s="1"/>
  <c r="G991" i="5"/>
  <c r="I990" i="5"/>
  <c r="H990" i="5"/>
  <c r="J990" i="5" s="1"/>
  <c r="G990" i="5"/>
  <c r="I989" i="5"/>
  <c r="H989" i="5"/>
  <c r="J989" i="5" s="1"/>
  <c r="G989" i="5"/>
  <c r="I988" i="5"/>
  <c r="H988" i="5"/>
  <c r="J988" i="5" s="1"/>
  <c r="G988" i="5"/>
  <c r="I987" i="5"/>
  <c r="H987" i="5"/>
  <c r="J987" i="5" s="1"/>
  <c r="G987" i="5"/>
  <c r="I986" i="5"/>
  <c r="H986" i="5"/>
  <c r="J986" i="5" s="1"/>
  <c r="G986" i="5"/>
  <c r="I985" i="5"/>
  <c r="H985" i="5"/>
  <c r="J985" i="5" s="1"/>
  <c r="G985" i="5"/>
  <c r="I984" i="5"/>
  <c r="H984" i="5"/>
  <c r="J984" i="5" s="1"/>
  <c r="G984" i="5"/>
  <c r="I983" i="5"/>
  <c r="H983" i="5"/>
  <c r="J983" i="5" s="1"/>
  <c r="G983" i="5"/>
  <c r="I982" i="5"/>
  <c r="H982" i="5"/>
  <c r="J982" i="5" s="1"/>
  <c r="G982" i="5"/>
  <c r="I981" i="5"/>
  <c r="H981" i="5"/>
  <c r="J981" i="5" s="1"/>
  <c r="G981" i="5"/>
  <c r="I980" i="5"/>
  <c r="H980" i="5"/>
  <c r="J980" i="5" s="1"/>
  <c r="G980" i="5"/>
  <c r="I979" i="5"/>
  <c r="H979" i="5"/>
  <c r="J979" i="5" s="1"/>
  <c r="G979" i="5"/>
  <c r="I978" i="5"/>
  <c r="H978" i="5"/>
  <c r="J978" i="5" s="1"/>
  <c r="G978" i="5"/>
  <c r="I977" i="5"/>
  <c r="H977" i="5"/>
  <c r="J977" i="5" s="1"/>
  <c r="G977" i="5"/>
  <c r="I976" i="5"/>
  <c r="H976" i="5"/>
  <c r="J976" i="5" s="1"/>
  <c r="G976" i="5"/>
  <c r="I975" i="5"/>
  <c r="H975" i="5"/>
  <c r="J975" i="5" s="1"/>
  <c r="G975" i="5"/>
  <c r="I974" i="5"/>
  <c r="H974" i="5"/>
  <c r="J974" i="5" s="1"/>
  <c r="G974" i="5"/>
  <c r="I973" i="5"/>
  <c r="H973" i="5"/>
  <c r="J973" i="5" s="1"/>
  <c r="G973" i="5"/>
  <c r="I972" i="5"/>
  <c r="H972" i="5"/>
  <c r="J972" i="5" s="1"/>
  <c r="G972" i="5"/>
  <c r="I971" i="5"/>
  <c r="H971" i="5"/>
  <c r="J971" i="5" s="1"/>
  <c r="G971" i="5"/>
  <c r="I970" i="5"/>
  <c r="H970" i="5"/>
  <c r="J970" i="5" s="1"/>
  <c r="G970" i="5"/>
  <c r="I969" i="5"/>
  <c r="H969" i="5"/>
  <c r="J969" i="5" s="1"/>
  <c r="G969" i="5"/>
  <c r="I968" i="5"/>
  <c r="H968" i="5"/>
  <c r="J968" i="5" s="1"/>
  <c r="G968" i="5"/>
  <c r="I967" i="5"/>
  <c r="H967" i="5"/>
  <c r="J967" i="5" s="1"/>
  <c r="G967" i="5"/>
  <c r="I966" i="5"/>
  <c r="H966" i="5"/>
  <c r="J966" i="5" s="1"/>
  <c r="G966" i="5"/>
  <c r="I965" i="5"/>
  <c r="H965" i="5"/>
  <c r="J965" i="5" s="1"/>
  <c r="G965" i="5"/>
  <c r="I964" i="5"/>
  <c r="H964" i="5"/>
  <c r="J964" i="5" s="1"/>
  <c r="G964" i="5"/>
  <c r="I963" i="5"/>
  <c r="H963" i="5"/>
  <c r="J963" i="5" s="1"/>
  <c r="G963" i="5"/>
  <c r="I962" i="5"/>
  <c r="H962" i="5"/>
  <c r="J962" i="5" s="1"/>
  <c r="G962" i="5"/>
  <c r="I961" i="5"/>
  <c r="H961" i="5"/>
  <c r="J961" i="5" s="1"/>
  <c r="G961" i="5"/>
  <c r="I960" i="5"/>
  <c r="H960" i="5"/>
  <c r="J960" i="5" s="1"/>
  <c r="G960" i="5"/>
  <c r="I959" i="5"/>
  <c r="H959" i="5"/>
  <c r="J959" i="5" s="1"/>
  <c r="G959" i="5"/>
  <c r="I958" i="5"/>
  <c r="H958" i="5"/>
  <c r="J958" i="5" s="1"/>
  <c r="G958" i="5"/>
  <c r="I957" i="5"/>
  <c r="H957" i="5"/>
  <c r="J957" i="5" s="1"/>
  <c r="G957" i="5"/>
  <c r="I956" i="5"/>
  <c r="H956" i="5"/>
  <c r="J956" i="5" s="1"/>
  <c r="G956" i="5"/>
  <c r="I955" i="5"/>
  <c r="H955" i="5"/>
  <c r="J955" i="5" s="1"/>
  <c r="G955" i="5"/>
  <c r="I954" i="5"/>
  <c r="H954" i="5"/>
  <c r="J954" i="5" s="1"/>
  <c r="G954" i="5"/>
  <c r="I953" i="5"/>
  <c r="H953" i="5"/>
  <c r="J953" i="5" s="1"/>
  <c r="G953" i="5"/>
  <c r="I952" i="5"/>
  <c r="H952" i="5"/>
  <c r="J952" i="5" s="1"/>
  <c r="G952" i="5"/>
  <c r="I951" i="5"/>
  <c r="H951" i="5"/>
  <c r="J951" i="5" s="1"/>
  <c r="G951" i="5"/>
  <c r="I950" i="5"/>
  <c r="H950" i="5"/>
  <c r="J950" i="5" s="1"/>
  <c r="G950" i="5"/>
  <c r="I949" i="5"/>
  <c r="H949" i="5"/>
  <c r="J949" i="5" s="1"/>
  <c r="G949" i="5"/>
  <c r="I948" i="5"/>
  <c r="H948" i="5"/>
  <c r="J948" i="5" s="1"/>
  <c r="G948" i="5"/>
  <c r="I947" i="5"/>
  <c r="H947" i="5"/>
  <c r="J947" i="5" s="1"/>
  <c r="G947" i="5"/>
  <c r="I946" i="5"/>
  <c r="H946" i="5"/>
  <c r="J946" i="5" s="1"/>
  <c r="G946" i="5"/>
  <c r="I945" i="5"/>
  <c r="H945" i="5"/>
  <c r="J945" i="5" s="1"/>
  <c r="G945" i="5"/>
  <c r="I944" i="5"/>
  <c r="H944" i="5"/>
  <c r="J944" i="5" s="1"/>
  <c r="G944" i="5"/>
  <c r="I943" i="5"/>
  <c r="H943" i="5"/>
  <c r="J943" i="5" s="1"/>
  <c r="G943" i="5"/>
  <c r="I942" i="5"/>
  <c r="H942" i="5"/>
  <c r="J942" i="5" s="1"/>
  <c r="G942" i="5"/>
  <c r="I941" i="5"/>
  <c r="H941" i="5"/>
  <c r="J941" i="5" s="1"/>
  <c r="G941" i="5"/>
  <c r="I940" i="5"/>
  <c r="H940" i="5"/>
  <c r="J940" i="5" s="1"/>
  <c r="G940" i="5"/>
  <c r="I939" i="5"/>
  <c r="H939" i="5"/>
  <c r="J939" i="5" s="1"/>
  <c r="G939" i="5"/>
  <c r="I938" i="5"/>
  <c r="H938" i="5"/>
  <c r="J938" i="5" s="1"/>
  <c r="G938" i="5"/>
  <c r="I937" i="5"/>
  <c r="H937" i="5"/>
  <c r="J937" i="5" s="1"/>
  <c r="G937" i="5"/>
  <c r="I936" i="5"/>
  <c r="H936" i="5"/>
  <c r="J936" i="5" s="1"/>
  <c r="G936" i="5"/>
  <c r="I935" i="5"/>
  <c r="H935" i="5"/>
  <c r="J935" i="5" s="1"/>
  <c r="G935" i="5"/>
  <c r="I934" i="5"/>
  <c r="H934" i="5"/>
  <c r="J934" i="5" s="1"/>
  <c r="G934" i="5"/>
  <c r="I933" i="5"/>
  <c r="H933" i="5"/>
  <c r="J933" i="5" s="1"/>
  <c r="G933" i="5"/>
  <c r="I932" i="5"/>
  <c r="H932" i="5"/>
  <c r="J932" i="5" s="1"/>
  <c r="G932" i="5"/>
  <c r="I931" i="5"/>
  <c r="H931" i="5"/>
  <c r="J931" i="5" s="1"/>
  <c r="G931" i="5"/>
  <c r="I930" i="5"/>
  <c r="H930" i="5"/>
  <c r="J930" i="5" s="1"/>
  <c r="G930" i="5"/>
  <c r="I929" i="5"/>
  <c r="H929" i="5"/>
  <c r="J929" i="5" s="1"/>
  <c r="G929" i="5"/>
  <c r="I928" i="5"/>
  <c r="H928" i="5"/>
  <c r="J928" i="5" s="1"/>
  <c r="G928" i="5"/>
  <c r="I927" i="5"/>
  <c r="H927" i="5"/>
  <c r="J927" i="5" s="1"/>
  <c r="G927" i="5"/>
  <c r="I926" i="5"/>
  <c r="H926" i="5"/>
  <c r="J926" i="5" s="1"/>
  <c r="G926" i="5"/>
  <c r="I925" i="5"/>
  <c r="H925" i="5"/>
  <c r="J925" i="5" s="1"/>
  <c r="G925" i="5"/>
  <c r="I924" i="5"/>
  <c r="H924" i="5"/>
  <c r="J924" i="5" s="1"/>
  <c r="G924" i="5"/>
  <c r="I923" i="5"/>
  <c r="H923" i="5"/>
  <c r="J923" i="5" s="1"/>
  <c r="G923" i="5"/>
  <c r="I922" i="5"/>
  <c r="H922" i="5"/>
  <c r="J922" i="5" s="1"/>
  <c r="G922" i="5"/>
  <c r="I921" i="5"/>
  <c r="H921" i="5"/>
  <c r="J921" i="5" s="1"/>
  <c r="G921" i="5"/>
  <c r="I920" i="5"/>
  <c r="H920" i="5"/>
  <c r="J920" i="5" s="1"/>
  <c r="G920" i="5"/>
  <c r="I919" i="5"/>
  <c r="H919" i="5"/>
  <c r="J919" i="5" s="1"/>
  <c r="G919" i="5"/>
  <c r="I918" i="5"/>
  <c r="H918" i="5"/>
  <c r="J918" i="5" s="1"/>
  <c r="G918" i="5"/>
  <c r="I917" i="5"/>
  <c r="H917" i="5"/>
  <c r="J917" i="5" s="1"/>
  <c r="G917" i="5"/>
  <c r="I916" i="5"/>
  <c r="H916" i="5"/>
  <c r="J916" i="5" s="1"/>
  <c r="G916" i="5"/>
  <c r="I915" i="5"/>
  <c r="H915" i="5"/>
  <c r="J915" i="5" s="1"/>
  <c r="G915" i="5"/>
  <c r="I914" i="5"/>
  <c r="H914" i="5"/>
  <c r="J914" i="5" s="1"/>
  <c r="G914" i="5"/>
  <c r="I913" i="5"/>
  <c r="H913" i="5"/>
  <c r="J913" i="5" s="1"/>
  <c r="G913" i="5"/>
  <c r="I912" i="5"/>
  <c r="H912" i="5"/>
  <c r="J912" i="5" s="1"/>
  <c r="G912" i="5"/>
  <c r="I911" i="5"/>
  <c r="H911" i="5"/>
  <c r="J911" i="5" s="1"/>
  <c r="G911" i="5"/>
  <c r="I910" i="5"/>
  <c r="H910" i="5"/>
  <c r="J910" i="5" s="1"/>
  <c r="G910" i="5"/>
  <c r="I909" i="5"/>
  <c r="H909" i="5"/>
  <c r="J909" i="5" s="1"/>
  <c r="G909" i="5"/>
  <c r="I908" i="5"/>
  <c r="H908" i="5"/>
  <c r="J908" i="5" s="1"/>
  <c r="G908" i="5"/>
  <c r="I907" i="5"/>
  <c r="H907" i="5"/>
  <c r="J907" i="5" s="1"/>
  <c r="G907" i="5"/>
  <c r="I906" i="5"/>
  <c r="H906" i="5"/>
  <c r="J906" i="5" s="1"/>
  <c r="G906" i="5"/>
  <c r="I905" i="5"/>
  <c r="H905" i="5"/>
  <c r="J905" i="5" s="1"/>
  <c r="G905" i="5"/>
  <c r="I904" i="5"/>
  <c r="H904" i="5"/>
  <c r="J904" i="5" s="1"/>
  <c r="G904" i="5"/>
  <c r="I903" i="5"/>
  <c r="H903" i="5"/>
  <c r="J903" i="5" s="1"/>
  <c r="G903" i="5"/>
  <c r="I902" i="5"/>
  <c r="H902" i="5"/>
  <c r="J902" i="5" s="1"/>
  <c r="G902" i="5"/>
  <c r="I901" i="5"/>
  <c r="H901" i="5"/>
  <c r="J901" i="5" s="1"/>
  <c r="G901" i="5"/>
  <c r="I900" i="5"/>
  <c r="H900" i="5"/>
  <c r="J900" i="5" s="1"/>
  <c r="G900" i="5"/>
  <c r="I899" i="5"/>
  <c r="H899" i="5"/>
  <c r="J899" i="5" s="1"/>
  <c r="G899" i="5"/>
  <c r="I898" i="5"/>
  <c r="H898" i="5"/>
  <c r="J898" i="5" s="1"/>
  <c r="G898" i="5"/>
  <c r="I897" i="5"/>
  <c r="H897" i="5"/>
  <c r="J897" i="5" s="1"/>
  <c r="G897" i="5"/>
  <c r="I896" i="5"/>
  <c r="H896" i="5"/>
  <c r="J896" i="5" s="1"/>
  <c r="G896" i="5"/>
  <c r="I895" i="5"/>
  <c r="H895" i="5"/>
  <c r="J895" i="5" s="1"/>
  <c r="G895" i="5"/>
  <c r="I894" i="5"/>
  <c r="H894" i="5"/>
  <c r="J894" i="5" s="1"/>
  <c r="G894" i="5"/>
  <c r="I893" i="5"/>
  <c r="H893" i="5"/>
  <c r="J893" i="5" s="1"/>
  <c r="G893" i="5"/>
  <c r="I892" i="5"/>
  <c r="H892" i="5"/>
  <c r="J892" i="5" s="1"/>
  <c r="G892" i="5"/>
  <c r="I891" i="5"/>
  <c r="H891" i="5"/>
  <c r="J891" i="5" s="1"/>
  <c r="G891" i="5"/>
  <c r="I890" i="5"/>
  <c r="H890" i="5"/>
  <c r="J890" i="5" s="1"/>
  <c r="G890" i="5"/>
  <c r="I889" i="5"/>
  <c r="H889" i="5"/>
  <c r="J889" i="5" s="1"/>
  <c r="G889" i="5"/>
  <c r="I888" i="5"/>
  <c r="H888" i="5"/>
  <c r="J888" i="5" s="1"/>
  <c r="G888" i="5"/>
  <c r="I887" i="5"/>
  <c r="H887" i="5"/>
  <c r="J887" i="5" s="1"/>
  <c r="G887" i="5"/>
  <c r="I886" i="5"/>
  <c r="H886" i="5"/>
  <c r="J886" i="5" s="1"/>
  <c r="G886" i="5"/>
  <c r="I885" i="5"/>
  <c r="H885" i="5"/>
  <c r="J885" i="5" s="1"/>
  <c r="G885" i="5"/>
  <c r="I884" i="5"/>
  <c r="H884" i="5"/>
  <c r="J884" i="5" s="1"/>
  <c r="G884" i="5"/>
  <c r="I883" i="5"/>
  <c r="H883" i="5"/>
  <c r="J883" i="5" s="1"/>
  <c r="G883" i="5"/>
  <c r="I882" i="5"/>
  <c r="H882" i="5"/>
  <c r="J882" i="5" s="1"/>
  <c r="G882" i="5"/>
  <c r="I881" i="5"/>
  <c r="H881" i="5"/>
  <c r="J881" i="5" s="1"/>
  <c r="G881" i="5"/>
  <c r="I880" i="5"/>
  <c r="H880" i="5"/>
  <c r="J880" i="5" s="1"/>
  <c r="G880" i="5"/>
  <c r="I879" i="5"/>
  <c r="H879" i="5"/>
  <c r="J879" i="5" s="1"/>
  <c r="G879" i="5"/>
  <c r="I878" i="5"/>
  <c r="H878" i="5"/>
  <c r="J878" i="5" s="1"/>
  <c r="G878" i="5"/>
  <c r="I877" i="5"/>
  <c r="H877" i="5"/>
  <c r="J877" i="5" s="1"/>
  <c r="G877" i="5"/>
  <c r="I876" i="5"/>
  <c r="H876" i="5"/>
  <c r="J876" i="5" s="1"/>
  <c r="G876" i="5"/>
  <c r="I875" i="5"/>
  <c r="H875" i="5"/>
  <c r="J875" i="5" s="1"/>
  <c r="G875" i="5"/>
  <c r="I874" i="5"/>
  <c r="H874" i="5"/>
  <c r="J874" i="5" s="1"/>
  <c r="G874" i="5"/>
  <c r="I873" i="5"/>
  <c r="H873" i="5"/>
  <c r="J873" i="5" s="1"/>
  <c r="G873" i="5"/>
  <c r="I872" i="5"/>
  <c r="H872" i="5"/>
  <c r="J872" i="5" s="1"/>
  <c r="G872" i="5"/>
  <c r="I871" i="5"/>
  <c r="H871" i="5"/>
  <c r="J871" i="5" s="1"/>
  <c r="G871" i="5"/>
  <c r="I870" i="5"/>
  <c r="H870" i="5"/>
  <c r="J870" i="5" s="1"/>
  <c r="G870" i="5"/>
  <c r="I869" i="5"/>
  <c r="H869" i="5"/>
  <c r="J869" i="5" s="1"/>
  <c r="G869" i="5"/>
  <c r="I868" i="5"/>
  <c r="H868" i="5"/>
  <c r="J868" i="5" s="1"/>
  <c r="G868" i="5"/>
  <c r="I867" i="5"/>
  <c r="H867" i="5"/>
  <c r="J867" i="5" s="1"/>
  <c r="G867" i="5"/>
  <c r="I866" i="5"/>
  <c r="H866" i="5"/>
  <c r="J866" i="5" s="1"/>
  <c r="G866" i="5"/>
  <c r="I865" i="5"/>
  <c r="H865" i="5"/>
  <c r="J865" i="5" s="1"/>
  <c r="G865" i="5"/>
  <c r="I864" i="5"/>
  <c r="H864" i="5"/>
  <c r="J864" i="5" s="1"/>
  <c r="G864" i="5"/>
  <c r="I863" i="5"/>
  <c r="H863" i="5"/>
  <c r="J863" i="5" s="1"/>
  <c r="G863" i="5"/>
  <c r="I862" i="5"/>
  <c r="H862" i="5"/>
  <c r="J862" i="5" s="1"/>
  <c r="G862" i="5"/>
  <c r="I861" i="5"/>
  <c r="H861" i="5"/>
  <c r="J861" i="5" s="1"/>
  <c r="G861" i="5"/>
  <c r="I860" i="5"/>
  <c r="H860" i="5"/>
  <c r="J860" i="5" s="1"/>
  <c r="G860" i="5"/>
  <c r="I859" i="5"/>
  <c r="H859" i="5"/>
  <c r="J859" i="5" s="1"/>
  <c r="G859" i="5"/>
  <c r="I858" i="5"/>
  <c r="H858" i="5"/>
  <c r="J858" i="5" s="1"/>
  <c r="G858" i="5"/>
  <c r="I857" i="5"/>
  <c r="H857" i="5"/>
  <c r="J857" i="5" s="1"/>
  <c r="G857" i="5"/>
  <c r="I856" i="5"/>
  <c r="H856" i="5"/>
  <c r="J856" i="5" s="1"/>
  <c r="G856" i="5"/>
  <c r="I855" i="5"/>
  <c r="H855" i="5"/>
  <c r="J855" i="5" s="1"/>
  <c r="G855" i="5"/>
  <c r="I854" i="5"/>
  <c r="H854" i="5"/>
  <c r="J854" i="5" s="1"/>
  <c r="G854" i="5"/>
  <c r="I853" i="5"/>
  <c r="H853" i="5"/>
  <c r="J853" i="5" s="1"/>
  <c r="G853" i="5"/>
  <c r="I852" i="5"/>
  <c r="H852" i="5"/>
  <c r="J852" i="5" s="1"/>
  <c r="G852" i="5"/>
  <c r="I851" i="5"/>
  <c r="H851" i="5"/>
  <c r="J851" i="5" s="1"/>
  <c r="G851" i="5"/>
  <c r="I850" i="5"/>
  <c r="H850" i="5"/>
  <c r="J850" i="5" s="1"/>
  <c r="G850" i="5"/>
  <c r="I849" i="5"/>
  <c r="H849" i="5"/>
  <c r="J849" i="5" s="1"/>
  <c r="G849" i="5"/>
  <c r="I848" i="5"/>
  <c r="H848" i="5"/>
  <c r="J848" i="5" s="1"/>
  <c r="G848" i="5"/>
  <c r="I847" i="5"/>
  <c r="H847" i="5"/>
  <c r="J847" i="5" s="1"/>
  <c r="G847" i="5"/>
  <c r="I846" i="5"/>
  <c r="H846" i="5"/>
  <c r="J846" i="5" s="1"/>
  <c r="G846" i="5"/>
  <c r="I845" i="5"/>
  <c r="H845" i="5"/>
  <c r="J845" i="5" s="1"/>
  <c r="G845" i="5"/>
  <c r="I844" i="5"/>
  <c r="H844" i="5"/>
  <c r="J844" i="5" s="1"/>
  <c r="G844" i="5"/>
  <c r="I843" i="5"/>
  <c r="H843" i="5"/>
  <c r="J843" i="5" s="1"/>
  <c r="G843" i="5"/>
  <c r="I842" i="5"/>
  <c r="H842" i="5"/>
  <c r="J842" i="5" s="1"/>
  <c r="G842" i="5"/>
  <c r="I841" i="5"/>
  <c r="H841" i="5"/>
  <c r="J841" i="5" s="1"/>
  <c r="G841" i="5"/>
  <c r="I840" i="5"/>
  <c r="H840" i="5"/>
  <c r="J840" i="5" s="1"/>
  <c r="G840" i="5"/>
  <c r="I839" i="5"/>
  <c r="H839" i="5"/>
  <c r="J839" i="5" s="1"/>
  <c r="G839" i="5"/>
  <c r="I838" i="5"/>
  <c r="H838" i="5"/>
  <c r="J838" i="5" s="1"/>
  <c r="G838" i="5"/>
  <c r="I837" i="5"/>
  <c r="H837" i="5"/>
  <c r="J837" i="5" s="1"/>
  <c r="G837" i="5"/>
  <c r="I836" i="5"/>
  <c r="H836" i="5"/>
  <c r="J836" i="5" s="1"/>
  <c r="G836" i="5"/>
  <c r="I835" i="5"/>
  <c r="H835" i="5"/>
  <c r="J835" i="5" s="1"/>
  <c r="G835" i="5"/>
  <c r="I834" i="5"/>
  <c r="H834" i="5"/>
  <c r="J834" i="5" s="1"/>
  <c r="G834" i="5"/>
  <c r="I833" i="5"/>
  <c r="H833" i="5"/>
  <c r="J833" i="5" s="1"/>
  <c r="G833" i="5"/>
  <c r="I832" i="5"/>
  <c r="H832" i="5"/>
  <c r="J832" i="5" s="1"/>
  <c r="G832" i="5"/>
  <c r="I831" i="5"/>
  <c r="H831" i="5"/>
  <c r="J831" i="5" s="1"/>
  <c r="G831" i="5"/>
  <c r="I830" i="5"/>
  <c r="H830" i="5"/>
  <c r="J830" i="5" s="1"/>
  <c r="G830" i="5"/>
  <c r="I829" i="5"/>
  <c r="H829" i="5"/>
  <c r="J829" i="5" s="1"/>
  <c r="G829" i="5"/>
  <c r="I828" i="5"/>
  <c r="H828" i="5"/>
  <c r="J828" i="5" s="1"/>
  <c r="G828" i="5"/>
  <c r="I827" i="5"/>
  <c r="H827" i="5"/>
  <c r="J827" i="5" s="1"/>
  <c r="G827" i="5"/>
  <c r="I826" i="5"/>
  <c r="H826" i="5"/>
  <c r="J826" i="5" s="1"/>
  <c r="G826" i="5"/>
  <c r="I825" i="5"/>
  <c r="H825" i="5"/>
  <c r="J825" i="5" s="1"/>
  <c r="G825" i="5"/>
  <c r="I824" i="5"/>
  <c r="H824" i="5"/>
  <c r="J824" i="5" s="1"/>
  <c r="G824" i="5"/>
  <c r="I823" i="5"/>
  <c r="H823" i="5"/>
  <c r="J823" i="5" s="1"/>
  <c r="G823" i="5"/>
  <c r="I822" i="5"/>
  <c r="H822" i="5"/>
  <c r="J822" i="5" s="1"/>
  <c r="G822" i="5"/>
  <c r="I821" i="5"/>
  <c r="H821" i="5"/>
  <c r="J821" i="5" s="1"/>
  <c r="G821" i="5"/>
  <c r="I820" i="5"/>
  <c r="H820" i="5"/>
  <c r="J820" i="5" s="1"/>
  <c r="G820" i="5"/>
  <c r="I819" i="5"/>
  <c r="H819" i="5"/>
  <c r="J819" i="5" s="1"/>
  <c r="G819" i="5"/>
  <c r="I818" i="5"/>
  <c r="H818" i="5"/>
  <c r="J818" i="5" s="1"/>
  <c r="G818" i="5"/>
  <c r="I817" i="5"/>
  <c r="H817" i="5"/>
  <c r="J817" i="5" s="1"/>
  <c r="G817" i="5"/>
  <c r="I816" i="5"/>
  <c r="H816" i="5"/>
  <c r="J816" i="5" s="1"/>
  <c r="G816" i="5"/>
  <c r="I815" i="5"/>
  <c r="H815" i="5"/>
  <c r="J815" i="5" s="1"/>
  <c r="G815" i="5"/>
  <c r="I814" i="5"/>
  <c r="H814" i="5"/>
  <c r="J814" i="5" s="1"/>
  <c r="G814" i="5"/>
  <c r="I813" i="5"/>
  <c r="H813" i="5"/>
  <c r="J813" i="5" s="1"/>
  <c r="G813" i="5"/>
  <c r="I812" i="5"/>
  <c r="H812" i="5"/>
  <c r="J812" i="5" s="1"/>
  <c r="G812" i="5"/>
  <c r="I811" i="5"/>
  <c r="H811" i="5"/>
  <c r="J811" i="5" s="1"/>
  <c r="G811" i="5"/>
  <c r="I810" i="5"/>
  <c r="H810" i="5"/>
  <c r="J810" i="5" s="1"/>
  <c r="G810" i="5"/>
  <c r="I809" i="5"/>
  <c r="H809" i="5"/>
  <c r="J809" i="5" s="1"/>
  <c r="G809" i="5"/>
  <c r="I808" i="5"/>
  <c r="H808" i="5"/>
  <c r="J808" i="5" s="1"/>
  <c r="G808" i="5"/>
  <c r="I807" i="5"/>
  <c r="H807" i="5"/>
  <c r="J807" i="5" s="1"/>
  <c r="G807" i="5"/>
  <c r="I806" i="5"/>
  <c r="H806" i="5"/>
  <c r="J806" i="5" s="1"/>
  <c r="G806" i="5"/>
  <c r="I805" i="5"/>
  <c r="H805" i="5"/>
  <c r="J805" i="5" s="1"/>
  <c r="G805" i="5"/>
  <c r="I804" i="5"/>
  <c r="H804" i="5"/>
  <c r="J804" i="5" s="1"/>
  <c r="G804" i="5"/>
  <c r="I803" i="5"/>
  <c r="H803" i="5"/>
  <c r="J803" i="5" s="1"/>
  <c r="G803" i="5"/>
  <c r="I802" i="5"/>
  <c r="H802" i="5"/>
  <c r="J802" i="5" s="1"/>
  <c r="G802" i="5"/>
  <c r="I801" i="5"/>
  <c r="H801" i="5"/>
  <c r="J801" i="5" s="1"/>
  <c r="G801" i="5"/>
  <c r="I800" i="5"/>
  <c r="H800" i="5"/>
  <c r="J800" i="5" s="1"/>
  <c r="G800" i="5"/>
  <c r="I799" i="5"/>
  <c r="H799" i="5"/>
  <c r="J799" i="5" s="1"/>
  <c r="G799" i="5"/>
  <c r="I798" i="5"/>
  <c r="H798" i="5"/>
  <c r="J798" i="5" s="1"/>
  <c r="G798" i="5"/>
  <c r="I797" i="5"/>
  <c r="H797" i="5"/>
  <c r="J797" i="5" s="1"/>
  <c r="G797" i="5"/>
  <c r="I796" i="5"/>
  <c r="H796" i="5"/>
  <c r="J796" i="5" s="1"/>
  <c r="G796" i="5"/>
  <c r="I795" i="5"/>
  <c r="H795" i="5"/>
  <c r="J795" i="5" s="1"/>
  <c r="G795" i="5"/>
  <c r="I794" i="5"/>
  <c r="H794" i="5"/>
  <c r="J794" i="5" s="1"/>
  <c r="G794" i="5"/>
  <c r="I793" i="5"/>
  <c r="H793" i="5"/>
  <c r="J793" i="5" s="1"/>
  <c r="G793" i="5"/>
  <c r="I792" i="5"/>
  <c r="H792" i="5"/>
  <c r="J792" i="5" s="1"/>
  <c r="G792" i="5"/>
  <c r="I791" i="5"/>
  <c r="H791" i="5"/>
  <c r="J791" i="5" s="1"/>
  <c r="G791" i="5"/>
  <c r="I790" i="5"/>
  <c r="H790" i="5"/>
  <c r="J790" i="5" s="1"/>
  <c r="G790" i="5"/>
  <c r="I789" i="5"/>
  <c r="H789" i="5"/>
  <c r="J789" i="5" s="1"/>
  <c r="G789" i="5"/>
  <c r="I788" i="5"/>
  <c r="H788" i="5"/>
  <c r="J788" i="5" s="1"/>
  <c r="G788" i="5"/>
  <c r="I787" i="5"/>
  <c r="H787" i="5"/>
  <c r="J787" i="5" s="1"/>
  <c r="G787" i="5"/>
  <c r="I786" i="5"/>
  <c r="H786" i="5"/>
  <c r="J786" i="5" s="1"/>
  <c r="G786" i="5"/>
  <c r="I785" i="5"/>
  <c r="H785" i="5"/>
  <c r="J785" i="5" s="1"/>
  <c r="G785" i="5"/>
  <c r="I784" i="5"/>
  <c r="H784" i="5"/>
  <c r="J784" i="5" s="1"/>
  <c r="G784" i="5"/>
  <c r="I783" i="5"/>
  <c r="H783" i="5"/>
  <c r="J783" i="5" s="1"/>
  <c r="G783" i="5"/>
  <c r="I782" i="5"/>
  <c r="H782" i="5"/>
  <c r="J782" i="5" s="1"/>
  <c r="G782" i="5"/>
  <c r="I781" i="5"/>
  <c r="H781" i="5"/>
  <c r="J781" i="5" s="1"/>
  <c r="G781" i="5"/>
  <c r="I780" i="5"/>
  <c r="H780" i="5"/>
  <c r="J780" i="5" s="1"/>
  <c r="G780" i="5"/>
  <c r="I779" i="5"/>
  <c r="H779" i="5"/>
  <c r="J779" i="5" s="1"/>
  <c r="G779" i="5"/>
  <c r="I778" i="5"/>
  <c r="H778" i="5"/>
  <c r="J778" i="5" s="1"/>
  <c r="G778" i="5"/>
  <c r="I777" i="5"/>
  <c r="H777" i="5"/>
  <c r="J777" i="5" s="1"/>
  <c r="G777" i="5"/>
  <c r="I776" i="5"/>
  <c r="H776" i="5"/>
  <c r="J776" i="5" s="1"/>
  <c r="G776" i="5"/>
  <c r="I775" i="5"/>
  <c r="H775" i="5"/>
  <c r="J775" i="5" s="1"/>
  <c r="G775" i="5"/>
  <c r="I774" i="5"/>
  <c r="H774" i="5"/>
  <c r="J774" i="5" s="1"/>
  <c r="G774" i="5"/>
  <c r="I773" i="5"/>
  <c r="H773" i="5"/>
  <c r="J773" i="5" s="1"/>
  <c r="G773" i="5"/>
  <c r="I772" i="5"/>
  <c r="H772" i="5"/>
  <c r="J772" i="5" s="1"/>
  <c r="G772" i="5"/>
  <c r="I771" i="5"/>
  <c r="H771" i="5"/>
  <c r="J771" i="5" s="1"/>
  <c r="G771" i="5"/>
  <c r="I770" i="5"/>
  <c r="H770" i="5"/>
  <c r="J770" i="5" s="1"/>
  <c r="G770" i="5"/>
  <c r="I769" i="5"/>
  <c r="H769" i="5"/>
  <c r="J769" i="5" s="1"/>
  <c r="G769" i="5"/>
  <c r="I768" i="5"/>
  <c r="H768" i="5"/>
  <c r="J768" i="5" s="1"/>
  <c r="G768" i="5"/>
  <c r="I767" i="5"/>
  <c r="H767" i="5"/>
  <c r="J767" i="5" s="1"/>
  <c r="G767" i="5"/>
  <c r="I766" i="5"/>
  <c r="H766" i="5"/>
  <c r="J766" i="5" s="1"/>
  <c r="G766" i="5"/>
  <c r="I765" i="5"/>
  <c r="H765" i="5"/>
  <c r="J765" i="5" s="1"/>
  <c r="G765" i="5"/>
  <c r="I764" i="5"/>
  <c r="H764" i="5"/>
  <c r="J764" i="5" s="1"/>
  <c r="G764" i="5"/>
  <c r="I763" i="5"/>
  <c r="H763" i="5"/>
  <c r="J763" i="5" s="1"/>
  <c r="G763" i="5"/>
  <c r="I762" i="5"/>
  <c r="H762" i="5"/>
  <c r="J762" i="5" s="1"/>
  <c r="G762" i="5"/>
  <c r="I761" i="5"/>
  <c r="H761" i="5"/>
  <c r="J761" i="5" s="1"/>
  <c r="G761" i="5"/>
  <c r="I760" i="5"/>
  <c r="H760" i="5"/>
  <c r="J760" i="5" s="1"/>
  <c r="G760" i="5"/>
  <c r="I759" i="5"/>
  <c r="H759" i="5"/>
  <c r="J759" i="5" s="1"/>
  <c r="G759" i="5"/>
  <c r="I758" i="5"/>
  <c r="H758" i="5"/>
  <c r="J758" i="5" s="1"/>
  <c r="G758" i="5"/>
  <c r="I757" i="5"/>
  <c r="H757" i="5"/>
  <c r="J757" i="5" s="1"/>
  <c r="G757" i="5"/>
  <c r="I756" i="5"/>
  <c r="H756" i="5"/>
  <c r="J756" i="5" s="1"/>
  <c r="G756" i="5"/>
  <c r="I755" i="5"/>
  <c r="H755" i="5"/>
  <c r="J755" i="5" s="1"/>
  <c r="G755" i="5"/>
  <c r="I754" i="5"/>
  <c r="H754" i="5"/>
  <c r="J754" i="5" s="1"/>
  <c r="G754" i="5"/>
  <c r="I753" i="5"/>
  <c r="H753" i="5"/>
  <c r="J753" i="5" s="1"/>
  <c r="G753" i="5"/>
  <c r="I752" i="5"/>
  <c r="H752" i="5"/>
  <c r="J752" i="5" s="1"/>
  <c r="G752" i="5"/>
  <c r="I751" i="5"/>
  <c r="H751" i="5"/>
  <c r="J751" i="5" s="1"/>
  <c r="G751" i="5"/>
  <c r="I750" i="5"/>
  <c r="H750" i="5"/>
  <c r="J750" i="5" s="1"/>
  <c r="G750" i="5"/>
  <c r="I749" i="5"/>
  <c r="H749" i="5"/>
  <c r="J749" i="5" s="1"/>
  <c r="G749" i="5"/>
  <c r="I748" i="5"/>
  <c r="H748" i="5"/>
  <c r="J748" i="5" s="1"/>
  <c r="G748" i="5"/>
  <c r="I747" i="5"/>
  <c r="H747" i="5"/>
  <c r="J747" i="5" s="1"/>
  <c r="G747" i="5"/>
  <c r="I746" i="5"/>
  <c r="H746" i="5"/>
  <c r="J746" i="5" s="1"/>
  <c r="G746" i="5"/>
  <c r="I745" i="5"/>
  <c r="H745" i="5"/>
  <c r="J745" i="5" s="1"/>
  <c r="G745" i="5"/>
  <c r="I744" i="5"/>
  <c r="H744" i="5"/>
  <c r="J744" i="5" s="1"/>
  <c r="G744" i="5"/>
  <c r="I743" i="5"/>
  <c r="H743" i="5"/>
  <c r="J743" i="5" s="1"/>
  <c r="G743" i="5"/>
  <c r="I742" i="5"/>
  <c r="H742" i="5"/>
  <c r="J742" i="5" s="1"/>
  <c r="G742" i="5"/>
  <c r="I741" i="5"/>
  <c r="H741" i="5"/>
  <c r="J741" i="5" s="1"/>
  <c r="G741" i="5"/>
  <c r="I740" i="5"/>
  <c r="H740" i="5"/>
  <c r="J740" i="5" s="1"/>
  <c r="G740" i="5"/>
  <c r="I739" i="5"/>
  <c r="H739" i="5"/>
  <c r="J739" i="5" s="1"/>
  <c r="G739" i="5"/>
  <c r="I738" i="5"/>
  <c r="H738" i="5"/>
  <c r="J738" i="5" s="1"/>
  <c r="G738" i="5"/>
  <c r="I737" i="5"/>
  <c r="H737" i="5"/>
  <c r="J737" i="5" s="1"/>
  <c r="G737" i="5"/>
  <c r="I736" i="5"/>
  <c r="H736" i="5"/>
  <c r="J736" i="5" s="1"/>
  <c r="G736" i="5"/>
  <c r="I735" i="5"/>
  <c r="H735" i="5"/>
  <c r="J735" i="5" s="1"/>
  <c r="G735" i="5"/>
  <c r="I734" i="5"/>
  <c r="H734" i="5"/>
  <c r="J734" i="5" s="1"/>
  <c r="G734" i="5"/>
  <c r="I733" i="5"/>
  <c r="H733" i="5"/>
  <c r="J733" i="5" s="1"/>
  <c r="G733" i="5"/>
  <c r="I732" i="5"/>
  <c r="H732" i="5"/>
  <c r="J732" i="5" s="1"/>
  <c r="G732" i="5"/>
  <c r="I731" i="5"/>
  <c r="H731" i="5"/>
  <c r="J731" i="5" s="1"/>
  <c r="G731" i="5"/>
  <c r="I730" i="5"/>
  <c r="H730" i="5"/>
  <c r="J730" i="5" s="1"/>
  <c r="G730" i="5"/>
  <c r="I729" i="5"/>
  <c r="H729" i="5"/>
  <c r="J729" i="5" s="1"/>
  <c r="G729" i="5"/>
  <c r="I728" i="5"/>
  <c r="H728" i="5"/>
  <c r="J728" i="5" s="1"/>
  <c r="G728" i="5"/>
  <c r="I727" i="5"/>
  <c r="H727" i="5"/>
  <c r="J727" i="5" s="1"/>
  <c r="G727" i="5"/>
  <c r="I726" i="5"/>
  <c r="H726" i="5"/>
  <c r="J726" i="5" s="1"/>
  <c r="G726" i="5"/>
  <c r="I725" i="5"/>
  <c r="H725" i="5"/>
  <c r="J725" i="5" s="1"/>
  <c r="G725" i="5"/>
  <c r="I724" i="5"/>
  <c r="H724" i="5"/>
  <c r="J724" i="5" s="1"/>
  <c r="G724" i="5"/>
  <c r="I723" i="5"/>
  <c r="H723" i="5"/>
  <c r="J723" i="5" s="1"/>
  <c r="G723" i="5"/>
  <c r="I722" i="5"/>
  <c r="H722" i="5"/>
  <c r="J722" i="5" s="1"/>
  <c r="G722" i="5"/>
  <c r="I721" i="5"/>
  <c r="H721" i="5"/>
  <c r="J721" i="5" s="1"/>
  <c r="G721" i="5"/>
  <c r="I720" i="5"/>
  <c r="H720" i="5"/>
  <c r="J720" i="5" s="1"/>
  <c r="G720" i="5"/>
  <c r="I719" i="5"/>
  <c r="H719" i="5"/>
  <c r="J719" i="5" s="1"/>
  <c r="G719" i="5"/>
  <c r="I718" i="5"/>
  <c r="H718" i="5"/>
  <c r="J718" i="5" s="1"/>
  <c r="G718" i="5"/>
  <c r="I717" i="5"/>
  <c r="H717" i="5"/>
  <c r="J717" i="5" s="1"/>
  <c r="G717" i="5"/>
  <c r="I716" i="5"/>
  <c r="H716" i="5"/>
  <c r="J716" i="5" s="1"/>
  <c r="G716" i="5"/>
  <c r="I715" i="5"/>
  <c r="H715" i="5"/>
  <c r="J715" i="5" s="1"/>
  <c r="G715" i="5"/>
  <c r="I714" i="5"/>
  <c r="H714" i="5"/>
  <c r="J714" i="5" s="1"/>
  <c r="G714" i="5"/>
  <c r="I713" i="5"/>
  <c r="H713" i="5"/>
  <c r="J713" i="5" s="1"/>
  <c r="G713" i="5"/>
  <c r="I712" i="5"/>
  <c r="H712" i="5"/>
  <c r="J712" i="5" s="1"/>
  <c r="G712" i="5"/>
  <c r="I711" i="5"/>
  <c r="H711" i="5"/>
  <c r="J711" i="5" s="1"/>
  <c r="G711" i="5"/>
  <c r="I710" i="5"/>
  <c r="H710" i="5"/>
  <c r="J710" i="5" s="1"/>
  <c r="G710" i="5"/>
  <c r="I709" i="5"/>
  <c r="H709" i="5"/>
  <c r="J709" i="5" s="1"/>
  <c r="G709" i="5"/>
  <c r="I708" i="5"/>
  <c r="H708" i="5"/>
  <c r="J708" i="5" s="1"/>
  <c r="G708" i="5"/>
  <c r="I707" i="5"/>
  <c r="H707" i="5"/>
  <c r="J707" i="5" s="1"/>
  <c r="G707" i="5"/>
  <c r="I706" i="5"/>
  <c r="H706" i="5"/>
  <c r="J706" i="5" s="1"/>
  <c r="G706" i="5"/>
  <c r="I705" i="5"/>
  <c r="H705" i="5"/>
  <c r="J705" i="5" s="1"/>
  <c r="G705" i="5"/>
  <c r="I704" i="5"/>
  <c r="H704" i="5"/>
  <c r="J704" i="5" s="1"/>
  <c r="G704" i="5"/>
  <c r="I703" i="5"/>
  <c r="H703" i="5"/>
  <c r="J703" i="5" s="1"/>
  <c r="G703" i="5"/>
  <c r="I702" i="5"/>
  <c r="H702" i="5"/>
  <c r="J702" i="5" s="1"/>
  <c r="G702" i="5"/>
  <c r="I701" i="5"/>
  <c r="H701" i="5"/>
  <c r="J701" i="5" s="1"/>
  <c r="G701" i="5"/>
  <c r="I700" i="5"/>
  <c r="H700" i="5"/>
  <c r="J700" i="5" s="1"/>
  <c r="G700" i="5"/>
  <c r="I699" i="5"/>
  <c r="H699" i="5"/>
  <c r="J699" i="5" s="1"/>
  <c r="G699" i="5"/>
  <c r="I698" i="5"/>
  <c r="H698" i="5"/>
  <c r="J698" i="5" s="1"/>
  <c r="G698" i="5"/>
  <c r="I697" i="5"/>
  <c r="H697" i="5"/>
  <c r="J697" i="5" s="1"/>
  <c r="G697" i="5"/>
  <c r="I696" i="5"/>
  <c r="H696" i="5"/>
  <c r="J696" i="5" s="1"/>
  <c r="G696" i="5"/>
  <c r="I695" i="5"/>
  <c r="H695" i="5"/>
  <c r="J695" i="5" s="1"/>
  <c r="G695" i="5"/>
  <c r="I694" i="5"/>
  <c r="H694" i="5"/>
  <c r="J694" i="5" s="1"/>
  <c r="G694" i="5"/>
  <c r="I693" i="5"/>
  <c r="H693" i="5"/>
  <c r="J693" i="5" s="1"/>
  <c r="G693" i="5"/>
  <c r="I692" i="5"/>
  <c r="H692" i="5"/>
  <c r="J692" i="5" s="1"/>
  <c r="G692" i="5"/>
  <c r="I691" i="5"/>
  <c r="H691" i="5"/>
  <c r="J691" i="5" s="1"/>
  <c r="G691" i="5"/>
  <c r="I690" i="5"/>
  <c r="H690" i="5"/>
  <c r="J690" i="5" s="1"/>
  <c r="G690" i="5"/>
  <c r="I689" i="5"/>
  <c r="H689" i="5"/>
  <c r="J689" i="5" s="1"/>
  <c r="G689" i="5"/>
  <c r="I688" i="5"/>
  <c r="H688" i="5"/>
  <c r="J688" i="5" s="1"/>
  <c r="G688" i="5"/>
  <c r="I687" i="5"/>
  <c r="H687" i="5"/>
  <c r="J687" i="5" s="1"/>
  <c r="G687" i="5"/>
  <c r="I686" i="5"/>
  <c r="H686" i="5"/>
  <c r="J686" i="5" s="1"/>
  <c r="G686" i="5"/>
  <c r="I685" i="5"/>
  <c r="H685" i="5"/>
  <c r="J685" i="5" s="1"/>
  <c r="G685" i="5"/>
  <c r="I684" i="5"/>
  <c r="H684" i="5"/>
  <c r="J684" i="5" s="1"/>
  <c r="G684" i="5"/>
  <c r="I683" i="5"/>
  <c r="H683" i="5"/>
  <c r="J683" i="5" s="1"/>
  <c r="G683" i="5"/>
  <c r="I682" i="5"/>
  <c r="H682" i="5"/>
  <c r="J682" i="5" s="1"/>
  <c r="G682" i="5"/>
  <c r="I681" i="5"/>
  <c r="H681" i="5"/>
  <c r="J681" i="5" s="1"/>
  <c r="G681" i="5"/>
  <c r="I680" i="5"/>
  <c r="H680" i="5"/>
  <c r="J680" i="5" s="1"/>
  <c r="G680" i="5"/>
  <c r="I679" i="5"/>
  <c r="H679" i="5"/>
  <c r="J679" i="5" s="1"/>
  <c r="G679" i="5"/>
  <c r="I678" i="5"/>
  <c r="H678" i="5"/>
  <c r="J678" i="5" s="1"/>
  <c r="G678" i="5"/>
  <c r="I677" i="5"/>
  <c r="H677" i="5"/>
  <c r="J677" i="5" s="1"/>
  <c r="G677" i="5"/>
  <c r="I676" i="5"/>
  <c r="H676" i="5"/>
  <c r="J676" i="5" s="1"/>
  <c r="G676" i="5"/>
  <c r="I675" i="5"/>
  <c r="H675" i="5"/>
  <c r="J675" i="5" s="1"/>
  <c r="G675" i="5"/>
  <c r="I674" i="5"/>
  <c r="H674" i="5"/>
  <c r="J674" i="5" s="1"/>
  <c r="G674" i="5"/>
  <c r="I673" i="5"/>
  <c r="H673" i="5"/>
  <c r="J673" i="5" s="1"/>
  <c r="G673" i="5"/>
  <c r="I672" i="5"/>
  <c r="H672" i="5"/>
  <c r="J672" i="5" s="1"/>
  <c r="G672" i="5"/>
  <c r="I671" i="5"/>
  <c r="H671" i="5"/>
  <c r="J671" i="5" s="1"/>
  <c r="G671" i="5"/>
  <c r="I670" i="5"/>
  <c r="H670" i="5"/>
  <c r="J670" i="5" s="1"/>
  <c r="G670" i="5"/>
  <c r="I669" i="5"/>
  <c r="H669" i="5"/>
  <c r="J669" i="5" s="1"/>
  <c r="G669" i="5"/>
  <c r="I668" i="5"/>
  <c r="H668" i="5"/>
  <c r="J668" i="5" s="1"/>
  <c r="G668" i="5"/>
  <c r="I667" i="5"/>
  <c r="H667" i="5"/>
  <c r="J667" i="5" s="1"/>
  <c r="G667" i="5"/>
  <c r="I666" i="5"/>
  <c r="H666" i="5"/>
  <c r="J666" i="5" s="1"/>
  <c r="G666" i="5"/>
  <c r="I665" i="5"/>
  <c r="H665" i="5"/>
  <c r="J665" i="5" s="1"/>
  <c r="G665" i="5"/>
  <c r="I664" i="5"/>
  <c r="H664" i="5"/>
  <c r="J664" i="5" s="1"/>
  <c r="G664" i="5"/>
  <c r="I663" i="5"/>
  <c r="H663" i="5"/>
  <c r="J663" i="5" s="1"/>
  <c r="G663" i="5"/>
  <c r="I662" i="5"/>
  <c r="H662" i="5"/>
  <c r="J662" i="5" s="1"/>
  <c r="G662" i="5"/>
  <c r="I661" i="5"/>
  <c r="H661" i="5"/>
  <c r="J661" i="5" s="1"/>
  <c r="G661" i="5"/>
  <c r="I660" i="5"/>
  <c r="H660" i="5"/>
  <c r="J660" i="5" s="1"/>
  <c r="G660" i="5"/>
  <c r="I659" i="5"/>
  <c r="H659" i="5"/>
  <c r="J659" i="5" s="1"/>
  <c r="G659" i="5"/>
  <c r="I658" i="5"/>
  <c r="H658" i="5"/>
  <c r="J658" i="5" s="1"/>
  <c r="G658" i="5"/>
  <c r="I657" i="5"/>
  <c r="H657" i="5"/>
  <c r="J657" i="5" s="1"/>
  <c r="G657" i="5"/>
  <c r="I656" i="5"/>
  <c r="H656" i="5"/>
  <c r="J656" i="5" s="1"/>
  <c r="G656" i="5"/>
  <c r="I655" i="5"/>
  <c r="H655" i="5"/>
  <c r="J655" i="5" s="1"/>
  <c r="G655" i="5"/>
  <c r="I654" i="5"/>
  <c r="H654" i="5"/>
  <c r="J654" i="5" s="1"/>
  <c r="G654" i="5"/>
  <c r="I653" i="5"/>
  <c r="H653" i="5"/>
  <c r="J653" i="5" s="1"/>
  <c r="G653" i="5"/>
  <c r="I652" i="5"/>
  <c r="H652" i="5"/>
  <c r="J652" i="5" s="1"/>
  <c r="G652" i="5"/>
  <c r="I651" i="5"/>
  <c r="H651" i="5"/>
  <c r="J651" i="5" s="1"/>
  <c r="G651" i="5"/>
  <c r="I650" i="5"/>
  <c r="H650" i="5"/>
  <c r="J650" i="5" s="1"/>
  <c r="G650" i="5"/>
  <c r="I649" i="5"/>
  <c r="H649" i="5"/>
  <c r="J649" i="5" s="1"/>
  <c r="G649" i="5"/>
  <c r="I648" i="5"/>
  <c r="H648" i="5"/>
  <c r="J648" i="5" s="1"/>
  <c r="G648" i="5"/>
  <c r="I647" i="5"/>
  <c r="H647" i="5"/>
  <c r="J647" i="5" s="1"/>
  <c r="G647" i="5"/>
  <c r="I646" i="5"/>
  <c r="H646" i="5"/>
  <c r="J646" i="5" s="1"/>
  <c r="G646" i="5"/>
  <c r="I645" i="5"/>
  <c r="H645" i="5"/>
  <c r="J645" i="5" s="1"/>
  <c r="G645" i="5"/>
  <c r="I644" i="5"/>
  <c r="H644" i="5"/>
  <c r="J644" i="5" s="1"/>
  <c r="G644" i="5"/>
  <c r="I643" i="5"/>
  <c r="H643" i="5"/>
  <c r="J643" i="5" s="1"/>
  <c r="G643" i="5"/>
  <c r="I642" i="5"/>
  <c r="H642" i="5"/>
  <c r="J642" i="5" s="1"/>
  <c r="G642" i="5"/>
  <c r="I641" i="5"/>
  <c r="H641" i="5"/>
  <c r="J641" i="5" s="1"/>
  <c r="G641" i="5"/>
  <c r="I640" i="5"/>
  <c r="H640" i="5"/>
  <c r="J640" i="5" s="1"/>
  <c r="G640" i="5"/>
  <c r="I639" i="5"/>
  <c r="H639" i="5"/>
  <c r="J639" i="5" s="1"/>
  <c r="G639" i="5"/>
  <c r="I638" i="5"/>
  <c r="H638" i="5"/>
  <c r="J638" i="5" s="1"/>
  <c r="G638" i="5"/>
  <c r="I637" i="5"/>
  <c r="H637" i="5"/>
  <c r="J637" i="5" s="1"/>
  <c r="G637" i="5"/>
  <c r="I636" i="5"/>
  <c r="H636" i="5"/>
  <c r="J636" i="5" s="1"/>
  <c r="G636" i="5"/>
  <c r="I635" i="5"/>
  <c r="H635" i="5"/>
  <c r="J635" i="5" s="1"/>
  <c r="G635" i="5"/>
  <c r="I634" i="5"/>
  <c r="H634" i="5"/>
  <c r="J634" i="5" s="1"/>
  <c r="G634" i="5"/>
  <c r="I633" i="5"/>
  <c r="H633" i="5"/>
  <c r="J633" i="5" s="1"/>
  <c r="G633" i="5"/>
  <c r="I632" i="5"/>
  <c r="H632" i="5"/>
  <c r="J632" i="5" s="1"/>
  <c r="G632" i="5"/>
  <c r="I631" i="5"/>
  <c r="H631" i="5"/>
  <c r="J631" i="5" s="1"/>
  <c r="G631" i="5"/>
  <c r="I630" i="5"/>
  <c r="H630" i="5"/>
  <c r="J630" i="5" s="1"/>
  <c r="G630" i="5"/>
  <c r="I629" i="5"/>
  <c r="H629" i="5"/>
  <c r="J629" i="5" s="1"/>
  <c r="G629" i="5"/>
  <c r="I628" i="5"/>
  <c r="H628" i="5"/>
  <c r="J628" i="5" s="1"/>
  <c r="G628" i="5"/>
  <c r="I627" i="5"/>
  <c r="H627" i="5"/>
  <c r="J627" i="5" s="1"/>
  <c r="G627" i="5"/>
  <c r="I626" i="5"/>
  <c r="H626" i="5"/>
  <c r="J626" i="5" s="1"/>
  <c r="G626" i="5"/>
  <c r="I625" i="5"/>
  <c r="H625" i="5"/>
  <c r="J625" i="5" s="1"/>
  <c r="G625" i="5"/>
  <c r="I624" i="5"/>
  <c r="H624" i="5"/>
  <c r="J624" i="5" s="1"/>
  <c r="G624" i="5"/>
  <c r="I623" i="5"/>
  <c r="H623" i="5"/>
  <c r="J623" i="5" s="1"/>
  <c r="G623" i="5"/>
  <c r="I622" i="5"/>
  <c r="H622" i="5"/>
  <c r="J622" i="5" s="1"/>
  <c r="G622" i="5"/>
  <c r="I621" i="5"/>
  <c r="H621" i="5"/>
  <c r="J621" i="5" s="1"/>
  <c r="G621" i="5"/>
  <c r="I620" i="5"/>
  <c r="H620" i="5"/>
  <c r="J620" i="5" s="1"/>
  <c r="G620" i="5"/>
  <c r="I619" i="5"/>
  <c r="H619" i="5"/>
  <c r="J619" i="5" s="1"/>
  <c r="G619" i="5"/>
  <c r="I618" i="5"/>
  <c r="H618" i="5"/>
  <c r="J618" i="5" s="1"/>
  <c r="G618" i="5"/>
  <c r="I617" i="5"/>
  <c r="H617" i="5"/>
  <c r="J617" i="5" s="1"/>
  <c r="G617" i="5"/>
  <c r="I616" i="5"/>
  <c r="H616" i="5"/>
  <c r="J616" i="5" s="1"/>
  <c r="G616" i="5"/>
  <c r="I615" i="5"/>
  <c r="H615" i="5"/>
  <c r="J615" i="5" s="1"/>
  <c r="G615" i="5"/>
  <c r="I614" i="5"/>
  <c r="H614" i="5"/>
  <c r="J614" i="5" s="1"/>
  <c r="G614" i="5"/>
  <c r="I613" i="5"/>
  <c r="H613" i="5"/>
  <c r="J613" i="5" s="1"/>
  <c r="G613" i="5"/>
  <c r="I612" i="5"/>
  <c r="H612" i="5"/>
  <c r="J612" i="5" s="1"/>
  <c r="G612" i="5"/>
  <c r="I611" i="5"/>
  <c r="H611" i="5"/>
  <c r="J611" i="5" s="1"/>
  <c r="G611" i="5"/>
  <c r="I610" i="5"/>
  <c r="H610" i="5"/>
  <c r="J610" i="5" s="1"/>
  <c r="G610" i="5"/>
  <c r="I609" i="5"/>
  <c r="H609" i="5"/>
  <c r="J609" i="5" s="1"/>
  <c r="G609" i="5"/>
  <c r="I608" i="5"/>
  <c r="H608" i="5"/>
  <c r="J608" i="5" s="1"/>
  <c r="G608" i="5"/>
  <c r="I607" i="5"/>
  <c r="H607" i="5"/>
  <c r="J607" i="5" s="1"/>
  <c r="G607" i="5"/>
  <c r="I606" i="5"/>
  <c r="H606" i="5"/>
  <c r="J606" i="5" s="1"/>
  <c r="G606" i="5"/>
  <c r="I605" i="5"/>
  <c r="H605" i="5"/>
  <c r="J605" i="5" s="1"/>
  <c r="G605" i="5"/>
  <c r="I604" i="5"/>
  <c r="H604" i="5"/>
  <c r="J604" i="5" s="1"/>
  <c r="G604" i="5"/>
  <c r="I603" i="5"/>
  <c r="H603" i="5"/>
  <c r="J603" i="5" s="1"/>
  <c r="G603" i="5"/>
  <c r="I602" i="5"/>
  <c r="H602" i="5"/>
  <c r="J602" i="5" s="1"/>
  <c r="G602" i="5"/>
  <c r="I601" i="5"/>
  <c r="H601" i="5"/>
  <c r="J601" i="5" s="1"/>
  <c r="G601" i="5"/>
  <c r="I600" i="5"/>
  <c r="H600" i="5"/>
  <c r="J600" i="5" s="1"/>
  <c r="G600" i="5"/>
  <c r="I599" i="5"/>
  <c r="H599" i="5"/>
  <c r="J599" i="5" s="1"/>
  <c r="G599" i="5"/>
  <c r="I598" i="5"/>
  <c r="H598" i="5"/>
  <c r="J598" i="5" s="1"/>
  <c r="G598" i="5"/>
  <c r="I597" i="5"/>
  <c r="H597" i="5"/>
  <c r="J597" i="5" s="1"/>
  <c r="G597" i="5"/>
  <c r="I596" i="5"/>
  <c r="H596" i="5"/>
  <c r="J596" i="5" s="1"/>
  <c r="G596" i="5"/>
  <c r="I595" i="5"/>
  <c r="H595" i="5"/>
  <c r="J595" i="5" s="1"/>
  <c r="G595" i="5"/>
  <c r="I594" i="5"/>
  <c r="H594" i="5"/>
  <c r="J594" i="5" s="1"/>
  <c r="G594" i="5"/>
  <c r="I593" i="5"/>
  <c r="H593" i="5"/>
  <c r="J593" i="5" s="1"/>
  <c r="G593" i="5"/>
  <c r="I592" i="5"/>
  <c r="H592" i="5"/>
  <c r="J592" i="5" s="1"/>
  <c r="G592" i="5"/>
  <c r="I591" i="5"/>
  <c r="H591" i="5"/>
  <c r="J591" i="5" s="1"/>
  <c r="G591" i="5"/>
  <c r="I590" i="5"/>
  <c r="H590" i="5"/>
  <c r="J590" i="5" s="1"/>
  <c r="G590" i="5"/>
  <c r="I589" i="5"/>
  <c r="H589" i="5"/>
  <c r="J589" i="5" s="1"/>
  <c r="G589" i="5"/>
  <c r="I588" i="5"/>
  <c r="H588" i="5"/>
  <c r="J588" i="5" s="1"/>
  <c r="G588" i="5"/>
  <c r="I587" i="5"/>
  <c r="H587" i="5"/>
  <c r="J587" i="5" s="1"/>
  <c r="G587" i="5"/>
  <c r="I586" i="5"/>
  <c r="H586" i="5"/>
  <c r="J586" i="5" s="1"/>
  <c r="G586" i="5"/>
  <c r="I585" i="5"/>
  <c r="H585" i="5"/>
  <c r="J585" i="5" s="1"/>
  <c r="G585" i="5"/>
  <c r="I584" i="5"/>
  <c r="H584" i="5"/>
  <c r="J584" i="5" s="1"/>
  <c r="G584" i="5"/>
  <c r="I583" i="5"/>
  <c r="H583" i="5"/>
  <c r="J583" i="5" s="1"/>
  <c r="G583" i="5"/>
  <c r="I582" i="5"/>
  <c r="H582" i="5"/>
  <c r="J582" i="5" s="1"/>
  <c r="G582" i="5"/>
  <c r="I581" i="5"/>
  <c r="H581" i="5"/>
  <c r="J581" i="5" s="1"/>
  <c r="G581" i="5"/>
  <c r="I580" i="5"/>
  <c r="H580" i="5"/>
  <c r="J580" i="5" s="1"/>
  <c r="G580" i="5"/>
  <c r="I579" i="5"/>
  <c r="H579" i="5"/>
  <c r="J579" i="5" s="1"/>
  <c r="G579" i="5"/>
  <c r="I578" i="5"/>
  <c r="H578" i="5"/>
  <c r="J578" i="5" s="1"/>
  <c r="G578" i="5"/>
  <c r="I577" i="5"/>
  <c r="H577" i="5"/>
  <c r="J577" i="5" s="1"/>
  <c r="G577" i="5"/>
  <c r="I576" i="5"/>
  <c r="H576" i="5"/>
  <c r="J576" i="5" s="1"/>
  <c r="G576" i="5"/>
  <c r="I575" i="5"/>
  <c r="H575" i="5"/>
  <c r="J575" i="5" s="1"/>
  <c r="G575" i="5"/>
  <c r="I574" i="5"/>
  <c r="H574" i="5"/>
  <c r="J574" i="5" s="1"/>
  <c r="G574" i="5"/>
  <c r="I573" i="5"/>
  <c r="H573" i="5"/>
  <c r="J573" i="5" s="1"/>
  <c r="G573" i="5"/>
  <c r="I572" i="5"/>
  <c r="H572" i="5"/>
  <c r="J572" i="5" s="1"/>
  <c r="G572" i="5"/>
  <c r="I571" i="5"/>
  <c r="H571" i="5"/>
  <c r="J571" i="5" s="1"/>
  <c r="G571" i="5"/>
  <c r="I570" i="5"/>
  <c r="H570" i="5"/>
  <c r="J570" i="5" s="1"/>
  <c r="G570" i="5"/>
  <c r="I569" i="5"/>
  <c r="H569" i="5"/>
  <c r="J569" i="5" s="1"/>
  <c r="G569" i="5"/>
  <c r="I568" i="5"/>
  <c r="H568" i="5"/>
  <c r="J568" i="5" s="1"/>
  <c r="G568" i="5"/>
  <c r="I567" i="5"/>
  <c r="H567" i="5"/>
  <c r="J567" i="5" s="1"/>
  <c r="G567" i="5"/>
  <c r="I566" i="5"/>
  <c r="H566" i="5"/>
  <c r="J566" i="5" s="1"/>
  <c r="G566" i="5"/>
  <c r="I565" i="5"/>
  <c r="H565" i="5"/>
  <c r="J565" i="5" s="1"/>
  <c r="G565" i="5"/>
  <c r="I564" i="5"/>
  <c r="H564" i="5"/>
  <c r="J564" i="5" s="1"/>
  <c r="G564" i="5"/>
  <c r="I563" i="5"/>
  <c r="H563" i="5"/>
  <c r="J563" i="5" s="1"/>
  <c r="G563" i="5"/>
  <c r="I562" i="5"/>
  <c r="H562" i="5"/>
  <c r="J562" i="5" s="1"/>
  <c r="G562" i="5"/>
  <c r="I561" i="5"/>
  <c r="H561" i="5"/>
  <c r="J561" i="5" s="1"/>
  <c r="G561" i="5"/>
  <c r="I560" i="5"/>
  <c r="H560" i="5"/>
  <c r="J560" i="5" s="1"/>
  <c r="G560" i="5"/>
  <c r="I559" i="5"/>
  <c r="H559" i="5"/>
  <c r="J559" i="5" s="1"/>
  <c r="G559" i="5"/>
  <c r="I558" i="5"/>
  <c r="H558" i="5"/>
  <c r="J558" i="5" s="1"/>
  <c r="G558" i="5"/>
  <c r="I557" i="5"/>
  <c r="H557" i="5"/>
  <c r="J557" i="5" s="1"/>
  <c r="G557" i="5"/>
  <c r="I556" i="5"/>
  <c r="H556" i="5"/>
  <c r="J556" i="5" s="1"/>
  <c r="G556" i="5"/>
  <c r="I555" i="5"/>
  <c r="H555" i="5"/>
  <c r="J555" i="5" s="1"/>
  <c r="G555" i="5"/>
  <c r="I554" i="5"/>
  <c r="H554" i="5"/>
  <c r="J554" i="5" s="1"/>
  <c r="G554" i="5"/>
  <c r="I553" i="5"/>
  <c r="H553" i="5"/>
  <c r="J553" i="5" s="1"/>
  <c r="G553" i="5"/>
  <c r="I552" i="5"/>
  <c r="H552" i="5"/>
  <c r="J552" i="5" s="1"/>
  <c r="G552" i="5"/>
  <c r="I551" i="5"/>
  <c r="H551" i="5"/>
  <c r="J551" i="5" s="1"/>
  <c r="G551" i="5"/>
  <c r="I550" i="5"/>
  <c r="H550" i="5"/>
  <c r="J550" i="5" s="1"/>
  <c r="G550" i="5"/>
  <c r="I549" i="5"/>
  <c r="H549" i="5"/>
  <c r="J549" i="5" s="1"/>
  <c r="G549" i="5"/>
  <c r="I548" i="5"/>
  <c r="H548" i="5"/>
  <c r="J548" i="5" s="1"/>
  <c r="G548" i="5"/>
  <c r="I547" i="5"/>
  <c r="H547" i="5"/>
  <c r="J547" i="5" s="1"/>
  <c r="G547" i="5"/>
  <c r="I546" i="5"/>
  <c r="H546" i="5"/>
  <c r="J546" i="5" s="1"/>
  <c r="G546" i="5"/>
  <c r="I545" i="5"/>
  <c r="H545" i="5"/>
  <c r="J545" i="5" s="1"/>
  <c r="G545" i="5"/>
  <c r="I544" i="5"/>
  <c r="H544" i="5"/>
  <c r="J544" i="5" s="1"/>
  <c r="G544" i="5"/>
  <c r="I543" i="5"/>
  <c r="H543" i="5"/>
  <c r="J543" i="5" s="1"/>
  <c r="G543" i="5"/>
  <c r="I542" i="5"/>
  <c r="H542" i="5"/>
  <c r="J542" i="5" s="1"/>
  <c r="G542" i="5"/>
  <c r="I541" i="5"/>
  <c r="H541" i="5"/>
  <c r="J541" i="5" s="1"/>
  <c r="G541" i="5"/>
  <c r="I540" i="5"/>
  <c r="H540" i="5"/>
  <c r="J540" i="5" s="1"/>
  <c r="G540" i="5"/>
  <c r="I539" i="5"/>
  <c r="H539" i="5"/>
  <c r="J539" i="5" s="1"/>
  <c r="G539" i="5"/>
  <c r="I538" i="5"/>
  <c r="H538" i="5"/>
  <c r="J538" i="5" s="1"/>
  <c r="G538" i="5"/>
  <c r="I537" i="5"/>
  <c r="H537" i="5"/>
  <c r="J537" i="5" s="1"/>
  <c r="G537" i="5"/>
  <c r="I536" i="5"/>
  <c r="H536" i="5"/>
  <c r="J536" i="5" s="1"/>
  <c r="G536" i="5"/>
  <c r="I535" i="5"/>
  <c r="H535" i="5"/>
  <c r="J535" i="5" s="1"/>
  <c r="G535" i="5"/>
  <c r="I534" i="5"/>
  <c r="H534" i="5"/>
  <c r="J534" i="5" s="1"/>
  <c r="G534" i="5"/>
  <c r="I533" i="5"/>
  <c r="H533" i="5"/>
  <c r="J533" i="5" s="1"/>
  <c r="G533" i="5"/>
  <c r="I532" i="5"/>
  <c r="H532" i="5"/>
  <c r="J532" i="5" s="1"/>
  <c r="G532" i="5"/>
  <c r="I531" i="5"/>
  <c r="H531" i="5"/>
  <c r="J531" i="5" s="1"/>
  <c r="G531" i="5"/>
  <c r="I530" i="5"/>
  <c r="H530" i="5"/>
  <c r="J530" i="5" s="1"/>
  <c r="G530" i="5"/>
  <c r="I529" i="5"/>
  <c r="H529" i="5"/>
  <c r="J529" i="5" s="1"/>
  <c r="G529" i="5"/>
  <c r="I528" i="5"/>
  <c r="H528" i="5"/>
  <c r="J528" i="5" s="1"/>
  <c r="G528" i="5"/>
  <c r="I527" i="5"/>
  <c r="H527" i="5"/>
  <c r="J527" i="5" s="1"/>
  <c r="G527" i="5"/>
  <c r="I526" i="5"/>
  <c r="H526" i="5"/>
  <c r="J526" i="5" s="1"/>
  <c r="G526" i="5"/>
  <c r="I525" i="5"/>
  <c r="H525" i="5"/>
  <c r="J525" i="5" s="1"/>
  <c r="G525" i="5"/>
  <c r="I524" i="5"/>
  <c r="H524" i="5"/>
  <c r="J524" i="5" s="1"/>
  <c r="G524" i="5"/>
  <c r="I523" i="5"/>
  <c r="H523" i="5"/>
  <c r="J523" i="5" s="1"/>
  <c r="G523" i="5"/>
  <c r="I522" i="5"/>
  <c r="H522" i="5"/>
  <c r="J522" i="5" s="1"/>
  <c r="G522" i="5"/>
  <c r="I521" i="5"/>
  <c r="H521" i="5"/>
  <c r="J521" i="5" s="1"/>
  <c r="G521" i="5"/>
  <c r="I520" i="5"/>
  <c r="H520" i="5"/>
  <c r="J520" i="5" s="1"/>
  <c r="G520" i="5"/>
  <c r="I519" i="5"/>
  <c r="H519" i="5"/>
  <c r="J519" i="5" s="1"/>
  <c r="G519" i="5"/>
  <c r="I518" i="5"/>
  <c r="H518" i="5"/>
  <c r="J518" i="5" s="1"/>
  <c r="G518" i="5"/>
  <c r="I517" i="5"/>
  <c r="H517" i="5"/>
  <c r="J517" i="5" s="1"/>
  <c r="G517" i="5"/>
  <c r="I516" i="5"/>
  <c r="H516" i="5"/>
  <c r="J516" i="5" s="1"/>
  <c r="G516" i="5"/>
  <c r="I515" i="5"/>
  <c r="H515" i="5"/>
  <c r="J515" i="5" s="1"/>
  <c r="G515" i="5"/>
  <c r="I514" i="5"/>
  <c r="H514" i="5"/>
  <c r="J514" i="5" s="1"/>
  <c r="G514" i="5"/>
  <c r="I513" i="5"/>
  <c r="H513" i="5"/>
  <c r="J513" i="5" s="1"/>
  <c r="G513" i="5"/>
  <c r="I512" i="5"/>
  <c r="H512" i="5"/>
  <c r="J512" i="5" s="1"/>
  <c r="G512" i="5"/>
  <c r="I511" i="5"/>
  <c r="H511" i="5"/>
  <c r="J511" i="5" s="1"/>
  <c r="G511" i="5"/>
  <c r="I510" i="5"/>
  <c r="H510" i="5"/>
  <c r="J510" i="5" s="1"/>
  <c r="G510" i="5"/>
  <c r="I509" i="5"/>
  <c r="H509" i="5"/>
  <c r="J509" i="5" s="1"/>
  <c r="G509" i="5"/>
  <c r="I508" i="5"/>
  <c r="H508" i="5"/>
  <c r="J508" i="5" s="1"/>
  <c r="G508" i="5"/>
  <c r="I507" i="5"/>
  <c r="H507" i="5"/>
  <c r="J507" i="5" s="1"/>
  <c r="G507" i="5"/>
  <c r="I506" i="5"/>
  <c r="H506" i="5"/>
  <c r="J506" i="5" s="1"/>
  <c r="G506" i="5"/>
  <c r="I505" i="5"/>
  <c r="H505" i="5"/>
  <c r="J505" i="5" s="1"/>
  <c r="G505" i="5"/>
  <c r="I504" i="5"/>
  <c r="H504" i="5"/>
  <c r="J504" i="5" s="1"/>
  <c r="G504" i="5"/>
  <c r="I503" i="5"/>
  <c r="H503" i="5"/>
  <c r="J503" i="5" s="1"/>
  <c r="G503" i="5"/>
  <c r="I502" i="5"/>
  <c r="H502" i="5"/>
  <c r="J502" i="5" s="1"/>
  <c r="G502" i="5"/>
  <c r="I501" i="5"/>
  <c r="H501" i="5"/>
  <c r="J501" i="5" s="1"/>
  <c r="G501" i="5"/>
  <c r="I500" i="5"/>
  <c r="H500" i="5"/>
  <c r="J500" i="5" s="1"/>
  <c r="G500" i="5"/>
  <c r="I499" i="5"/>
  <c r="H499" i="5"/>
  <c r="J499" i="5" s="1"/>
  <c r="G499" i="5"/>
  <c r="I498" i="5"/>
  <c r="H498" i="5"/>
  <c r="J498" i="5" s="1"/>
  <c r="G498" i="5"/>
  <c r="I497" i="5"/>
  <c r="H497" i="5"/>
  <c r="J497" i="5" s="1"/>
  <c r="G497" i="5"/>
  <c r="I496" i="5"/>
  <c r="H496" i="5"/>
  <c r="J496" i="5" s="1"/>
  <c r="G496" i="5"/>
  <c r="I495" i="5"/>
  <c r="H495" i="5"/>
  <c r="J495" i="5" s="1"/>
  <c r="G495" i="5"/>
  <c r="I494" i="5"/>
  <c r="H494" i="5"/>
  <c r="J494" i="5" s="1"/>
  <c r="G494" i="5"/>
  <c r="I493" i="5"/>
  <c r="H493" i="5"/>
  <c r="J493" i="5" s="1"/>
  <c r="G493" i="5"/>
  <c r="I492" i="5"/>
  <c r="H492" i="5"/>
  <c r="J492" i="5" s="1"/>
  <c r="G492" i="5"/>
  <c r="I491" i="5"/>
  <c r="H491" i="5"/>
  <c r="J491" i="5" s="1"/>
  <c r="G491" i="5"/>
  <c r="I490" i="5"/>
  <c r="H490" i="5"/>
  <c r="J490" i="5" s="1"/>
  <c r="G490" i="5"/>
  <c r="I489" i="5"/>
  <c r="H489" i="5"/>
  <c r="J489" i="5" s="1"/>
  <c r="G489" i="5"/>
  <c r="I488" i="5"/>
  <c r="H488" i="5"/>
  <c r="J488" i="5" s="1"/>
  <c r="G488" i="5"/>
  <c r="I487" i="5"/>
  <c r="H487" i="5"/>
  <c r="J487" i="5" s="1"/>
  <c r="G487" i="5"/>
  <c r="I486" i="5"/>
  <c r="H486" i="5"/>
  <c r="J486" i="5" s="1"/>
  <c r="G486" i="5"/>
  <c r="I485" i="5"/>
  <c r="H485" i="5"/>
  <c r="J485" i="5" s="1"/>
  <c r="G485" i="5"/>
  <c r="I484" i="5"/>
  <c r="H484" i="5"/>
  <c r="J484" i="5" s="1"/>
  <c r="G484" i="5"/>
  <c r="I483" i="5"/>
  <c r="H483" i="5"/>
  <c r="J483" i="5" s="1"/>
  <c r="G483" i="5"/>
  <c r="I482" i="5"/>
  <c r="H482" i="5"/>
  <c r="J482" i="5" s="1"/>
  <c r="G482" i="5"/>
  <c r="I481" i="5"/>
  <c r="H481" i="5"/>
  <c r="J481" i="5" s="1"/>
  <c r="G481" i="5"/>
  <c r="I480" i="5"/>
  <c r="H480" i="5"/>
  <c r="J480" i="5" s="1"/>
  <c r="G480" i="5"/>
  <c r="I479" i="5"/>
  <c r="H479" i="5"/>
  <c r="J479" i="5" s="1"/>
  <c r="G479" i="5"/>
  <c r="I478" i="5"/>
  <c r="H478" i="5"/>
  <c r="J478" i="5" s="1"/>
  <c r="G478" i="5"/>
  <c r="I477" i="5"/>
  <c r="H477" i="5"/>
  <c r="J477" i="5" s="1"/>
  <c r="G477" i="5"/>
  <c r="I476" i="5"/>
  <c r="H476" i="5"/>
  <c r="J476" i="5" s="1"/>
  <c r="G476" i="5"/>
  <c r="I475" i="5"/>
  <c r="H475" i="5"/>
  <c r="J475" i="5" s="1"/>
  <c r="G475" i="5"/>
  <c r="I474" i="5"/>
  <c r="H474" i="5"/>
  <c r="J474" i="5" s="1"/>
  <c r="G474" i="5"/>
  <c r="I473" i="5"/>
  <c r="H473" i="5"/>
  <c r="J473" i="5" s="1"/>
  <c r="G473" i="5"/>
  <c r="I472" i="5"/>
  <c r="H472" i="5"/>
  <c r="J472" i="5" s="1"/>
  <c r="G472" i="5"/>
  <c r="I471" i="5"/>
  <c r="H471" i="5"/>
  <c r="J471" i="5" s="1"/>
  <c r="G471" i="5"/>
  <c r="I470" i="5"/>
  <c r="H470" i="5"/>
  <c r="J470" i="5" s="1"/>
  <c r="G470" i="5"/>
  <c r="I469" i="5"/>
  <c r="H469" i="5"/>
  <c r="J469" i="5" s="1"/>
  <c r="G469" i="5"/>
  <c r="I468" i="5"/>
  <c r="H468" i="5"/>
  <c r="J468" i="5" s="1"/>
  <c r="G468" i="5"/>
  <c r="I467" i="5"/>
  <c r="H467" i="5"/>
  <c r="J467" i="5" s="1"/>
  <c r="G467" i="5"/>
  <c r="I466" i="5"/>
  <c r="H466" i="5"/>
  <c r="J466" i="5" s="1"/>
  <c r="G466" i="5"/>
  <c r="I465" i="5"/>
  <c r="H465" i="5"/>
  <c r="J465" i="5" s="1"/>
  <c r="G465" i="5"/>
  <c r="I464" i="5"/>
  <c r="H464" i="5"/>
  <c r="J464" i="5" s="1"/>
  <c r="G464" i="5"/>
  <c r="I463" i="5"/>
  <c r="H463" i="5"/>
  <c r="J463" i="5" s="1"/>
  <c r="G463" i="5"/>
  <c r="I462" i="5"/>
  <c r="H462" i="5"/>
  <c r="J462" i="5" s="1"/>
  <c r="G462" i="5"/>
  <c r="I461" i="5"/>
  <c r="H461" i="5"/>
  <c r="J461" i="5" s="1"/>
  <c r="G461" i="5"/>
  <c r="I460" i="5"/>
  <c r="H460" i="5"/>
  <c r="J460" i="5" s="1"/>
  <c r="G460" i="5"/>
  <c r="I459" i="5"/>
  <c r="H459" i="5"/>
  <c r="J459" i="5" s="1"/>
  <c r="G459" i="5"/>
  <c r="I458" i="5"/>
  <c r="H458" i="5"/>
  <c r="J458" i="5" s="1"/>
  <c r="G458" i="5"/>
  <c r="I457" i="5"/>
  <c r="H457" i="5"/>
  <c r="J457" i="5" s="1"/>
  <c r="G457" i="5"/>
  <c r="I456" i="5"/>
  <c r="H456" i="5"/>
  <c r="J456" i="5" s="1"/>
  <c r="G456" i="5"/>
  <c r="I455" i="5"/>
  <c r="H455" i="5"/>
  <c r="J455" i="5" s="1"/>
  <c r="G455" i="5"/>
  <c r="I454" i="5"/>
  <c r="H454" i="5"/>
  <c r="J454" i="5" s="1"/>
  <c r="G454" i="5"/>
  <c r="I453" i="5"/>
  <c r="H453" i="5"/>
  <c r="J453" i="5" s="1"/>
  <c r="G453" i="5"/>
  <c r="I452" i="5"/>
  <c r="H452" i="5"/>
  <c r="J452" i="5" s="1"/>
  <c r="G452" i="5"/>
  <c r="I451" i="5"/>
  <c r="H451" i="5"/>
  <c r="J451" i="5" s="1"/>
  <c r="G451" i="5"/>
  <c r="I450" i="5"/>
  <c r="H450" i="5"/>
  <c r="J450" i="5" s="1"/>
  <c r="G450" i="5"/>
  <c r="I449" i="5"/>
  <c r="H449" i="5"/>
  <c r="J449" i="5" s="1"/>
  <c r="G449" i="5"/>
  <c r="I448" i="5"/>
  <c r="H448" i="5"/>
  <c r="J448" i="5" s="1"/>
  <c r="G448" i="5"/>
  <c r="I447" i="5"/>
  <c r="H447" i="5"/>
  <c r="J447" i="5" s="1"/>
  <c r="G447" i="5"/>
  <c r="I446" i="5"/>
  <c r="H446" i="5"/>
  <c r="J446" i="5" s="1"/>
  <c r="G446" i="5"/>
  <c r="I445" i="5"/>
  <c r="H445" i="5"/>
  <c r="J445" i="5" s="1"/>
  <c r="G445" i="5"/>
  <c r="I444" i="5"/>
  <c r="H444" i="5"/>
  <c r="J444" i="5" s="1"/>
  <c r="G444" i="5"/>
  <c r="I443" i="5"/>
  <c r="H443" i="5"/>
  <c r="J443" i="5" s="1"/>
  <c r="G443" i="5"/>
  <c r="I442" i="5"/>
  <c r="H442" i="5"/>
  <c r="J442" i="5" s="1"/>
  <c r="G442" i="5"/>
  <c r="I441" i="5"/>
  <c r="H441" i="5"/>
  <c r="J441" i="5" s="1"/>
  <c r="G441" i="5"/>
  <c r="I440" i="5"/>
  <c r="H440" i="5"/>
  <c r="J440" i="5" s="1"/>
  <c r="G440" i="5"/>
  <c r="I439" i="5"/>
  <c r="H439" i="5"/>
  <c r="J439" i="5" s="1"/>
  <c r="G439" i="5"/>
  <c r="I438" i="5"/>
  <c r="H438" i="5"/>
  <c r="J438" i="5" s="1"/>
  <c r="G438" i="5"/>
  <c r="I437" i="5"/>
  <c r="H437" i="5"/>
  <c r="J437" i="5" s="1"/>
  <c r="G437" i="5"/>
  <c r="I436" i="5"/>
  <c r="H436" i="5"/>
  <c r="J436" i="5" s="1"/>
  <c r="G436" i="5"/>
  <c r="I435" i="5"/>
  <c r="H435" i="5"/>
  <c r="J435" i="5" s="1"/>
  <c r="G435" i="5"/>
  <c r="I434" i="5"/>
  <c r="H434" i="5"/>
  <c r="J434" i="5" s="1"/>
  <c r="G434" i="5"/>
  <c r="I433" i="5"/>
  <c r="H433" i="5"/>
  <c r="J433" i="5" s="1"/>
  <c r="G433" i="5"/>
  <c r="I432" i="5"/>
  <c r="H432" i="5"/>
  <c r="J432" i="5" s="1"/>
  <c r="G432" i="5"/>
  <c r="I431" i="5"/>
  <c r="H431" i="5"/>
  <c r="J431" i="5" s="1"/>
  <c r="G431" i="5"/>
  <c r="I430" i="5"/>
  <c r="H430" i="5"/>
  <c r="J430" i="5" s="1"/>
  <c r="G430" i="5"/>
  <c r="I429" i="5"/>
  <c r="H429" i="5"/>
  <c r="J429" i="5" s="1"/>
  <c r="G429" i="5"/>
  <c r="I428" i="5"/>
  <c r="H428" i="5"/>
  <c r="J428" i="5" s="1"/>
  <c r="G428" i="5"/>
  <c r="I427" i="5"/>
  <c r="H427" i="5"/>
  <c r="J427" i="5" s="1"/>
  <c r="G427" i="5"/>
  <c r="I426" i="5"/>
  <c r="H426" i="5"/>
  <c r="J426" i="5" s="1"/>
  <c r="G426" i="5"/>
  <c r="I425" i="5"/>
  <c r="H425" i="5"/>
  <c r="J425" i="5" s="1"/>
  <c r="G425" i="5"/>
  <c r="I424" i="5"/>
  <c r="H424" i="5"/>
  <c r="J424" i="5" s="1"/>
  <c r="G424" i="5"/>
  <c r="I423" i="5"/>
  <c r="H423" i="5"/>
  <c r="J423" i="5" s="1"/>
  <c r="G423" i="5"/>
  <c r="I422" i="5"/>
  <c r="H422" i="5"/>
  <c r="J422" i="5" s="1"/>
  <c r="G422" i="5"/>
  <c r="I421" i="5"/>
  <c r="H421" i="5"/>
  <c r="J421" i="5" s="1"/>
  <c r="G421" i="5"/>
  <c r="I420" i="5"/>
  <c r="H420" i="5"/>
  <c r="J420" i="5" s="1"/>
  <c r="G420" i="5"/>
  <c r="I419" i="5"/>
  <c r="H419" i="5"/>
  <c r="J419" i="5" s="1"/>
  <c r="G419" i="5"/>
  <c r="I418" i="5"/>
  <c r="H418" i="5"/>
  <c r="J418" i="5" s="1"/>
  <c r="G418" i="5"/>
  <c r="I417" i="5"/>
  <c r="H417" i="5"/>
  <c r="J417" i="5" s="1"/>
  <c r="G417" i="5"/>
  <c r="I416" i="5"/>
  <c r="H416" i="5"/>
  <c r="J416" i="5" s="1"/>
  <c r="G416" i="5"/>
  <c r="I415" i="5"/>
  <c r="H415" i="5"/>
  <c r="J415" i="5" s="1"/>
  <c r="G415" i="5"/>
  <c r="I414" i="5"/>
  <c r="H414" i="5"/>
  <c r="J414" i="5" s="1"/>
  <c r="G414" i="5"/>
  <c r="I413" i="5"/>
  <c r="H413" i="5"/>
  <c r="J413" i="5" s="1"/>
  <c r="G413" i="5"/>
  <c r="I412" i="5"/>
  <c r="H412" i="5"/>
  <c r="J412" i="5" s="1"/>
  <c r="G412" i="5"/>
  <c r="I411" i="5"/>
  <c r="H411" i="5"/>
  <c r="J411" i="5" s="1"/>
  <c r="G411" i="5"/>
  <c r="I410" i="5"/>
  <c r="H410" i="5"/>
  <c r="J410" i="5" s="1"/>
  <c r="G410" i="5"/>
  <c r="I409" i="5"/>
  <c r="H409" i="5"/>
  <c r="J409" i="5" s="1"/>
  <c r="G409" i="5"/>
  <c r="I408" i="5"/>
  <c r="H408" i="5"/>
  <c r="J408" i="5" s="1"/>
  <c r="G408" i="5"/>
  <c r="I407" i="5"/>
  <c r="H407" i="5"/>
  <c r="J407" i="5" s="1"/>
  <c r="G407" i="5"/>
  <c r="I406" i="5"/>
  <c r="H406" i="5"/>
  <c r="J406" i="5" s="1"/>
  <c r="G406" i="5"/>
  <c r="I405" i="5"/>
  <c r="H405" i="5"/>
  <c r="J405" i="5" s="1"/>
  <c r="G405" i="5"/>
  <c r="I404" i="5"/>
  <c r="H404" i="5"/>
  <c r="J404" i="5" s="1"/>
  <c r="G404" i="5"/>
  <c r="I403" i="5"/>
  <c r="H403" i="5"/>
  <c r="J403" i="5" s="1"/>
  <c r="G403" i="5"/>
  <c r="I402" i="5"/>
  <c r="H402" i="5"/>
  <c r="J402" i="5" s="1"/>
  <c r="G402" i="5"/>
  <c r="I401" i="5"/>
  <c r="H401" i="5"/>
  <c r="J401" i="5" s="1"/>
  <c r="G401" i="5"/>
  <c r="I400" i="5"/>
  <c r="H400" i="5"/>
  <c r="J400" i="5" s="1"/>
  <c r="G400" i="5"/>
  <c r="I399" i="5"/>
  <c r="H399" i="5"/>
  <c r="J399" i="5" s="1"/>
  <c r="G399" i="5"/>
  <c r="I398" i="5"/>
  <c r="H398" i="5"/>
  <c r="J398" i="5" s="1"/>
  <c r="G398" i="5"/>
  <c r="I397" i="5"/>
  <c r="H397" i="5"/>
  <c r="J397" i="5" s="1"/>
  <c r="G397" i="5"/>
  <c r="I396" i="5"/>
  <c r="H396" i="5"/>
  <c r="J396" i="5" s="1"/>
  <c r="G396" i="5"/>
  <c r="I395" i="5"/>
  <c r="H395" i="5"/>
  <c r="J395" i="5" s="1"/>
  <c r="G395" i="5"/>
  <c r="I394" i="5"/>
  <c r="H394" i="5"/>
  <c r="J394" i="5" s="1"/>
  <c r="G394" i="5"/>
  <c r="I393" i="5"/>
  <c r="H393" i="5"/>
  <c r="J393" i="5" s="1"/>
  <c r="G393" i="5"/>
  <c r="I392" i="5"/>
  <c r="H392" i="5"/>
  <c r="J392" i="5" s="1"/>
  <c r="G392" i="5"/>
  <c r="I391" i="5"/>
  <c r="H391" i="5"/>
  <c r="J391" i="5" s="1"/>
  <c r="G391" i="5"/>
  <c r="I390" i="5"/>
  <c r="H390" i="5"/>
  <c r="J390" i="5" s="1"/>
  <c r="G390" i="5"/>
  <c r="I389" i="5"/>
  <c r="H389" i="5"/>
  <c r="J389" i="5" s="1"/>
  <c r="G389" i="5"/>
  <c r="I388" i="5"/>
  <c r="H388" i="5"/>
  <c r="J388" i="5" s="1"/>
  <c r="G388" i="5"/>
  <c r="I387" i="5"/>
  <c r="H387" i="5"/>
  <c r="J387" i="5" s="1"/>
  <c r="G387" i="5"/>
  <c r="I386" i="5"/>
  <c r="H386" i="5"/>
  <c r="J386" i="5" s="1"/>
  <c r="G386" i="5"/>
  <c r="I385" i="5"/>
  <c r="H385" i="5"/>
  <c r="J385" i="5" s="1"/>
  <c r="G385" i="5"/>
  <c r="I384" i="5"/>
  <c r="H384" i="5"/>
  <c r="J384" i="5" s="1"/>
  <c r="G384" i="5"/>
  <c r="I383" i="5"/>
  <c r="H383" i="5"/>
  <c r="J383" i="5" s="1"/>
  <c r="G383" i="5"/>
  <c r="I382" i="5"/>
  <c r="H382" i="5"/>
  <c r="J382" i="5" s="1"/>
  <c r="G382" i="5"/>
  <c r="I381" i="5"/>
  <c r="H381" i="5"/>
  <c r="J381" i="5" s="1"/>
  <c r="G381" i="5"/>
  <c r="I380" i="5"/>
  <c r="H380" i="5"/>
  <c r="J380" i="5" s="1"/>
  <c r="G380" i="5"/>
  <c r="I379" i="5"/>
  <c r="H379" i="5"/>
  <c r="J379" i="5" s="1"/>
  <c r="G379" i="5"/>
  <c r="I378" i="5"/>
  <c r="H378" i="5"/>
  <c r="J378" i="5" s="1"/>
  <c r="G378" i="5"/>
  <c r="I377" i="5"/>
  <c r="H377" i="5"/>
  <c r="J377" i="5" s="1"/>
  <c r="G377" i="5"/>
  <c r="I376" i="5"/>
  <c r="H376" i="5"/>
  <c r="J376" i="5" s="1"/>
  <c r="G376" i="5"/>
  <c r="I375" i="5"/>
  <c r="H375" i="5"/>
  <c r="J375" i="5" s="1"/>
  <c r="G375" i="5"/>
  <c r="I374" i="5"/>
  <c r="H374" i="5"/>
  <c r="J374" i="5" s="1"/>
  <c r="G374" i="5"/>
  <c r="I373" i="5"/>
  <c r="H373" i="5"/>
  <c r="J373" i="5" s="1"/>
  <c r="G373" i="5"/>
  <c r="I372" i="5"/>
  <c r="H372" i="5"/>
  <c r="J372" i="5" s="1"/>
  <c r="G372" i="5"/>
  <c r="I371" i="5"/>
  <c r="H371" i="5"/>
  <c r="J371" i="5" s="1"/>
  <c r="G371" i="5"/>
  <c r="I370" i="5"/>
  <c r="H370" i="5"/>
  <c r="J370" i="5" s="1"/>
  <c r="G370" i="5"/>
  <c r="I369" i="5"/>
  <c r="H369" i="5"/>
  <c r="J369" i="5" s="1"/>
  <c r="G369" i="5"/>
  <c r="I368" i="5"/>
  <c r="H368" i="5"/>
  <c r="J368" i="5" s="1"/>
  <c r="G368" i="5"/>
  <c r="I367" i="5"/>
  <c r="H367" i="5"/>
  <c r="J367" i="5" s="1"/>
  <c r="G367" i="5"/>
  <c r="I366" i="5"/>
  <c r="H366" i="5"/>
  <c r="J366" i="5" s="1"/>
  <c r="G366" i="5"/>
  <c r="I365" i="5"/>
  <c r="H365" i="5"/>
  <c r="J365" i="5" s="1"/>
  <c r="G365" i="5"/>
  <c r="I364" i="5"/>
  <c r="H364" i="5"/>
  <c r="J364" i="5" s="1"/>
  <c r="G364" i="5"/>
  <c r="I363" i="5"/>
  <c r="H363" i="5"/>
  <c r="J363" i="5" s="1"/>
  <c r="G363" i="5"/>
  <c r="I362" i="5"/>
  <c r="H362" i="5"/>
  <c r="J362" i="5" s="1"/>
  <c r="G362" i="5"/>
  <c r="I361" i="5"/>
  <c r="H361" i="5"/>
  <c r="J361" i="5" s="1"/>
  <c r="G361" i="5"/>
  <c r="I360" i="5"/>
  <c r="H360" i="5"/>
  <c r="J360" i="5" s="1"/>
  <c r="G360" i="5"/>
  <c r="I359" i="5"/>
  <c r="H359" i="5"/>
  <c r="J359" i="5" s="1"/>
  <c r="G359" i="5"/>
  <c r="I358" i="5"/>
  <c r="H358" i="5"/>
  <c r="J358" i="5" s="1"/>
  <c r="G358" i="5"/>
  <c r="I357" i="5"/>
  <c r="H357" i="5"/>
  <c r="J357" i="5" s="1"/>
  <c r="G357" i="5"/>
  <c r="I356" i="5"/>
  <c r="H356" i="5"/>
  <c r="J356" i="5" s="1"/>
  <c r="G356" i="5"/>
  <c r="I355" i="5"/>
  <c r="H355" i="5"/>
  <c r="J355" i="5" s="1"/>
  <c r="G355" i="5"/>
  <c r="I354" i="5"/>
  <c r="H354" i="5"/>
  <c r="J354" i="5" s="1"/>
  <c r="G354" i="5"/>
  <c r="I353" i="5"/>
  <c r="H353" i="5"/>
  <c r="J353" i="5" s="1"/>
  <c r="G353" i="5"/>
  <c r="I352" i="5"/>
  <c r="H352" i="5"/>
  <c r="J352" i="5" s="1"/>
  <c r="G352" i="5"/>
  <c r="I351" i="5"/>
  <c r="H351" i="5"/>
  <c r="J351" i="5" s="1"/>
  <c r="G351" i="5"/>
  <c r="I350" i="5"/>
  <c r="H350" i="5"/>
  <c r="J350" i="5" s="1"/>
  <c r="G350" i="5"/>
  <c r="I349" i="5"/>
  <c r="H349" i="5"/>
  <c r="J349" i="5" s="1"/>
  <c r="G349" i="5"/>
  <c r="I348" i="5"/>
  <c r="H348" i="5"/>
  <c r="J348" i="5" s="1"/>
  <c r="G348" i="5"/>
  <c r="I347" i="5"/>
  <c r="H347" i="5"/>
  <c r="J347" i="5" s="1"/>
  <c r="G347" i="5"/>
  <c r="I346" i="5"/>
  <c r="H346" i="5"/>
  <c r="J346" i="5" s="1"/>
  <c r="G346" i="5"/>
  <c r="I345" i="5"/>
  <c r="H345" i="5"/>
  <c r="J345" i="5" s="1"/>
  <c r="G345" i="5"/>
  <c r="I344" i="5"/>
  <c r="H344" i="5"/>
  <c r="J344" i="5" s="1"/>
  <c r="G344" i="5"/>
  <c r="I343" i="5"/>
  <c r="H343" i="5"/>
  <c r="J343" i="5" s="1"/>
  <c r="G343" i="5"/>
  <c r="I342" i="5"/>
  <c r="H342" i="5"/>
  <c r="J342" i="5" s="1"/>
  <c r="G342" i="5"/>
  <c r="I341" i="5"/>
  <c r="H341" i="5"/>
  <c r="J341" i="5" s="1"/>
  <c r="G341" i="5"/>
  <c r="I340" i="5"/>
  <c r="H340" i="5"/>
  <c r="J340" i="5" s="1"/>
  <c r="G340" i="5"/>
  <c r="I339" i="5"/>
  <c r="H339" i="5"/>
  <c r="J339" i="5" s="1"/>
  <c r="G339" i="5"/>
  <c r="I338" i="5"/>
  <c r="H338" i="5"/>
  <c r="J338" i="5" s="1"/>
  <c r="G338" i="5"/>
  <c r="I337" i="5"/>
  <c r="H337" i="5"/>
  <c r="J337" i="5" s="1"/>
  <c r="G337" i="5"/>
  <c r="I336" i="5"/>
  <c r="H336" i="5"/>
  <c r="J336" i="5" s="1"/>
  <c r="G336" i="5"/>
  <c r="I335" i="5"/>
  <c r="H335" i="5"/>
  <c r="J335" i="5" s="1"/>
  <c r="G335" i="5"/>
  <c r="I334" i="5"/>
  <c r="H334" i="5"/>
  <c r="J334" i="5" s="1"/>
  <c r="G334" i="5"/>
  <c r="I333" i="5"/>
  <c r="H333" i="5"/>
  <c r="J333" i="5" s="1"/>
  <c r="G333" i="5"/>
  <c r="I332" i="5"/>
  <c r="H332" i="5"/>
  <c r="J332" i="5" s="1"/>
  <c r="G332" i="5"/>
  <c r="I331" i="5"/>
  <c r="H331" i="5"/>
  <c r="J331" i="5" s="1"/>
  <c r="G331" i="5"/>
  <c r="I330" i="5"/>
  <c r="H330" i="5"/>
  <c r="J330" i="5" s="1"/>
  <c r="G330" i="5"/>
  <c r="I329" i="5"/>
  <c r="H329" i="5"/>
  <c r="J329" i="5" s="1"/>
  <c r="G329" i="5"/>
  <c r="I328" i="5"/>
  <c r="H328" i="5"/>
  <c r="J328" i="5" s="1"/>
  <c r="G328" i="5"/>
  <c r="I327" i="5"/>
  <c r="H327" i="5"/>
  <c r="J327" i="5" s="1"/>
  <c r="G327" i="5"/>
  <c r="I326" i="5"/>
  <c r="H326" i="5"/>
  <c r="J326" i="5" s="1"/>
  <c r="G326" i="5"/>
  <c r="I325" i="5"/>
  <c r="H325" i="5"/>
  <c r="J325" i="5" s="1"/>
  <c r="G325" i="5"/>
  <c r="I324" i="5"/>
  <c r="H324" i="5"/>
  <c r="J324" i="5" s="1"/>
  <c r="G324" i="5"/>
  <c r="I323" i="5"/>
  <c r="H323" i="5"/>
  <c r="J323" i="5" s="1"/>
  <c r="G323" i="5"/>
  <c r="I322" i="5"/>
  <c r="H322" i="5"/>
  <c r="J322" i="5" s="1"/>
  <c r="G322" i="5"/>
  <c r="I321" i="5"/>
  <c r="H321" i="5"/>
  <c r="J321" i="5" s="1"/>
  <c r="G321" i="5"/>
  <c r="I320" i="5"/>
  <c r="H320" i="5"/>
  <c r="J320" i="5" s="1"/>
  <c r="G320" i="5"/>
  <c r="I319" i="5"/>
  <c r="H319" i="5"/>
  <c r="J319" i="5" s="1"/>
  <c r="G319" i="5"/>
  <c r="I318" i="5"/>
  <c r="H318" i="5"/>
  <c r="J318" i="5" s="1"/>
  <c r="G318" i="5"/>
  <c r="I317" i="5"/>
  <c r="H317" i="5"/>
  <c r="J317" i="5" s="1"/>
  <c r="G317" i="5"/>
  <c r="I316" i="5"/>
  <c r="H316" i="5"/>
  <c r="J316" i="5" s="1"/>
  <c r="G316" i="5"/>
  <c r="I315" i="5"/>
  <c r="H315" i="5"/>
  <c r="J315" i="5" s="1"/>
  <c r="G315" i="5"/>
  <c r="I314" i="5"/>
  <c r="H314" i="5"/>
  <c r="J314" i="5" s="1"/>
  <c r="G314" i="5"/>
  <c r="I313" i="5"/>
  <c r="H313" i="5"/>
  <c r="J313" i="5" s="1"/>
  <c r="G313" i="5"/>
  <c r="I312" i="5"/>
  <c r="H312" i="5"/>
  <c r="J312" i="5" s="1"/>
  <c r="G312" i="5"/>
  <c r="I311" i="5"/>
  <c r="H311" i="5"/>
  <c r="J311" i="5" s="1"/>
  <c r="G311" i="5"/>
  <c r="I310" i="5"/>
  <c r="H310" i="5"/>
  <c r="J310" i="5" s="1"/>
  <c r="G310" i="5"/>
  <c r="I309" i="5"/>
  <c r="H309" i="5"/>
  <c r="J309" i="5" s="1"/>
  <c r="G309" i="5"/>
  <c r="I308" i="5"/>
  <c r="H308" i="5"/>
  <c r="J308" i="5" s="1"/>
  <c r="G308" i="5"/>
  <c r="I307" i="5"/>
  <c r="H307" i="5"/>
  <c r="J307" i="5" s="1"/>
  <c r="G307" i="5"/>
  <c r="I306" i="5"/>
  <c r="H306" i="5"/>
  <c r="J306" i="5" s="1"/>
  <c r="G306" i="5"/>
  <c r="I305" i="5"/>
  <c r="H305" i="5"/>
  <c r="J305" i="5" s="1"/>
  <c r="G305" i="5"/>
  <c r="I304" i="5"/>
  <c r="H304" i="5"/>
  <c r="J304" i="5" s="1"/>
  <c r="G304" i="5"/>
  <c r="I303" i="5"/>
  <c r="H303" i="5"/>
  <c r="J303" i="5" s="1"/>
  <c r="G303" i="5"/>
  <c r="I302" i="5"/>
  <c r="H302" i="5"/>
  <c r="J302" i="5" s="1"/>
  <c r="G302" i="5"/>
  <c r="I301" i="5"/>
  <c r="H301" i="5"/>
  <c r="J301" i="5" s="1"/>
  <c r="G301" i="5"/>
  <c r="I300" i="5"/>
  <c r="H300" i="5"/>
  <c r="J300" i="5" s="1"/>
  <c r="G300" i="5"/>
  <c r="I299" i="5"/>
  <c r="H299" i="5"/>
  <c r="J299" i="5" s="1"/>
  <c r="G299" i="5"/>
  <c r="I298" i="5"/>
  <c r="H298" i="5"/>
  <c r="J298" i="5" s="1"/>
  <c r="G298" i="5"/>
  <c r="I297" i="5"/>
  <c r="H297" i="5"/>
  <c r="J297" i="5" s="1"/>
  <c r="G297" i="5"/>
  <c r="I296" i="5"/>
  <c r="H296" i="5"/>
  <c r="J296" i="5" s="1"/>
  <c r="G296" i="5"/>
  <c r="I295" i="5"/>
  <c r="H295" i="5"/>
  <c r="J295" i="5" s="1"/>
  <c r="G295" i="5"/>
  <c r="I294" i="5"/>
  <c r="H294" i="5"/>
  <c r="J294" i="5" s="1"/>
  <c r="G294" i="5"/>
  <c r="I293" i="5"/>
  <c r="H293" i="5"/>
  <c r="J293" i="5" s="1"/>
  <c r="G293" i="5"/>
  <c r="I292" i="5"/>
  <c r="H292" i="5"/>
  <c r="J292" i="5" s="1"/>
  <c r="G292" i="5"/>
  <c r="I291" i="5"/>
  <c r="H291" i="5"/>
  <c r="J291" i="5" s="1"/>
  <c r="G291" i="5"/>
  <c r="I290" i="5"/>
  <c r="H290" i="5"/>
  <c r="J290" i="5" s="1"/>
  <c r="G290" i="5"/>
  <c r="I289" i="5"/>
  <c r="H289" i="5"/>
  <c r="J289" i="5" s="1"/>
  <c r="G289" i="5"/>
  <c r="I288" i="5"/>
  <c r="H288" i="5"/>
  <c r="J288" i="5" s="1"/>
  <c r="G288" i="5"/>
  <c r="I287" i="5"/>
  <c r="H287" i="5"/>
  <c r="J287" i="5" s="1"/>
  <c r="G287" i="5"/>
  <c r="I286" i="5"/>
  <c r="H286" i="5"/>
  <c r="J286" i="5" s="1"/>
  <c r="G286" i="5"/>
  <c r="I285" i="5"/>
  <c r="H285" i="5"/>
  <c r="J285" i="5" s="1"/>
  <c r="G285" i="5"/>
  <c r="I284" i="5"/>
  <c r="H284" i="5"/>
  <c r="J284" i="5" s="1"/>
  <c r="G284" i="5"/>
  <c r="I283" i="5"/>
  <c r="H283" i="5"/>
  <c r="J283" i="5" s="1"/>
  <c r="G283" i="5"/>
  <c r="I282" i="5"/>
  <c r="H282" i="5"/>
  <c r="J282" i="5" s="1"/>
  <c r="G282" i="5"/>
  <c r="I281" i="5"/>
  <c r="H281" i="5"/>
  <c r="J281" i="5" s="1"/>
  <c r="G281" i="5"/>
  <c r="I280" i="5"/>
  <c r="H280" i="5"/>
  <c r="J280" i="5" s="1"/>
  <c r="G280" i="5"/>
  <c r="I279" i="5"/>
  <c r="H279" i="5"/>
  <c r="J279" i="5" s="1"/>
  <c r="G279" i="5"/>
  <c r="I278" i="5"/>
  <c r="H278" i="5"/>
  <c r="J278" i="5" s="1"/>
  <c r="G278" i="5"/>
  <c r="I277" i="5"/>
  <c r="H277" i="5"/>
  <c r="J277" i="5" s="1"/>
  <c r="G277" i="5"/>
  <c r="I276" i="5"/>
  <c r="H276" i="5"/>
  <c r="J276" i="5" s="1"/>
  <c r="G276" i="5"/>
  <c r="I275" i="5"/>
  <c r="H275" i="5"/>
  <c r="J275" i="5" s="1"/>
  <c r="G275" i="5"/>
  <c r="I274" i="5"/>
  <c r="H274" i="5"/>
  <c r="J274" i="5" s="1"/>
  <c r="G274" i="5"/>
  <c r="I273" i="5"/>
  <c r="H273" i="5"/>
  <c r="J273" i="5" s="1"/>
  <c r="G273" i="5"/>
  <c r="I272" i="5"/>
  <c r="H272" i="5"/>
  <c r="J272" i="5" s="1"/>
  <c r="G272" i="5"/>
  <c r="I271" i="5"/>
  <c r="H271" i="5"/>
  <c r="J271" i="5" s="1"/>
  <c r="G271" i="5"/>
  <c r="I270" i="5"/>
  <c r="H270" i="5"/>
  <c r="J270" i="5" s="1"/>
  <c r="G270" i="5"/>
  <c r="I269" i="5"/>
  <c r="H269" i="5"/>
  <c r="J269" i="5" s="1"/>
  <c r="G269" i="5"/>
  <c r="I268" i="5"/>
  <c r="H268" i="5"/>
  <c r="J268" i="5" s="1"/>
  <c r="G268" i="5"/>
  <c r="I267" i="5"/>
  <c r="H267" i="5"/>
  <c r="J267" i="5" s="1"/>
  <c r="G267" i="5"/>
  <c r="I266" i="5"/>
  <c r="H266" i="5"/>
  <c r="J266" i="5" s="1"/>
  <c r="G266" i="5"/>
  <c r="I265" i="5"/>
  <c r="H265" i="5"/>
  <c r="J265" i="5" s="1"/>
  <c r="G265" i="5"/>
  <c r="I264" i="5"/>
  <c r="H264" i="5"/>
  <c r="J264" i="5" s="1"/>
  <c r="G264" i="5"/>
  <c r="I263" i="5"/>
  <c r="H263" i="5"/>
  <c r="J263" i="5" s="1"/>
  <c r="G263" i="5"/>
  <c r="I262" i="5"/>
  <c r="H262" i="5"/>
  <c r="J262" i="5" s="1"/>
  <c r="G262" i="5"/>
  <c r="I261" i="5"/>
  <c r="H261" i="5"/>
  <c r="J261" i="5" s="1"/>
  <c r="G261" i="5"/>
  <c r="I260" i="5"/>
  <c r="H260" i="5"/>
  <c r="J260" i="5" s="1"/>
  <c r="G260" i="5"/>
  <c r="I259" i="5"/>
  <c r="H259" i="5"/>
  <c r="J259" i="5" s="1"/>
  <c r="G259" i="5"/>
  <c r="I258" i="5"/>
  <c r="H258" i="5"/>
  <c r="J258" i="5" s="1"/>
  <c r="G258" i="5"/>
  <c r="I257" i="5"/>
  <c r="H257" i="5"/>
  <c r="J257" i="5" s="1"/>
  <c r="G257" i="5"/>
  <c r="I256" i="5"/>
  <c r="H256" i="5"/>
  <c r="J256" i="5" s="1"/>
  <c r="G256" i="5"/>
  <c r="I255" i="5"/>
  <c r="H255" i="5"/>
  <c r="J255" i="5" s="1"/>
  <c r="G255" i="5"/>
  <c r="I254" i="5"/>
  <c r="H254" i="5"/>
  <c r="J254" i="5" s="1"/>
  <c r="G254" i="5"/>
  <c r="I253" i="5"/>
  <c r="H253" i="5"/>
  <c r="J253" i="5" s="1"/>
  <c r="G253" i="5"/>
  <c r="I252" i="5"/>
  <c r="H252" i="5"/>
  <c r="J252" i="5" s="1"/>
  <c r="G252" i="5"/>
  <c r="I251" i="5"/>
  <c r="H251" i="5"/>
  <c r="J251" i="5" s="1"/>
  <c r="G251" i="5"/>
  <c r="I250" i="5"/>
  <c r="H250" i="5"/>
  <c r="J250" i="5" s="1"/>
  <c r="G250" i="5"/>
  <c r="I249" i="5"/>
  <c r="H249" i="5"/>
  <c r="J249" i="5" s="1"/>
  <c r="G249" i="5"/>
  <c r="I248" i="5"/>
  <c r="H248" i="5"/>
  <c r="J248" i="5" s="1"/>
  <c r="G248" i="5"/>
  <c r="I247" i="5"/>
  <c r="H247" i="5"/>
  <c r="J247" i="5" s="1"/>
  <c r="G247" i="5"/>
  <c r="I246" i="5"/>
  <c r="H246" i="5"/>
  <c r="J246" i="5" s="1"/>
  <c r="G246" i="5"/>
  <c r="I245" i="5"/>
  <c r="H245" i="5"/>
  <c r="J245" i="5" s="1"/>
  <c r="G245" i="5"/>
  <c r="I244" i="5"/>
  <c r="H244" i="5"/>
  <c r="J244" i="5" s="1"/>
  <c r="G244" i="5"/>
  <c r="I243" i="5"/>
  <c r="H243" i="5"/>
  <c r="J243" i="5" s="1"/>
  <c r="G243" i="5"/>
  <c r="I242" i="5"/>
  <c r="H242" i="5"/>
  <c r="J242" i="5" s="1"/>
  <c r="G242" i="5"/>
  <c r="I241" i="5"/>
  <c r="H241" i="5"/>
  <c r="J241" i="5" s="1"/>
  <c r="G241" i="5"/>
  <c r="I240" i="5"/>
  <c r="H240" i="5"/>
  <c r="J240" i="5" s="1"/>
  <c r="G240" i="5"/>
  <c r="I239" i="5"/>
  <c r="H239" i="5"/>
  <c r="J239" i="5" s="1"/>
  <c r="G239" i="5"/>
  <c r="I238" i="5"/>
  <c r="H238" i="5"/>
  <c r="J238" i="5" s="1"/>
  <c r="G238" i="5"/>
  <c r="I237" i="5"/>
  <c r="H237" i="5"/>
  <c r="J237" i="5" s="1"/>
  <c r="G237" i="5"/>
  <c r="I236" i="5"/>
  <c r="H236" i="5"/>
  <c r="J236" i="5" s="1"/>
  <c r="G236" i="5"/>
  <c r="I235" i="5"/>
  <c r="H235" i="5"/>
  <c r="J235" i="5" s="1"/>
  <c r="G235" i="5"/>
  <c r="I234" i="5"/>
  <c r="H234" i="5"/>
  <c r="J234" i="5" s="1"/>
  <c r="G234" i="5"/>
  <c r="I233" i="5"/>
  <c r="H233" i="5"/>
  <c r="J233" i="5" s="1"/>
  <c r="G233" i="5"/>
  <c r="I232" i="5"/>
  <c r="H232" i="5"/>
  <c r="J232" i="5" s="1"/>
  <c r="G232" i="5"/>
  <c r="I231" i="5"/>
  <c r="H231" i="5"/>
  <c r="J231" i="5" s="1"/>
  <c r="G231" i="5"/>
  <c r="I230" i="5"/>
  <c r="H230" i="5"/>
  <c r="J230" i="5" s="1"/>
  <c r="G230" i="5"/>
  <c r="I229" i="5"/>
  <c r="H229" i="5"/>
  <c r="J229" i="5" s="1"/>
  <c r="G229" i="5"/>
  <c r="I228" i="5"/>
  <c r="H228" i="5"/>
  <c r="J228" i="5" s="1"/>
  <c r="G228" i="5"/>
  <c r="I227" i="5"/>
  <c r="H227" i="5"/>
  <c r="J227" i="5" s="1"/>
  <c r="G227" i="5"/>
  <c r="I226" i="5"/>
  <c r="H226" i="5"/>
  <c r="J226" i="5" s="1"/>
  <c r="G226" i="5"/>
  <c r="I225" i="5"/>
  <c r="H225" i="5"/>
  <c r="J225" i="5" s="1"/>
  <c r="G225" i="5"/>
  <c r="I224" i="5"/>
  <c r="H224" i="5"/>
  <c r="J224" i="5" s="1"/>
  <c r="G224" i="5"/>
  <c r="I223" i="5"/>
  <c r="H223" i="5"/>
  <c r="J223" i="5" s="1"/>
  <c r="G223" i="5"/>
  <c r="I222" i="5"/>
  <c r="H222" i="5"/>
  <c r="J222" i="5" s="1"/>
  <c r="G222" i="5"/>
  <c r="I221" i="5"/>
  <c r="H221" i="5"/>
  <c r="J221" i="5" s="1"/>
  <c r="G221" i="5"/>
  <c r="I220" i="5"/>
  <c r="H220" i="5"/>
  <c r="J220" i="5" s="1"/>
  <c r="G220" i="5"/>
  <c r="I219" i="5"/>
  <c r="H219" i="5"/>
  <c r="J219" i="5" s="1"/>
  <c r="G219" i="5"/>
  <c r="I218" i="5"/>
  <c r="H218" i="5"/>
  <c r="J218" i="5" s="1"/>
  <c r="G218" i="5"/>
  <c r="I217" i="5"/>
  <c r="H217" i="5"/>
  <c r="J217" i="5" s="1"/>
  <c r="G217" i="5"/>
  <c r="I216" i="5"/>
  <c r="H216" i="5"/>
  <c r="J216" i="5" s="1"/>
  <c r="G216" i="5"/>
  <c r="I215" i="5"/>
  <c r="H215" i="5"/>
  <c r="J215" i="5" s="1"/>
  <c r="G215" i="5"/>
  <c r="I214" i="5"/>
  <c r="H214" i="5"/>
  <c r="J214" i="5" s="1"/>
  <c r="G214" i="5"/>
  <c r="I213" i="5"/>
  <c r="H213" i="5"/>
  <c r="J213" i="5" s="1"/>
  <c r="G213" i="5"/>
  <c r="I212" i="5"/>
  <c r="H212" i="5"/>
  <c r="J212" i="5" s="1"/>
  <c r="G212" i="5"/>
  <c r="I211" i="5"/>
  <c r="H211" i="5"/>
  <c r="J211" i="5" s="1"/>
  <c r="G211" i="5"/>
  <c r="I210" i="5"/>
  <c r="H210" i="5"/>
  <c r="J210" i="5" s="1"/>
  <c r="G210" i="5"/>
  <c r="I209" i="5"/>
  <c r="H209" i="5"/>
  <c r="J209" i="5" s="1"/>
  <c r="G209" i="5"/>
  <c r="I208" i="5"/>
  <c r="H208" i="5"/>
  <c r="J208" i="5" s="1"/>
  <c r="G208" i="5"/>
  <c r="I207" i="5"/>
  <c r="H207" i="5"/>
  <c r="J207" i="5" s="1"/>
  <c r="G207" i="5"/>
  <c r="I206" i="5"/>
  <c r="H206" i="5"/>
  <c r="J206" i="5" s="1"/>
  <c r="G206" i="5"/>
  <c r="I205" i="5"/>
  <c r="H205" i="5"/>
  <c r="J205" i="5" s="1"/>
  <c r="G205" i="5"/>
  <c r="I204" i="5"/>
  <c r="H204" i="5"/>
  <c r="J204" i="5" s="1"/>
  <c r="G204" i="5"/>
  <c r="I203" i="5"/>
  <c r="H203" i="5"/>
  <c r="J203" i="5" s="1"/>
  <c r="G203" i="5"/>
  <c r="I202" i="5"/>
  <c r="H202" i="5"/>
  <c r="J202" i="5" s="1"/>
  <c r="G202" i="5"/>
  <c r="I201" i="5"/>
  <c r="H201" i="5"/>
  <c r="J201" i="5" s="1"/>
  <c r="G201" i="5"/>
  <c r="I200" i="5"/>
  <c r="H200" i="5"/>
  <c r="J200" i="5" s="1"/>
  <c r="G200" i="5"/>
  <c r="I199" i="5"/>
  <c r="H199" i="5"/>
  <c r="J199" i="5" s="1"/>
  <c r="G199" i="5"/>
  <c r="I198" i="5"/>
  <c r="H198" i="5"/>
  <c r="J198" i="5" s="1"/>
  <c r="G198" i="5"/>
  <c r="I197" i="5"/>
  <c r="H197" i="5"/>
  <c r="J197" i="5" s="1"/>
  <c r="G197" i="5"/>
  <c r="I196" i="5"/>
  <c r="H196" i="5"/>
  <c r="J196" i="5" s="1"/>
  <c r="G196" i="5"/>
  <c r="I195" i="5"/>
  <c r="H195" i="5"/>
  <c r="J195" i="5" s="1"/>
  <c r="G195" i="5"/>
  <c r="I194" i="5"/>
  <c r="H194" i="5"/>
  <c r="J194" i="5" s="1"/>
  <c r="G194" i="5"/>
  <c r="I193" i="5"/>
  <c r="H193" i="5"/>
  <c r="J193" i="5" s="1"/>
  <c r="G193" i="5"/>
  <c r="I192" i="5"/>
  <c r="H192" i="5"/>
  <c r="J192" i="5" s="1"/>
  <c r="G192" i="5"/>
  <c r="I191" i="5"/>
  <c r="H191" i="5"/>
  <c r="J191" i="5" s="1"/>
  <c r="G191" i="5"/>
  <c r="I190" i="5"/>
  <c r="H190" i="5"/>
  <c r="J190" i="5" s="1"/>
  <c r="G190" i="5"/>
  <c r="I189" i="5"/>
  <c r="H189" i="5"/>
  <c r="J189" i="5" s="1"/>
  <c r="G189" i="5"/>
  <c r="I188" i="5"/>
  <c r="H188" i="5"/>
  <c r="J188" i="5" s="1"/>
  <c r="G188" i="5"/>
  <c r="I187" i="5"/>
  <c r="H187" i="5"/>
  <c r="J187" i="5" s="1"/>
  <c r="G187" i="5"/>
  <c r="I186" i="5"/>
  <c r="H186" i="5"/>
  <c r="J186" i="5" s="1"/>
  <c r="G186" i="5"/>
  <c r="I185" i="5"/>
  <c r="H185" i="5"/>
  <c r="J185" i="5" s="1"/>
  <c r="G185" i="5"/>
  <c r="I184" i="5"/>
  <c r="H184" i="5"/>
  <c r="J184" i="5" s="1"/>
  <c r="G184" i="5"/>
  <c r="I183" i="5"/>
  <c r="H183" i="5"/>
  <c r="J183" i="5" s="1"/>
  <c r="G183" i="5"/>
  <c r="I182" i="5"/>
  <c r="H182" i="5"/>
  <c r="J182" i="5" s="1"/>
  <c r="G182" i="5"/>
  <c r="I181" i="5"/>
  <c r="H181" i="5"/>
  <c r="J181" i="5" s="1"/>
  <c r="G181" i="5"/>
  <c r="I180" i="5"/>
  <c r="H180" i="5"/>
  <c r="J180" i="5" s="1"/>
  <c r="G180" i="5"/>
  <c r="I179" i="5"/>
  <c r="H179" i="5"/>
  <c r="J179" i="5" s="1"/>
  <c r="G179" i="5"/>
  <c r="I178" i="5"/>
  <c r="H178" i="5"/>
  <c r="J178" i="5" s="1"/>
  <c r="G178" i="5"/>
  <c r="I177" i="5"/>
  <c r="H177" i="5"/>
  <c r="J177" i="5" s="1"/>
  <c r="G177" i="5"/>
  <c r="I176" i="5"/>
  <c r="H176" i="5"/>
  <c r="J176" i="5" s="1"/>
  <c r="G176" i="5"/>
  <c r="I175" i="5"/>
  <c r="H175" i="5"/>
  <c r="J175" i="5" s="1"/>
  <c r="G175" i="5"/>
  <c r="I174" i="5"/>
  <c r="H174" i="5"/>
  <c r="J174" i="5" s="1"/>
  <c r="G174" i="5"/>
  <c r="I173" i="5"/>
  <c r="H173" i="5"/>
  <c r="J173" i="5" s="1"/>
  <c r="G173" i="5"/>
  <c r="I172" i="5"/>
  <c r="H172" i="5"/>
  <c r="J172" i="5" s="1"/>
  <c r="G172" i="5"/>
  <c r="I171" i="5"/>
  <c r="H171" i="5"/>
  <c r="J171" i="5" s="1"/>
  <c r="G171" i="5"/>
  <c r="I170" i="5"/>
  <c r="H170" i="5"/>
  <c r="J170" i="5" s="1"/>
  <c r="G170" i="5"/>
  <c r="I169" i="5"/>
  <c r="H169" i="5"/>
  <c r="J169" i="5" s="1"/>
  <c r="G169" i="5"/>
  <c r="I168" i="5"/>
  <c r="H168" i="5"/>
  <c r="J168" i="5" s="1"/>
  <c r="G168" i="5"/>
  <c r="I167" i="5"/>
  <c r="H167" i="5"/>
  <c r="J167" i="5" s="1"/>
  <c r="G167" i="5"/>
  <c r="I166" i="5"/>
  <c r="H166" i="5"/>
  <c r="J166" i="5" s="1"/>
  <c r="G166" i="5"/>
  <c r="I165" i="5"/>
  <c r="H165" i="5"/>
  <c r="J165" i="5" s="1"/>
  <c r="G165" i="5"/>
  <c r="I164" i="5"/>
  <c r="H164" i="5"/>
  <c r="J164" i="5" s="1"/>
  <c r="G164" i="5"/>
  <c r="I163" i="5"/>
  <c r="H163" i="5"/>
  <c r="J163" i="5" s="1"/>
  <c r="G163" i="5"/>
  <c r="I162" i="5"/>
  <c r="H162" i="5"/>
  <c r="J162" i="5" s="1"/>
  <c r="G162" i="5"/>
  <c r="I161" i="5"/>
  <c r="H161" i="5"/>
  <c r="J161" i="5" s="1"/>
  <c r="G161" i="5"/>
  <c r="I160" i="5"/>
  <c r="H160" i="5"/>
  <c r="J160" i="5" s="1"/>
  <c r="G160" i="5"/>
  <c r="I159" i="5"/>
  <c r="H159" i="5"/>
  <c r="J159" i="5" s="1"/>
  <c r="G159" i="5"/>
  <c r="I158" i="5"/>
  <c r="H158" i="5"/>
  <c r="J158" i="5" s="1"/>
  <c r="G158" i="5"/>
  <c r="I157" i="5"/>
  <c r="H157" i="5"/>
  <c r="J157" i="5" s="1"/>
  <c r="G157" i="5"/>
  <c r="I156" i="5"/>
  <c r="H156" i="5"/>
  <c r="J156" i="5" s="1"/>
  <c r="G156" i="5"/>
  <c r="I155" i="5"/>
  <c r="H155" i="5"/>
  <c r="J155" i="5" s="1"/>
  <c r="G155" i="5"/>
  <c r="I154" i="5"/>
  <c r="H154" i="5"/>
  <c r="J154" i="5" s="1"/>
  <c r="G154" i="5"/>
  <c r="I153" i="5"/>
  <c r="H153" i="5"/>
  <c r="J153" i="5" s="1"/>
  <c r="G153" i="5"/>
  <c r="I152" i="5"/>
  <c r="H152" i="5"/>
  <c r="J152" i="5" s="1"/>
  <c r="G152" i="5"/>
  <c r="I151" i="5"/>
  <c r="H151" i="5"/>
  <c r="J151" i="5" s="1"/>
  <c r="G151" i="5"/>
  <c r="I150" i="5"/>
  <c r="H150" i="5"/>
  <c r="J150" i="5" s="1"/>
  <c r="G150" i="5"/>
  <c r="I149" i="5"/>
  <c r="H149" i="5"/>
  <c r="J149" i="5" s="1"/>
  <c r="G149" i="5"/>
  <c r="I148" i="5"/>
  <c r="H148" i="5"/>
  <c r="J148" i="5" s="1"/>
  <c r="G148" i="5"/>
  <c r="I147" i="5"/>
  <c r="H147" i="5"/>
  <c r="J147" i="5" s="1"/>
  <c r="G147" i="5"/>
  <c r="I146" i="5"/>
  <c r="H146" i="5"/>
  <c r="J146" i="5" s="1"/>
  <c r="G146" i="5"/>
  <c r="I145" i="5"/>
  <c r="H145" i="5"/>
  <c r="J145" i="5" s="1"/>
  <c r="G145" i="5"/>
  <c r="I144" i="5"/>
  <c r="H144" i="5"/>
  <c r="J144" i="5" s="1"/>
  <c r="G144" i="5"/>
  <c r="I143" i="5"/>
  <c r="H143" i="5"/>
  <c r="J143" i="5" s="1"/>
  <c r="G143" i="5"/>
  <c r="I142" i="5"/>
  <c r="H142" i="5"/>
  <c r="J142" i="5" s="1"/>
  <c r="G142" i="5"/>
  <c r="I141" i="5"/>
  <c r="H141" i="5"/>
  <c r="J141" i="5" s="1"/>
  <c r="G141" i="5"/>
  <c r="I140" i="5"/>
  <c r="H140" i="5"/>
  <c r="J140" i="5" s="1"/>
  <c r="G140" i="5"/>
  <c r="I139" i="5"/>
  <c r="H139" i="5"/>
  <c r="J139" i="5" s="1"/>
  <c r="G139" i="5"/>
  <c r="I138" i="5"/>
  <c r="H138" i="5"/>
  <c r="J138" i="5" s="1"/>
  <c r="G138" i="5"/>
  <c r="I137" i="5"/>
  <c r="H137" i="5"/>
  <c r="J137" i="5" s="1"/>
  <c r="G137" i="5"/>
  <c r="I136" i="5"/>
  <c r="H136" i="5"/>
  <c r="J136" i="5" s="1"/>
  <c r="G136" i="5"/>
  <c r="I135" i="5"/>
  <c r="H135" i="5"/>
  <c r="J135" i="5" s="1"/>
  <c r="G135" i="5"/>
  <c r="I134" i="5"/>
  <c r="H134" i="5"/>
  <c r="J134" i="5" s="1"/>
  <c r="G134" i="5"/>
  <c r="I133" i="5"/>
  <c r="H133" i="5"/>
  <c r="J133" i="5" s="1"/>
  <c r="G133" i="5"/>
  <c r="I132" i="5"/>
  <c r="H132" i="5"/>
  <c r="J132" i="5" s="1"/>
  <c r="G132" i="5"/>
  <c r="I131" i="5"/>
  <c r="H131" i="5"/>
  <c r="J131" i="5" s="1"/>
  <c r="G131" i="5"/>
  <c r="I130" i="5"/>
  <c r="H130" i="5"/>
  <c r="J130" i="5" s="1"/>
  <c r="G130" i="5"/>
  <c r="I129" i="5"/>
  <c r="H129" i="5"/>
  <c r="J129" i="5" s="1"/>
  <c r="G129" i="5"/>
  <c r="I128" i="5"/>
  <c r="H128" i="5"/>
  <c r="J128" i="5" s="1"/>
  <c r="G128" i="5"/>
  <c r="I127" i="5"/>
  <c r="H127" i="5"/>
  <c r="J127" i="5" s="1"/>
  <c r="G127" i="5"/>
  <c r="I126" i="5"/>
  <c r="H126" i="5"/>
  <c r="J126" i="5" s="1"/>
  <c r="G126" i="5"/>
  <c r="I125" i="5"/>
  <c r="H125" i="5"/>
  <c r="J125" i="5" s="1"/>
  <c r="G125" i="5"/>
  <c r="I124" i="5"/>
  <c r="H124" i="5"/>
  <c r="J124" i="5" s="1"/>
  <c r="G124" i="5"/>
  <c r="I123" i="5"/>
  <c r="H123" i="5"/>
  <c r="J123" i="5" s="1"/>
  <c r="G123" i="5"/>
  <c r="I122" i="5"/>
  <c r="H122" i="5"/>
  <c r="J122" i="5" s="1"/>
  <c r="G122" i="5"/>
  <c r="I121" i="5"/>
  <c r="H121" i="5"/>
  <c r="J121" i="5" s="1"/>
  <c r="G121" i="5"/>
  <c r="I120" i="5"/>
  <c r="H120" i="5"/>
  <c r="J120" i="5" s="1"/>
  <c r="G120" i="5"/>
  <c r="I119" i="5"/>
  <c r="H119" i="5"/>
  <c r="J119" i="5" s="1"/>
  <c r="G119" i="5"/>
  <c r="I118" i="5"/>
  <c r="H118" i="5"/>
  <c r="J118" i="5" s="1"/>
  <c r="G118" i="5"/>
  <c r="I117" i="5"/>
  <c r="H117" i="5"/>
  <c r="J117" i="5" s="1"/>
  <c r="G117" i="5"/>
  <c r="I116" i="5"/>
  <c r="H116" i="5"/>
  <c r="J116" i="5" s="1"/>
  <c r="G116" i="5"/>
  <c r="I115" i="5"/>
  <c r="H115" i="5"/>
  <c r="J115" i="5" s="1"/>
  <c r="G115" i="5"/>
  <c r="I114" i="5"/>
  <c r="H114" i="5"/>
  <c r="J114" i="5" s="1"/>
  <c r="G114" i="5"/>
  <c r="I113" i="5"/>
  <c r="H113" i="5"/>
  <c r="J113" i="5" s="1"/>
  <c r="G113" i="5"/>
  <c r="I112" i="5"/>
  <c r="H112" i="5"/>
  <c r="J112" i="5" s="1"/>
  <c r="G112" i="5"/>
  <c r="I111" i="5"/>
  <c r="H111" i="5"/>
  <c r="J111" i="5" s="1"/>
  <c r="G111" i="5"/>
  <c r="I110" i="5"/>
  <c r="H110" i="5"/>
  <c r="J110" i="5" s="1"/>
  <c r="G110" i="5"/>
  <c r="I109" i="5"/>
  <c r="H109" i="5"/>
  <c r="J109" i="5" s="1"/>
  <c r="G109" i="5"/>
  <c r="I108" i="5"/>
  <c r="H108" i="5"/>
  <c r="J108" i="5" s="1"/>
  <c r="G108" i="5"/>
  <c r="I107" i="5"/>
  <c r="H107" i="5"/>
  <c r="J107" i="5" s="1"/>
  <c r="G107" i="5"/>
  <c r="I106" i="5"/>
  <c r="H106" i="5"/>
  <c r="J106" i="5" s="1"/>
  <c r="G106" i="5"/>
  <c r="I105" i="5"/>
  <c r="H105" i="5"/>
  <c r="J105" i="5" s="1"/>
  <c r="G105" i="5"/>
  <c r="I104" i="5"/>
  <c r="H104" i="5"/>
  <c r="J104" i="5" s="1"/>
  <c r="G104" i="5"/>
  <c r="I103" i="5"/>
  <c r="H103" i="5"/>
  <c r="J103" i="5" s="1"/>
  <c r="G103" i="5"/>
  <c r="I102" i="5"/>
  <c r="H102" i="5"/>
  <c r="J102" i="5" s="1"/>
  <c r="G102" i="5"/>
  <c r="I101" i="5"/>
  <c r="H101" i="5"/>
  <c r="J101" i="5" s="1"/>
  <c r="G101" i="5"/>
  <c r="I100" i="5"/>
  <c r="H100" i="5"/>
  <c r="J100" i="5" s="1"/>
  <c r="G100" i="5"/>
  <c r="I99" i="5"/>
  <c r="H99" i="5"/>
  <c r="J99" i="5" s="1"/>
  <c r="G99" i="5"/>
  <c r="I98" i="5"/>
  <c r="H98" i="5"/>
  <c r="J98" i="5" s="1"/>
  <c r="G98" i="5"/>
  <c r="I97" i="5"/>
  <c r="H97" i="5"/>
  <c r="J97" i="5" s="1"/>
  <c r="G97" i="5"/>
  <c r="I96" i="5"/>
  <c r="H96" i="5"/>
  <c r="J96" i="5" s="1"/>
  <c r="G96" i="5"/>
  <c r="I95" i="5"/>
  <c r="H95" i="5"/>
  <c r="J95" i="5" s="1"/>
  <c r="G95" i="5"/>
  <c r="I94" i="5"/>
  <c r="H94" i="5"/>
  <c r="J94" i="5" s="1"/>
  <c r="G94" i="5"/>
  <c r="I93" i="5"/>
  <c r="H93" i="5"/>
  <c r="J93" i="5" s="1"/>
  <c r="G93" i="5"/>
  <c r="I92" i="5"/>
  <c r="H92" i="5"/>
  <c r="J92" i="5" s="1"/>
  <c r="G92" i="5"/>
  <c r="I91" i="5"/>
  <c r="H91" i="5"/>
  <c r="J91" i="5" s="1"/>
  <c r="G91" i="5"/>
  <c r="I90" i="5"/>
  <c r="H90" i="5"/>
  <c r="J90" i="5" s="1"/>
  <c r="G90" i="5"/>
  <c r="I89" i="5"/>
  <c r="H89" i="5"/>
  <c r="J89" i="5" s="1"/>
  <c r="G89" i="5"/>
  <c r="I88" i="5"/>
  <c r="H88" i="5"/>
  <c r="J88" i="5" s="1"/>
  <c r="G88" i="5"/>
  <c r="I87" i="5"/>
  <c r="H87" i="5"/>
  <c r="J87" i="5" s="1"/>
  <c r="G87" i="5"/>
  <c r="I86" i="5"/>
  <c r="H86" i="5"/>
  <c r="J86" i="5" s="1"/>
  <c r="G86" i="5"/>
  <c r="I85" i="5"/>
  <c r="H85" i="5"/>
  <c r="J85" i="5" s="1"/>
  <c r="G85" i="5"/>
  <c r="I84" i="5"/>
  <c r="H84" i="5"/>
  <c r="J84" i="5" s="1"/>
  <c r="G84" i="5"/>
  <c r="I83" i="5"/>
  <c r="H83" i="5"/>
  <c r="J83" i="5" s="1"/>
  <c r="G83" i="5"/>
  <c r="I82" i="5"/>
  <c r="H82" i="5"/>
  <c r="J82" i="5" s="1"/>
  <c r="G82" i="5"/>
  <c r="I81" i="5"/>
  <c r="H81" i="5"/>
  <c r="J81" i="5" s="1"/>
  <c r="G81" i="5"/>
  <c r="I80" i="5"/>
  <c r="H80" i="5"/>
  <c r="J80" i="5" s="1"/>
  <c r="G80" i="5"/>
  <c r="I79" i="5"/>
  <c r="H79" i="5"/>
  <c r="J79" i="5" s="1"/>
  <c r="G79" i="5"/>
  <c r="I78" i="5"/>
  <c r="H78" i="5"/>
  <c r="J78" i="5" s="1"/>
  <c r="G78" i="5"/>
  <c r="I77" i="5"/>
  <c r="H77" i="5"/>
  <c r="J77" i="5" s="1"/>
  <c r="G77" i="5"/>
  <c r="I76" i="5"/>
  <c r="H76" i="5"/>
  <c r="J76" i="5" s="1"/>
  <c r="G76" i="5"/>
  <c r="I75" i="5"/>
  <c r="H75" i="5"/>
  <c r="J75" i="5" s="1"/>
  <c r="G75" i="5"/>
  <c r="I74" i="5"/>
  <c r="H74" i="5"/>
  <c r="J74" i="5" s="1"/>
  <c r="G74" i="5"/>
  <c r="I73" i="5"/>
  <c r="H73" i="5"/>
  <c r="J73" i="5" s="1"/>
  <c r="G73" i="5"/>
  <c r="I72" i="5"/>
  <c r="H72" i="5"/>
  <c r="J72" i="5" s="1"/>
  <c r="G72" i="5"/>
  <c r="I71" i="5"/>
  <c r="H71" i="5"/>
  <c r="J71" i="5" s="1"/>
  <c r="G71" i="5"/>
  <c r="I70" i="5"/>
  <c r="H70" i="5"/>
  <c r="J70" i="5" s="1"/>
  <c r="G70" i="5"/>
  <c r="I69" i="5"/>
  <c r="H69" i="5"/>
  <c r="J69" i="5" s="1"/>
  <c r="G69" i="5"/>
  <c r="I68" i="5"/>
  <c r="H68" i="5"/>
  <c r="J68" i="5" s="1"/>
  <c r="G68" i="5"/>
  <c r="I67" i="5"/>
  <c r="H67" i="5"/>
  <c r="J67" i="5" s="1"/>
  <c r="G67" i="5"/>
  <c r="I66" i="5"/>
  <c r="H66" i="5"/>
  <c r="J66" i="5" s="1"/>
  <c r="G66" i="5"/>
  <c r="I65" i="5"/>
  <c r="H65" i="5"/>
  <c r="J65" i="5" s="1"/>
  <c r="G65" i="5"/>
  <c r="I64" i="5"/>
  <c r="H64" i="5"/>
  <c r="J64" i="5" s="1"/>
  <c r="G64" i="5"/>
  <c r="I63" i="5"/>
  <c r="H63" i="5"/>
  <c r="J63" i="5" s="1"/>
  <c r="G63" i="5"/>
  <c r="I62" i="5"/>
  <c r="H62" i="5"/>
  <c r="J62" i="5" s="1"/>
  <c r="G62" i="5"/>
  <c r="I61" i="5"/>
  <c r="H61" i="5"/>
  <c r="J61" i="5" s="1"/>
  <c r="G61" i="5"/>
  <c r="I60" i="5"/>
  <c r="H60" i="5"/>
  <c r="J60" i="5" s="1"/>
  <c r="G60" i="5"/>
  <c r="I59" i="5"/>
  <c r="H59" i="5"/>
  <c r="J59" i="5" s="1"/>
  <c r="G59" i="5"/>
  <c r="I58" i="5"/>
  <c r="H58" i="5"/>
  <c r="J58" i="5" s="1"/>
  <c r="G58" i="5"/>
  <c r="I57" i="5"/>
  <c r="H57" i="5"/>
  <c r="J57" i="5" s="1"/>
  <c r="G57" i="5"/>
  <c r="I56" i="5"/>
  <c r="H56" i="5"/>
  <c r="J56" i="5" s="1"/>
  <c r="G56" i="5"/>
  <c r="I55" i="5"/>
  <c r="H55" i="5"/>
  <c r="J55" i="5" s="1"/>
  <c r="G55" i="5"/>
  <c r="I54" i="5"/>
  <c r="H54" i="5"/>
  <c r="J54" i="5" s="1"/>
  <c r="G54" i="5"/>
  <c r="I53" i="5"/>
  <c r="H53" i="5"/>
  <c r="J53" i="5" s="1"/>
  <c r="G53" i="5"/>
  <c r="I52" i="5"/>
  <c r="H52" i="5"/>
  <c r="J52" i="5" s="1"/>
  <c r="G52" i="5"/>
  <c r="I51" i="5"/>
  <c r="H51" i="5"/>
  <c r="J51" i="5" s="1"/>
  <c r="G51" i="5"/>
  <c r="I50" i="5"/>
  <c r="H50" i="5"/>
  <c r="J50" i="5" s="1"/>
  <c r="G50" i="5"/>
  <c r="I49" i="5"/>
  <c r="H49" i="5"/>
  <c r="J49" i="5" s="1"/>
  <c r="G49" i="5"/>
  <c r="I48" i="5"/>
  <c r="H48" i="5"/>
  <c r="J48" i="5" s="1"/>
  <c r="G48" i="5"/>
  <c r="I47" i="5"/>
  <c r="H47" i="5"/>
  <c r="J47" i="5" s="1"/>
  <c r="G47" i="5"/>
  <c r="I46" i="5"/>
  <c r="H46" i="5"/>
  <c r="J46" i="5" s="1"/>
  <c r="G46" i="5"/>
  <c r="I45" i="5"/>
  <c r="H45" i="5"/>
  <c r="J45" i="5" s="1"/>
  <c r="G45" i="5"/>
  <c r="I44" i="5"/>
  <c r="H44" i="5"/>
  <c r="J44" i="5" s="1"/>
  <c r="G44" i="5"/>
  <c r="I43" i="5"/>
  <c r="H43" i="5"/>
  <c r="J43" i="5" s="1"/>
  <c r="G43" i="5"/>
  <c r="I42" i="5"/>
  <c r="H42" i="5"/>
  <c r="J42" i="5" s="1"/>
  <c r="G42" i="5"/>
  <c r="I41" i="5"/>
  <c r="H41" i="5"/>
  <c r="J41" i="5" s="1"/>
  <c r="G41" i="5"/>
  <c r="I40" i="5"/>
  <c r="H40" i="5"/>
  <c r="J40" i="5" s="1"/>
  <c r="G40" i="5"/>
  <c r="I39" i="5"/>
  <c r="H39" i="5"/>
  <c r="J39" i="5" s="1"/>
  <c r="G39" i="5"/>
  <c r="I38" i="5"/>
  <c r="H38" i="5"/>
  <c r="J38" i="5" s="1"/>
  <c r="G38" i="5"/>
  <c r="I37" i="5"/>
  <c r="H37" i="5"/>
  <c r="J37" i="5" s="1"/>
  <c r="G37" i="5"/>
  <c r="I36" i="5"/>
  <c r="H36" i="5"/>
  <c r="J36" i="5" s="1"/>
  <c r="G36" i="5"/>
  <c r="I35" i="5"/>
  <c r="H35" i="5"/>
  <c r="J35" i="5" s="1"/>
  <c r="G35" i="5"/>
  <c r="I34" i="5"/>
  <c r="H34" i="5"/>
  <c r="J34" i="5" s="1"/>
  <c r="G34" i="5"/>
  <c r="I33" i="5"/>
  <c r="H33" i="5"/>
  <c r="J33" i="5" s="1"/>
  <c r="G33" i="5"/>
  <c r="I32" i="5"/>
  <c r="H32" i="5"/>
  <c r="J32" i="5" s="1"/>
  <c r="G32" i="5"/>
  <c r="I31" i="5"/>
  <c r="H31" i="5"/>
  <c r="J31" i="5" s="1"/>
  <c r="G31" i="5"/>
  <c r="I30" i="5"/>
  <c r="H30" i="5"/>
  <c r="J30" i="5" s="1"/>
  <c r="G30" i="5"/>
  <c r="I29" i="5"/>
  <c r="H29" i="5"/>
  <c r="J29" i="5" s="1"/>
  <c r="G29" i="5"/>
  <c r="I28" i="5"/>
  <c r="H28" i="5"/>
  <c r="J28" i="5" s="1"/>
  <c r="G28" i="5"/>
  <c r="I27" i="5"/>
  <c r="H27" i="5"/>
  <c r="J27" i="5" s="1"/>
  <c r="G27" i="5"/>
  <c r="I26" i="5"/>
  <c r="H26" i="5"/>
  <c r="J26" i="5" s="1"/>
  <c r="G26" i="5"/>
  <c r="I25" i="5"/>
  <c r="H25" i="5"/>
  <c r="J25" i="5" s="1"/>
  <c r="G25" i="5"/>
  <c r="I24" i="5"/>
  <c r="H24" i="5"/>
  <c r="J24" i="5" s="1"/>
  <c r="G24" i="5"/>
  <c r="I23" i="5"/>
  <c r="H23" i="5"/>
  <c r="J23" i="5" s="1"/>
  <c r="G23" i="5"/>
  <c r="I22" i="5"/>
  <c r="H22" i="5"/>
  <c r="J22" i="5" s="1"/>
  <c r="G22" i="5"/>
  <c r="I21" i="5"/>
  <c r="H21" i="5"/>
  <c r="J21" i="5" s="1"/>
  <c r="G21" i="5"/>
  <c r="I20" i="5"/>
  <c r="H20" i="5"/>
  <c r="J20" i="5" s="1"/>
  <c r="G20" i="5"/>
  <c r="I19" i="5"/>
  <c r="H19" i="5"/>
  <c r="J19" i="5" s="1"/>
  <c r="G19" i="5"/>
  <c r="I18" i="5"/>
  <c r="H18" i="5"/>
  <c r="J18" i="5" s="1"/>
  <c r="G18" i="5"/>
  <c r="I17" i="5"/>
  <c r="H17" i="5"/>
  <c r="J17" i="5" s="1"/>
  <c r="G17" i="5"/>
  <c r="I16" i="5"/>
  <c r="H16" i="5"/>
  <c r="J16" i="5" s="1"/>
  <c r="G16" i="5"/>
  <c r="I15" i="5"/>
  <c r="H15" i="5"/>
  <c r="J15" i="5" s="1"/>
  <c r="G15" i="5"/>
  <c r="I14" i="5"/>
  <c r="H14" i="5"/>
  <c r="J14" i="5" s="1"/>
  <c r="G14" i="5"/>
  <c r="I13" i="5"/>
  <c r="H13" i="5"/>
  <c r="J13" i="5" s="1"/>
  <c r="G13" i="5"/>
  <c r="I12" i="5"/>
  <c r="H12" i="5"/>
  <c r="J12" i="5" s="1"/>
  <c r="G12" i="5"/>
  <c r="I11" i="5"/>
  <c r="H11" i="5"/>
  <c r="J11" i="5" s="1"/>
  <c r="G11" i="5"/>
  <c r="I10" i="5"/>
  <c r="H10" i="5"/>
  <c r="J10" i="5" s="1"/>
  <c r="G10" i="5"/>
  <c r="I9" i="5"/>
  <c r="H9" i="5"/>
  <c r="J9" i="5" s="1"/>
  <c r="G9" i="5"/>
  <c r="I8" i="5"/>
  <c r="H8" i="5"/>
  <c r="J8" i="5" s="1"/>
  <c r="G8" i="5"/>
  <c r="I7" i="5"/>
  <c r="H7" i="5"/>
  <c r="J7" i="5" s="1"/>
  <c r="G7" i="5"/>
  <c r="I6" i="5"/>
  <c r="H6" i="5"/>
  <c r="J6" i="5" s="1"/>
  <c r="G6" i="5"/>
  <c r="I5" i="5"/>
  <c r="H5" i="5"/>
  <c r="J5" i="5" s="1"/>
  <c r="G5" i="5"/>
  <c r="I4" i="5"/>
  <c r="H4" i="5"/>
  <c r="J4" i="5" s="1"/>
  <c r="G4" i="5"/>
  <c r="J3" i="5"/>
  <c r="I3" i="5"/>
  <c r="G3" i="5"/>
  <c r="J2" i="5"/>
  <c r="I2" i="5"/>
  <c r="G2" i="5"/>
  <c r="J961" i="4"/>
  <c r="I961" i="4"/>
  <c r="G961" i="4"/>
  <c r="J960" i="4"/>
  <c r="I960" i="4"/>
  <c r="G960" i="4"/>
  <c r="I959" i="4"/>
  <c r="H959" i="4"/>
  <c r="J959" i="4" s="1"/>
  <c r="G959" i="4"/>
  <c r="I958" i="4"/>
  <c r="H958" i="4"/>
  <c r="J958" i="4" s="1"/>
  <c r="G958" i="4"/>
  <c r="I957" i="4"/>
  <c r="H957" i="4"/>
  <c r="J957" i="4" s="1"/>
  <c r="G957" i="4"/>
  <c r="I956" i="4"/>
  <c r="H956" i="4"/>
  <c r="J956" i="4" s="1"/>
  <c r="G956" i="4"/>
  <c r="I955" i="4"/>
  <c r="H955" i="4"/>
  <c r="J955" i="4" s="1"/>
  <c r="G955" i="4"/>
  <c r="I954" i="4"/>
  <c r="H954" i="4"/>
  <c r="J954" i="4" s="1"/>
  <c r="G954" i="4"/>
  <c r="I953" i="4"/>
  <c r="H953" i="4"/>
  <c r="J953" i="4" s="1"/>
  <c r="G953" i="4"/>
  <c r="I952" i="4"/>
  <c r="H952" i="4"/>
  <c r="J952" i="4" s="1"/>
  <c r="G952" i="4"/>
  <c r="I951" i="4"/>
  <c r="H951" i="4"/>
  <c r="J951" i="4" s="1"/>
  <c r="G951" i="4"/>
  <c r="I950" i="4"/>
  <c r="H950" i="4"/>
  <c r="J950" i="4" s="1"/>
  <c r="G950" i="4"/>
  <c r="I949" i="4"/>
  <c r="H949" i="4"/>
  <c r="J949" i="4" s="1"/>
  <c r="G949" i="4"/>
  <c r="I948" i="4"/>
  <c r="H948" i="4"/>
  <c r="J948" i="4" s="1"/>
  <c r="G948" i="4"/>
  <c r="I947" i="4"/>
  <c r="H947" i="4"/>
  <c r="J947" i="4" s="1"/>
  <c r="G947" i="4"/>
  <c r="I946" i="4"/>
  <c r="H946" i="4"/>
  <c r="J946" i="4" s="1"/>
  <c r="G946" i="4"/>
  <c r="I945" i="4"/>
  <c r="H945" i="4"/>
  <c r="J945" i="4" s="1"/>
  <c r="G945" i="4"/>
  <c r="I944" i="4"/>
  <c r="H944" i="4"/>
  <c r="J944" i="4" s="1"/>
  <c r="G944" i="4"/>
  <c r="I943" i="4"/>
  <c r="H943" i="4"/>
  <c r="J943" i="4" s="1"/>
  <c r="G943" i="4"/>
  <c r="I942" i="4"/>
  <c r="H942" i="4"/>
  <c r="J942" i="4" s="1"/>
  <c r="G942" i="4"/>
  <c r="I941" i="4"/>
  <c r="H941" i="4"/>
  <c r="J941" i="4" s="1"/>
  <c r="G941" i="4"/>
  <c r="I940" i="4"/>
  <c r="H940" i="4"/>
  <c r="J940" i="4" s="1"/>
  <c r="G940" i="4"/>
  <c r="I939" i="4"/>
  <c r="H939" i="4"/>
  <c r="J939" i="4" s="1"/>
  <c r="G939" i="4"/>
  <c r="I938" i="4"/>
  <c r="H938" i="4"/>
  <c r="J938" i="4" s="1"/>
  <c r="G938" i="4"/>
  <c r="I937" i="4"/>
  <c r="H937" i="4"/>
  <c r="J937" i="4" s="1"/>
  <c r="G937" i="4"/>
  <c r="I936" i="4"/>
  <c r="H936" i="4"/>
  <c r="J936" i="4" s="1"/>
  <c r="G936" i="4"/>
  <c r="I935" i="4"/>
  <c r="H935" i="4"/>
  <c r="J935" i="4" s="1"/>
  <c r="G935" i="4"/>
  <c r="I934" i="4"/>
  <c r="H934" i="4"/>
  <c r="J934" i="4" s="1"/>
  <c r="G934" i="4"/>
  <c r="I933" i="4"/>
  <c r="H933" i="4"/>
  <c r="J933" i="4" s="1"/>
  <c r="G933" i="4"/>
  <c r="I932" i="4"/>
  <c r="H932" i="4"/>
  <c r="J932" i="4" s="1"/>
  <c r="G932" i="4"/>
  <c r="I931" i="4"/>
  <c r="H931" i="4"/>
  <c r="J931" i="4" s="1"/>
  <c r="G931" i="4"/>
  <c r="I930" i="4"/>
  <c r="H930" i="4"/>
  <c r="J930" i="4" s="1"/>
  <c r="G930" i="4"/>
  <c r="I929" i="4"/>
  <c r="H929" i="4"/>
  <c r="J929" i="4" s="1"/>
  <c r="G929" i="4"/>
  <c r="I928" i="4"/>
  <c r="H928" i="4"/>
  <c r="J928" i="4" s="1"/>
  <c r="G928" i="4"/>
  <c r="I927" i="4"/>
  <c r="H927" i="4"/>
  <c r="J927" i="4" s="1"/>
  <c r="G927" i="4"/>
  <c r="I926" i="4"/>
  <c r="H926" i="4"/>
  <c r="J926" i="4" s="1"/>
  <c r="G926" i="4"/>
  <c r="I925" i="4"/>
  <c r="H925" i="4"/>
  <c r="J925" i="4" s="1"/>
  <c r="G925" i="4"/>
  <c r="I924" i="4"/>
  <c r="H924" i="4"/>
  <c r="J924" i="4" s="1"/>
  <c r="G924" i="4"/>
  <c r="I923" i="4"/>
  <c r="H923" i="4"/>
  <c r="J923" i="4" s="1"/>
  <c r="G923" i="4"/>
  <c r="I922" i="4"/>
  <c r="H922" i="4"/>
  <c r="J922" i="4" s="1"/>
  <c r="G922" i="4"/>
  <c r="I921" i="4"/>
  <c r="H921" i="4"/>
  <c r="J921" i="4" s="1"/>
  <c r="G921" i="4"/>
  <c r="I920" i="4"/>
  <c r="H920" i="4"/>
  <c r="J920" i="4" s="1"/>
  <c r="G920" i="4"/>
  <c r="I919" i="4"/>
  <c r="H919" i="4"/>
  <c r="J919" i="4" s="1"/>
  <c r="G919" i="4"/>
  <c r="I918" i="4"/>
  <c r="H918" i="4"/>
  <c r="J918" i="4" s="1"/>
  <c r="G918" i="4"/>
  <c r="I917" i="4"/>
  <c r="H917" i="4"/>
  <c r="J917" i="4" s="1"/>
  <c r="G917" i="4"/>
  <c r="I916" i="4"/>
  <c r="H916" i="4"/>
  <c r="J916" i="4" s="1"/>
  <c r="G916" i="4"/>
  <c r="I915" i="4"/>
  <c r="H915" i="4"/>
  <c r="J915" i="4" s="1"/>
  <c r="G915" i="4"/>
  <c r="I914" i="4"/>
  <c r="H914" i="4"/>
  <c r="J914" i="4" s="1"/>
  <c r="G914" i="4"/>
  <c r="I913" i="4"/>
  <c r="H913" i="4"/>
  <c r="J913" i="4" s="1"/>
  <c r="G913" i="4"/>
  <c r="I912" i="4"/>
  <c r="H912" i="4"/>
  <c r="J912" i="4" s="1"/>
  <c r="G912" i="4"/>
  <c r="I911" i="4"/>
  <c r="H911" i="4"/>
  <c r="J911" i="4" s="1"/>
  <c r="G911" i="4"/>
  <c r="I910" i="4"/>
  <c r="H910" i="4"/>
  <c r="J910" i="4" s="1"/>
  <c r="G910" i="4"/>
  <c r="I909" i="4"/>
  <c r="H909" i="4"/>
  <c r="J909" i="4" s="1"/>
  <c r="G909" i="4"/>
  <c r="I908" i="4"/>
  <c r="H908" i="4"/>
  <c r="J908" i="4" s="1"/>
  <c r="G908" i="4"/>
  <c r="I907" i="4"/>
  <c r="H907" i="4"/>
  <c r="J907" i="4" s="1"/>
  <c r="G907" i="4"/>
  <c r="I906" i="4"/>
  <c r="H906" i="4"/>
  <c r="J906" i="4" s="1"/>
  <c r="G906" i="4"/>
  <c r="I905" i="4"/>
  <c r="H905" i="4"/>
  <c r="J905" i="4" s="1"/>
  <c r="G905" i="4"/>
  <c r="I904" i="4"/>
  <c r="H904" i="4"/>
  <c r="J904" i="4" s="1"/>
  <c r="G904" i="4"/>
  <c r="I903" i="4"/>
  <c r="H903" i="4"/>
  <c r="J903" i="4" s="1"/>
  <c r="G903" i="4"/>
  <c r="I902" i="4"/>
  <c r="H902" i="4"/>
  <c r="J902" i="4" s="1"/>
  <c r="G902" i="4"/>
  <c r="I901" i="4"/>
  <c r="H901" i="4"/>
  <c r="J901" i="4" s="1"/>
  <c r="G901" i="4"/>
  <c r="I900" i="4"/>
  <c r="H900" i="4"/>
  <c r="J900" i="4" s="1"/>
  <c r="G900" i="4"/>
  <c r="I899" i="4"/>
  <c r="H899" i="4"/>
  <c r="J899" i="4" s="1"/>
  <c r="G899" i="4"/>
  <c r="I898" i="4"/>
  <c r="H898" i="4"/>
  <c r="J898" i="4" s="1"/>
  <c r="G898" i="4"/>
  <c r="I897" i="4"/>
  <c r="H897" i="4"/>
  <c r="J897" i="4" s="1"/>
  <c r="G897" i="4"/>
  <c r="I896" i="4"/>
  <c r="H896" i="4"/>
  <c r="J896" i="4" s="1"/>
  <c r="G896" i="4"/>
  <c r="I895" i="4"/>
  <c r="H895" i="4"/>
  <c r="J895" i="4" s="1"/>
  <c r="G895" i="4"/>
  <c r="I894" i="4"/>
  <c r="H894" i="4"/>
  <c r="J894" i="4" s="1"/>
  <c r="G894" i="4"/>
  <c r="I893" i="4"/>
  <c r="H893" i="4"/>
  <c r="J893" i="4" s="1"/>
  <c r="G893" i="4"/>
  <c r="I892" i="4"/>
  <c r="H892" i="4"/>
  <c r="J892" i="4" s="1"/>
  <c r="G892" i="4"/>
  <c r="I891" i="4"/>
  <c r="H891" i="4"/>
  <c r="J891" i="4" s="1"/>
  <c r="G891" i="4"/>
  <c r="I890" i="4"/>
  <c r="H890" i="4"/>
  <c r="J890" i="4" s="1"/>
  <c r="G890" i="4"/>
  <c r="I889" i="4"/>
  <c r="H889" i="4"/>
  <c r="J889" i="4" s="1"/>
  <c r="G889" i="4"/>
  <c r="I888" i="4"/>
  <c r="H888" i="4"/>
  <c r="J888" i="4" s="1"/>
  <c r="G888" i="4"/>
  <c r="I887" i="4"/>
  <c r="H887" i="4"/>
  <c r="J887" i="4" s="1"/>
  <c r="G887" i="4"/>
  <c r="I886" i="4"/>
  <c r="H886" i="4"/>
  <c r="J886" i="4" s="1"/>
  <c r="G886" i="4"/>
  <c r="I885" i="4"/>
  <c r="H885" i="4"/>
  <c r="J885" i="4" s="1"/>
  <c r="G885" i="4"/>
  <c r="I884" i="4"/>
  <c r="H884" i="4"/>
  <c r="J884" i="4" s="1"/>
  <c r="G884" i="4"/>
  <c r="I883" i="4"/>
  <c r="H883" i="4"/>
  <c r="J883" i="4" s="1"/>
  <c r="G883" i="4"/>
  <c r="I882" i="4"/>
  <c r="H882" i="4"/>
  <c r="J882" i="4" s="1"/>
  <c r="G882" i="4"/>
  <c r="I881" i="4"/>
  <c r="H881" i="4"/>
  <c r="J881" i="4" s="1"/>
  <c r="G881" i="4"/>
  <c r="I880" i="4"/>
  <c r="H880" i="4"/>
  <c r="J880" i="4" s="1"/>
  <c r="G880" i="4"/>
  <c r="I879" i="4"/>
  <c r="H879" i="4"/>
  <c r="J879" i="4" s="1"/>
  <c r="G879" i="4"/>
  <c r="I878" i="4"/>
  <c r="H878" i="4"/>
  <c r="J878" i="4" s="1"/>
  <c r="G878" i="4"/>
  <c r="I877" i="4"/>
  <c r="H877" i="4"/>
  <c r="J877" i="4" s="1"/>
  <c r="G877" i="4"/>
  <c r="I876" i="4"/>
  <c r="H876" i="4"/>
  <c r="J876" i="4" s="1"/>
  <c r="G876" i="4"/>
  <c r="I875" i="4"/>
  <c r="H875" i="4"/>
  <c r="J875" i="4" s="1"/>
  <c r="G875" i="4"/>
  <c r="I874" i="4"/>
  <c r="H874" i="4"/>
  <c r="J874" i="4" s="1"/>
  <c r="G874" i="4"/>
  <c r="I873" i="4"/>
  <c r="H873" i="4"/>
  <c r="J873" i="4" s="1"/>
  <c r="G873" i="4"/>
  <c r="I872" i="4"/>
  <c r="H872" i="4"/>
  <c r="J872" i="4" s="1"/>
  <c r="G872" i="4"/>
  <c r="I871" i="4"/>
  <c r="H871" i="4"/>
  <c r="J871" i="4" s="1"/>
  <c r="G871" i="4"/>
  <c r="I870" i="4"/>
  <c r="H870" i="4"/>
  <c r="J870" i="4" s="1"/>
  <c r="G870" i="4"/>
  <c r="I869" i="4"/>
  <c r="H869" i="4"/>
  <c r="J869" i="4" s="1"/>
  <c r="G869" i="4"/>
  <c r="I868" i="4"/>
  <c r="H868" i="4"/>
  <c r="J868" i="4" s="1"/>
  <c r="G868" i="4"/>
  <c r="I867" i="4"/>
  <c r="H867" i="4"/>
  <c r="J867" i="4" s="1"/>
  <c r="G867" i="4"/>
  <c r="I866" i="4"/>
  <c r="H866" i="4"/>
  <c r="J866" i="4" s="1"/>
  <c r="G866" i="4"/>
  <c r="I865" i="4"/>
  <c r="H865" i="4"/>
  <c r="J865" i="4" s="1"/>
  <c r="G865" i="4"/>
  <c r="I864" i="4"/>
  <c r="H864" i="4"/>
  <c r="J864" i="4" s="1"/>
  <c r="G864" i="4"/>
  <c r="I863" i="4"/>
  <c r="H863" i="4"/>
  <c r="J863" i="4" s="1"/>
  <c r="G863" i="4"/>
  <c r="I862" i="4"/>
  <c r="H862" i="4"/>
  <c r="J862" i="4" s="1"/>
  <c r="G862" i="4"/>
  <c r="I861" i="4"/>
  <c r="H861" i="4"/>
  <c r="J861" i="4" s="1"/>
  <c r="G861" i="4"/>
  <c r="I860" i="4"/>
  <c r="H860" i="4"/>
  <c r="J860" i="4" s="1"/>
  <c r="G860" i="4"/>
  <c r="I859" i="4"/>
  <c r="H859" i="4"/>
  <c r="J859" i="4" s="1"/>
  <c r="G859" i="4"/>
  <c r="I858" i="4"/>
  <c r="H858" i="4"/>
  <c r="J858" i="4" s="1"/>
  <c r="G858" i="4"/>
  <c r="I857" i="4"/>
  <c r="H857" i="4"/>
  <c r="J857" i="4" s="1"/>
  <c r="G857" i="4"/>
  <c r="I856" i="4"/>
  <c r="H856" i="4"/>
  <c r="J856" i="4" s="1"/>
  <c r="G856" i="4"/>
  <c r="I855" i="4"/>
  <c r="H855" i="4"/>
  <c r="J855" i="4" s="1"/>
  <c r="G855" i="4"/>
  <c r="I854" i="4"/>
  <c r="H854" i="4"/>
  <c r="J854" i="4" s="1"/>
  <c r="G854" i="4"/>
  <c r="I853" i="4"/>
  <c r="H853" i="4"/>
  <c r="J853" i="4" s="1"/>
  <c r="G853" i="4"/>
  <c r="I852" i="4"/>
  <c r="H852" i="4"/>
  <c r="J852" i="4" s="1"/>
  <c r="G852" i="4"/>
  <c r="I851" i="4"/>
  <c r="H851" i="4"/>
  <c r="J851" i="4" s="1"/>
  <c r="G851" i="4"/>
  <c r="I850" i="4"/>
  <c r="H850" i="4"/>
  <c r="J850" i="4" s="1"/>
  <c r="G850" i="4"/>
  <c r="I849" i="4"/>
  <c r="H849" i="4"/>
  <c r="J849" i="4" s="1"/>
  <c r="G849" i="4"/>
  <c r="I848" i="4"/>
  <c r="H848" i="4"/>
  <c r="J848" i="4" s="1"/>
  <c r="G848" i="4"/>
  <c r="I847" i="4"/>
  <c r="H847" i="4"/>
  <c r="J847" i="4" s="1"/>
  <c r="G847" i="4"/>
  <c r="I846" i="4"/>
  <c r="H846" i="4"/>
  <c r="J846" i="4" s="1"/>
  <c r="G846" i="4"/>
  <c r="I845" i="4"/>
  <c r="H845" i="4"/>
  <c r="J845" i="4" s="1"/>
  <c r="G845" i="4"/>
  <c r="I844" i="4"/>
  <c r="H844" i="4"/>
  <c r="J844" i="4" s="1"/>
  <c r="G844" i="4"/>
  <c r="I843" i="4"/>
  <c r="H843" i="4"/>
  <c r="J843" i="4" s="1"/>
  <c r="G843" i="4"/>
  <c r="I842" i="4"/>
  <c r="H842" i="4"/>
  <c r="J842" i="4" s="1"/>
  <c r="G842" i="4"/>
  <c r="I841" i="4"/>
  <c r="H841" i="4"/>
  <c r="J841" i="4" s="1"/>
  <c r="G841" i="4"/>
  <c r="I840" i="4"/>
  <c r="H840" i="4"/>
  <c r="J840" i="4" s="1"/>
  <c r="G840" i="4"/>
  <c r="I839" i="4"/>
  <c r="H839" i="4"/>
  <c r="J839" i="4" s="1"/>
  <c r="G839" i="4"/>
  <c r="I838" i="4"/>
  <c r="H838" i="4"/>
  <c r="J838" i="4" s="1"/>
  <c r="G838" i="4"/>
  <c r="I837" i="4"/>
  <c r="H837" i="4"/>
  <c r="J837" i="4" s="1"/>
  <c r="G837" i="4"/>
  <c r="I836" i="4"/>
  <c r="H836" i="4"/>
  <c r="J836" i="4" s="1"/>
  <c r="G836" i="4"/>
  <c r="I835" i="4"/>
  <c r="H835" i="4"/>
  <c r="J835" i="4" s="1"/>
  <c r="G835" i="4"/>
  <c r="I834" i="4"/>
  <c r="H834" i="4"/>
  <c r="J834" i="4" s="1"/>
  <c r="G834" i="4"/>
  <c r="I833" i="4"/>
  <c r="H833" i="4"/>
  <c r="J833" i="4" s="1"/>
  <c r="G833" i="4"/>
  <c r="I832" i="4"/>
  <c r="H832" i="4"/>
  <c r="J832" i="4" s="1"/>
  <c r="G832" i="4"/>
  <c r="I831" i="4"/>
  <c r="H831" i="4"/>
  <c r="J831" i="4" s="1"/>
  <c r="G831" i="4"/>
  <c r="I830" i="4"/>
  <c r="H830" i="4"/>
  <c r="J830" i="4" s="1"/>
  <c r="G830" i="4"/>
  <c r="I829" i="4"/>
  <c r="H829" i="4"/>
  <c r="J829" i="4" s="1"/>
  <c r="G829" i="4"/>
  <c r="I828" i="4"/>
  <c r="H828" i="4"/>
  <c r="J828" i="4" s="1"/>
  <c r="G828" i="4"/>
  <c r="I827" i="4"/>
  <c r="H827" i="4"/>
  <c r="J827" i="4" s="1"/>
  <c r="G827" i="4"/>
  <c r="I826" i="4"/>
  <c r="H826" i="4"/>
  <c r="J826" i="4" s="1"/>
  <c r="G826" i="4"/>
  <c r="I825" i="4"/>
  <c r="H825" i="4"/>
  <c r="J825" i="4" s="1"/>
  <c r="G825" i="4"/>
  <c r="I824" i="4"/>
  <c r="H824" i="4"/>
  <c r="J824" i="4" s="1"/>
  <c r="G824" i="4"/>
  <c r="I823" i="4"/>
  <c r="H823" i="4"/>
  <c r="J823" i="4" s="1"/>
  <c r="G823" i="4"/>
  <c r="I822" i="4"/>
  <c r="H822" i="4"/>
  <c r="J822" i="4" s="1"/>
  <c r="G822" i="4"/>
  <c r="I821" i="4"/>
  <c r="H821" i="4"/>
  <c r="J821" i="4" s="1"/>
  <c r="G821" i="4"/>
  <c r="I820" i="4"/>
  <c r="H820" i="4"/>
  <c r="J820" i="4" s="1"/>
  <c r="G820" i="4"/>
  <c r="I819" i="4"/>
  <c r="H819" i="4"/>
  <c r="J819" i="4" s="1"/>
  <c r="G819" i="4"/>
  <c r="I818" i="4"/>
  <c r="H818" i="4"/>
  <c r="J818" i="4" s="1"/>
  <c r="G818" i="4"/>
  <c r="I817" i="4"/>
  <c r="H817" i="4"/>
  <c r="J817" i="4" s="1"/>
  <c r="G817" i="4"/>
  <c r="I816" i="4"/>
  <c r="H816" i="4"/>
  <c r="J816" i="4" s="1"/>
  <c r="G816" i="4"/>
  <c r="I815" i="4"/>
  <c r="H815" i="4"/>
  <c r="J815" i="4" s="1"/>
  <c r="G815" i="4"/>
  <c r="I814" i="4"/>
  <c r="H814" i="4"/>
  <c r="J814" i="4" s="1"/>
  <c r="G814" i="4"/>
  <c r="I813" i="4"/>
  <c r="H813" i="4"/>
  <c r="J813" i="4" s="1"/>
  <c r="G813" i="4"/>
  <c r="I812" i="4"/>
  <c r="H812" i="4"/>
  <c r="J812" i="4" s="1"/>
  <c r="G812" i="4"/>
  <c r="I811" i="4"/>
  <c r="H811" i="4"/>
  <c r="J811" i="4" s="1"/>
  <c r="G811" i="4"/>
  <c r="I810" i="4"/>
  <c r="H810" i="4"/>
  <c r="J810" i="4" s="1"/>
  <c r="G810" i="4"/>
  <c r="I809" i="4"/>
  <c r="H809" i="4"/>
  <c r="J809" i="4" s="1"/>
  <c r="G809" i="4"/>
  <c r="I808" i="4"/>
  <c r="H808" i="4"/>
  <c r="J808" i="4" s="1"/>
  <c r="G808" i="4"/>
  <c r="I807" i="4"/>
  <c r="H807" i="4"/>
  <c r="J807" i="4" s="1"/>
  <c r="G807" i="4"/>
  <c r="I806" i="4"/>
  <c r="H806" i="4"/>
  <c r="J806" i="4" s="1"/>
  <c r="G806" i="4"/>
  <c r="I805" i="4"/>
  <c r="H805" i="4"/>
  <c r="J805" i="4" s="1"/>
  <c r="G805" i="4"/>
  <c r="I804" i="4"/>
  <c r="H804" i="4"/>
  <c r="J804" i="4" s="1"/>
  <c r="G804" i="4"/>
  <c r="I803" i="4"/>
  <c r="H803" i="4"/>
  <c r="J803" i="4" s="1"/>
  <c r="G803" i="4"/>
  <c r="I802" i="4"/>
  <c r="H802" i="4"/>
  <c r="J802" i="4" s="1"/>
  <c r="G802" i="4"/>
  <c r="I801" i="4"/>
  <c r="H801" i="4"/>
  <c r="J801" i="4" s="1"/>
  <c r="G801" i="4"/>
  <c r="I800" i="4"/>
  <c r="H800" i="4"/>
  <c r="J800" i="4" s="1"/>
  <c r="G800" i="4"/>
  <c r="I799" i="4"/>
  <c r="H799" i="4"/>
  <c r="J799" i="4" s="1"/>
  <c r="G799" i="4"/>
  <c r="I798" i="4"/>
  <c r="H798" i="4"/>
  <c r="J798" i="4" s="1"/>
  <c r="G798" i="4"/>
  <c r="I797" i="4"/>
  <c r="H797" i="4"/>
  <c r="J797" i="4" s="1"/>
  <c r="G797" i="4"/>
  <c r="I796" i="4"/>
  <c r="H796" i="4"/>
  <c r="J796" i="4" s="1"/>
  <c r="G796" i="4"/>
  <c r="I795" i="4"/>
  <c r="H795" i="4"/>
  <c r="J795" i="4" s="1"/>
  <c r="G795" i="4"/>
  <c r="I794" i="4"/>
  <c r="H794" i="4"/>
  <c r="J794" i="4" s="1"/>
  <c r="G794" i="4"/>
  <c r="I793" i="4"/>
  <c r="H793" i="4"/>
  <c r="J793" i="4" s="1"/>
  <c r="G793" i="4"/>
  <c r="I792" i="4"/>
  <c r="H792" i="4"/>
  <c r="J792" i="4" s="1"/>
  <c r="G792" i="4"/>
  <c r="I791" i="4"/>
  <c r="H791" i="4"/>
  <c r="J791" i="4" s="1"/>
  <c r="G791" i="4"/>
  <c r="I790" i="4"/>
  <c r="H790" i="4"/>
  <c r="J790" i="4" s="1"/>
  <c r="G790" i="4"/>
  <c r="I789" i="4"/>
  <c r="H789" i="4"/>
  <c r="J789" i="4" s="1"/>
  <c r="G789" i="4"/>
  <c r="I788" i="4"/>
  <c r="H788" i="4"/>
  <c r="J788" i="4" s="1"/>
  <c r="G788" i="4"/>
  <c r="I787" i="4"/>
  <c r="H787" i="4"/>
  <c r="J787" i="4" s="1"/>
  <c r="G787" i="4"/>
  <c r="I786" i="4"/>
  <c r="H786" i="4"/>
  <c r="J786" i="4" s="1"/>
  <c r="G786" i="4"/>
  <c r="I785" i="4"/>
  <c r="H785" i="4"/>
  <c r="J785" i="4" s="1"/>
  <c r="G785" i="4"/>
  <c r="I784" i="4"/>
  <c r="H784" i="4"/>
  <c r="J784" i="4" s="1"/>
  <c r="G784" i="4"/>
  <c r="I783" i="4"/>
  <c r="H783" i="4"/>
  <c r="J783" i="4" s="1"/>
  <c r="G783" i="4"/>
  <c r="I782" i="4"/>
  <c r="H782" i="4"/>
  <c r="J782" i="4" s="1"/>
  <c r="G782" i="4"/>
  <c r="I781" i="4"/>
  <c r="H781" i="4"/>
  <c r="J781" i="4" s="1"/>
  <c r="G781" i="4"/>
  <c r="I780" i="4"/>
  <c r="H780" i="4"/>
  <c r="J780" i="4" s="1"/>
  <c r="G780" i="4"/>
  <c r="I779" i="4"/>
  <c r="H779" i="4"/>
  <c r="J779" i="4" s="1"/>
  <c r="G779" i="4"/>
  <c r="I778" i="4"/>
  <c r="H778" i="4"/>
  <c r="J778" i="4" s="1"/>
  <c r="G778" i="4"/>
  <c r="I777" i="4"/>
  <c r="H777" i="4"/>
  <c r="J777" i="4" s="1"/>
  <c r="G777" i="4"/>
  <c r="I776" i="4"/>
  <c r="H776" i="4"/>
  <c r="J776" i="4" s="1"/>
  <c r="G776" i="4"/>
  <c r="I775" i="4"/>
  <c r="H775" i="4"/>
  <c r="J775" i="4" s="1"/>
  <c r="G775" i="4"/>
  <c r="I774" i="4"/>
  <c r="H774" i="4"/>
  <c r="J774" i="4" s="1"/>
  <c r="G774" i="4"/>
  <c r="I773" i="4"/>
  <c r="H773" i="4"/>
  <c r="J773" i="4" s="1"/>
  <c r="G773" i="4"/>
  <c r="I772" i="4"/>
  <c r="H772" i="4"/>
  <c r="J772" i="4" s="1"/>
  <c r="G772" i="4"/>
  <c r="I771" i="4"/>
  <c r="H771" i="4"/>
  <c r="J771" i="4" s="1"/>
  <c r="G771" i="4"/>
  <c r="I770" i="4"/>
  <c r="H770" i="4"/>
  <c r="J770" i="4" s="1"/>
  <c r="G770" i="4"/>
  <c r="I769" i="4"/>
  <c r="H769" i="4"/>
  <c r="J769" i="4" s="1"/>
  <c r="G769" i="4"/>
  <c r="I768" i="4"/>
  <c r="H768" i="4"/>
  <c r="J768" i="4" s="1"/>
  <c r="G768" i="4"/>
  <c r="I767" i="4"/>
  <c r="H767" i="4"/>
  <c r="J767" i="4" s="1"/>
  <c r="G767" i="4"/>
  <c r="I766" i="4"/>
  <c r="H766" i="4"/>
  <c r="J766" i="4" s="1"/>
  <c r="G766" i="4"/>
  <c r="I765" i="4"/>
  <c r="H765" i="4"/>
  <c r="J765" i="4" s="1"/>
  <c r="G765" i="4"/>
  <c r="I764" i="4"/>
  <c r="H764" i="4"/>
  <c r="J764" i="4" s="1"/>
  <c r="G764" i="4"/>
  <c r="I763" i="4"/>
  <c r="H763" i="4"/>
  <c r="J763" i="4" s="1"/>
  <c r="G763" i="4"/>
  <c r="I762" i="4"/>
  <c r="H762" i="4"/>
  <c r="J762" i="4" s="1"/>
  <c r="G762" i="4"/>
  <c r="I761" i="4"/>
  <c r="H761" i="4"/>
  <c r="J761" i="4" s="1"/>
  <c r="G761" i="4"/>
  <c r="I760" i="4"/>
  <c r="H760" i="4"/>
  <c r="J760" i="4" s="1"/>
  <c r="G760" i="4"/>
  <c r="I759" i="4"/>
  <c r="H759" i="4"/>
  <c r="J759" i="4" s="1"/>
  <c r="G759" i="4"/>
  <c r="I758" i="4"/>
  <c r="H758" i="4"/>
  <c r="J758" i="4" s="1"/>
  <c r="G758" i="4"/>
  <c r="I757" i="4"/>
  <c r="H757" i="4"/>
  <c r="J757" i="4" s="1"/>
  <c r="G757" i="4"/>
  <c r="I756" i="4"/>
  <c r="H756" i="4"/>
  <c r="J756" i="4" s="1"/>
  <c r="G756" i="4"/>
  <c r="I755" i="4"/>
  <c r="H755" i="4"/>
  <c r="J755" i="4" s="1"/>
  <c r="G755" i="4"/>
  <c r="I754" i="4"/>
  <c r="H754" i="4"/>
  <c r="J754" i="4" s="1"/>
  <c r="G754" i="4"/>
  <c r="I753" i="4"/>
  <c r="H753" i="4"/>
  <c r="J753" i="4" s="1"/>
  <c r="G753" i="4"/>
  <c r="I752" i="4"/>
  <c r="H752" i="4"/>
  <c r="J752" i="4" s="1"/>
  <c r="G752" i="4"/>
  <c r="I751" i="4"/>
  <c r="H751" i="4"/>
  <c r="J751" i="4" s="1"/>
  <c r="G751" i="4"/>
  <c r="I750" i="4"/>
  <c r="H750" i="4"/>
  <c r="J750" i="4" s="1"/>
  <c r="G750" i="4"/>
  <c r="I749" i="4"/>
  <c r="H749" i="4"/>
  <c r="J749" i="4" s="1"/>
  <c r="G749" i="4"/>
  <c r="I748" i="4"/>
  <c r="H748" i="4"/>
  <c r="J748" i="4" s="1"/>
  <c r="G748" i="4"/>
  <c r="I747" i="4"/>
  <c r="H747" i="4"/>
  <c r="J747" i="4" s="1"/>
  <c r="G747" i="4"/>
  <c r="I746" i="4"/>
  <c r="H746" i="4"/>
  <c r="J746" i="4" s="1"/>
  <c r="G746" i="4"/>
  <c r="I745" i="4"/>
  <c r="H745" i="4"/>
  <c r="J745" i="4" s="1"/>
  <c r="G745" i="4"/>
  <c r="I744" i="4"/>
  <c r="H744" i="4"/>
  <c r="J744" i="4" s="1"/>
  <c r="G744" i="4"/>
  <c r="I743" i="4"/>
  <c r="H743" i="4"/>
  <c r="J743" i="4" s="1"/>
  <c r="G743" i="4"/>
  <c r="I742" i="4"/>
  <c r="H742" i="4"/>
  <c r="J742" i="4" s="1"/>
  <c r="G742" i="4"/>
  <c r="I741" i="4"/>
  <c r="H741" i="4"/>
  <c r="J741" i="4" s="1"/>
  <c r="G741" i="4"/>
  <c r="I740" i="4"/>
  <c r="H740" i="4"/>
  <c r="J740" i="4" s="1"/>
  <c r="G740" i="4"/>
  <c r="I739" i="4"/>
  <c r="H739" i="4"/>
  <c r="J739" i="4" s="1"/>
  <c r="G739" i="4"/>
  <c r="I738" i="4"/>
  <c r="H738" i="4"/>
  <c r="J738" i="4" s="1"/>
  <c r="G738" i="4"/>
  <c r="I737" i="4"/>
  <c r="H737" i="4"/>
  <c r="J737" i="4" s="1"/>
  <c r="G737" i="4"/>
  <c r="I736" i="4"/>
  <c r="H736" i="4"/>
  <c r="J736" i="4" s="1"/>
  <c r="G736" i="4"/>
  <c r="I735" i="4"/>
  <c r="H735" i="4"/>
  <c r="J735" i="4" s="1"/>
  <c r="G735" i="4"/>
  <c r="I734" i="4"/>
  <c r="H734" i="4"/>
  <c r="J734" i="4" s="1"/>
  <c r="G734" i="4"/>
  <c r="I733" i="4"/>
  <c r="H733" i="4"/>
  <c r="J733" i="4" s="1"/>
  <c r="G733" i="4"/>
  <c r="I732" i="4"/>
  <c r="H732" i="4"/>
  <c r="J732" i="4" s="1"/>
  <c r="G732" i="4"/>
  <c r="I731" i="4"/>
  <c r="H731" i="4"/>
  <c r="J731" i="4" s="1"/>
  <c r="G731" i="4"/>
  <c r="I730" i="4"/>
  <c r="H730" i="4"/>
  <c r="J730" i="4" s="1"/>
  <c r="G730" i="4"/>
  <c r="I729" i="4"/>
  <c r="H729" i="4"/>
  <c r="J729" i="4" s="1"/>
  <c r="G729" i="4"/>
  <c r="I728" i="4"/>
  <c r="H728" i="4"/>
  <c r="J728" i="4" s="1"/>
  <c r="G728" i="4"/>
  <c r="I727" i="4"/>
  <c r="H727" i="4"/>
  <c r="J727" i="4" s="1"/>
  <c r="G727" i="4"/>
  <c r="I726" i="4"/>
  <c r="H726" i="4"/>
  <c r="J726" i="4" s="1"/>
  <c r="G726" i="4"/>
  <c r="I725" i="4"/>
  <c r="H725" i="4"/>
  <c r="J725" i="4" s="1"/>
  <c r="G725" i="4"/>
  <c r="I724" i="4"/>
  <c r="H724" i="4"/>
  <c r="J724" i="4" s="1"/>
  <c r="G724" i="4"/>
  <c r="I723" i="4"/>
  <c r="H723" i="4"/>
  <c r="J723" i="4" s="1"/>
  <c r="G723" i="4"/>
  <c r="I722" i="4"/>
  <c r="H722" i="4"/>
  <c r="J722" i="4" s="1"/>
  <c r="G722" i="4"/>
  <c r="I721" i="4"/>
  <c r="H721" i="4"/>
  <c r="J721" i="4" s="1"/>
  <c r="G721" i="4"/>
  <c r="I720" i="4"/>
  <c r="H720" i="4"/>
  <c r="J720" i="4" s="1"/>
  <c r="G720" i="4"/>
  <c r="I719" i="4"/>
  <c r="H719" i="4"/>
  <c r="J719" i="4" s="1"/>
  <c r="G719" i="4"/>
  <c r="I718" i="4"/>
  <c r="H718" i="4"/>
  <c r="J718" i="4" s="1"/>
  <c r="G718" i="4"/>
  <c r="I717" i="4"/>
  <c r="H717" i="4"/>
  <c r="J717" i="4" s="1"/>
  <c r="G717" i="4"/>
  <c r="I716" i="4"/>
  <c r="H716" i="4"/>
  <c r="J716" i="4" s="1"/>
  <c r="G716" i="4"/>
  <c r="I715" i="4"/>
  <c r="H715" i="4"/>
  <c r="J715" i="4" s="1"/>
  <c r="G715" i="4"/>
  <c r="I714" i="4"/>
  <c r="H714" i="4"/>
  <c r="J714" i="4" s="1"/>
  <c r="G714" i="4"/>
  <c r="I713" i="4"/>
  <c r="H713" i="4"/>
  <c r="J713" i="4" s="1"/>
  <c r="G713" i="4"/>
  <c r="I712" i="4"/>
  <c r="H712" i="4"/>
  <c r="J712" i="4" s="1"/>
  <c r="G712" i="4"/>
  <c r="I711" i="4"/>
  <c r="H711" i="4"/>
  <c r="J711" i="4" s="1"/>
  <c r="G711" i="4"/>
  <c r="I710" i="4"/>
  <c r="H710" i="4"/>
  <c r="J710" i="4" s="1"/>
  <c r="G710" i="4"/>
  <c r="I709" i="4"/>
  <c r="H709" i="4"/>
  <c r="J709" i="4" s="1"/>
  <c r="G709" i="4"/>
  <c r="I708" i="4"/>
  <c r="H708" i="4"/>
  <c r="J708" i="4" s="1"/>
  <c r="G708" i="4"/>
  <c r="I707" i="4"/>
  <c r="H707" i="4"/>
  <c r="J707" i="4" s="1"/>
  <c r="G707" i="4"/>
  <c r="I706" i="4"/>
  <c r="H706" i="4"/>
  <c r="J706" i="4" s="1"/>
  <c r="G706" i="4"/>
  <c r="I705" i="4"/>
  <c r="H705" i="4"/>
  <c r="J705" i="4" s="1"/>
  <c r="G705" i="4"/>
  <c r="I704" i="4"/>
  <c r="H704" i="4"/>
  <c r="J704" i="4" s="1"/>
  <c r="G704" i="4"/>
  <c r="I703" i="4"/>
  <c r="H703" i="4"/>
  <c r="J703" i="4" s="1"/>
  <c r="G703" i="4"/>
  <c r="I702" i="4"/>
  <c r="H702" i="4"/>
  <c r="J702" i="4" s="1"/>
  <c r="G702" i="4"/>
  <c r="I701" i="4"/>
  <c r="H701" i="4"/>
  <c r="J701" i="4" s="1"/>
  <c r="G701" i="4"/>
  <c r="I700" i="4"/>
  <c r="H700" i="4"/>
  <c r="J700" i="4" s="1"/>
  <c r="G700" i="4"/>
  <c r="I699" i="4"/>
  <c r="H699" i="4"/>
  <c r="J699" i="4" s="1"/>
  <c r="G699" i="4"/>
  <c r="I698" i="4"/>
  <c r="H698" i="4"/>
  <c r="J698" i="4" s="1"/>
  <c r="G698" i="4"/>
  <c r="I697" i="4"/>
  <c r="H697" i="4"/>
  <c r="J697" i="4" s="1"/>
  <c r="G697" i="4"/>
  <c r="I696" i="4"/>
  <c r="H696" i="4"/>
  <c r="J696" i="4" s="1"/>
  <c r="G696" i="4"/>
  <c r="I695" i="4"/>
  <c r="H695" i="4"/>
  <c r="J695" i="4" s="1"/>
  <c r="G695" i="4"/>
  <c r="I694" i="4"/>
  <c r="H694" i="4"/>
  <c r="J694" i="4" s="1"/>
  <c r="G694" i="4"/>
  <c r="I693" i="4"/>
  <c r="H693" i="4"/>
  <c r="J693" i="4" s="1"/>
  <c r="G693" i="4"/>
  <c r="I692" i="4"/>
  <c r="H692" i="4"/>
  <c r="J692" i="4" s="1"/>
  <c r="G692" i="4"/>
  <c r="I691" i="4"/>
  <c r="H691" i="4"/>
  <c r="J691" i="4" s="1"/>
  <c r="G691" i="4"/>
  <c r="I690" i="4"/>
  <c r="H690" i="4"/>
  <c r="J690" i="4" s="1"/>
  <c r="G690" i="4"/>
  <c r="I689" i="4"/>
  <c r="H689" i="4"/>
  <c r="J689" i="4" s="1"/>
  <c r="G689" i="4"/>
  <c r="I688" i="4"/>
  <c r="H688" i="4"/>
  <c r="J688" i="4" s="1"/>
  <c r="G688" i="4"/>
  <c r="I687" i="4"/>
  <c r="H687" i="4"/>
  <c r="J687" i="4" s="1"/>
  <c r="G687" i="4"/>
  <c r="I686" i="4"/>
  <c r="H686" i="4"/>
  <c r="J686" i="4" s="1"/>
  <c r="G686" i="4"/>
  <c r="I685" i="4"/>
  <c r="H685" i="4"/>
  <c r="J685" i="4" s="1"/>
  <c r="G685" i="4"/>
  <c r="I684" i="4"/>
  <c r="H684" i="4"/>
  <c r="J684" i="4" s="1"/>
  <c r="G684" i="4"/>
  <c r="I683" i="4"/>
  <c r="H683" i="4"/>
  <c r="J683" i="4" s="1"/>
  <c r="G683" i="4"/>
  <c r="I682" i="4"/>
  <c r="H682" i="4"/>
  <c r="J682" i="4" s="1"/>
  <c r="G682" i="4"/>
  <c r="I681" i="4"/>
  <c r="H681" i="4"/>
  <c r="J681" i="4" s="1"/>
  <c r="G681" i="4"/>
  <c r="I680" i="4"/>
  <c r="H680" i="4"/>
  <c r="J680" i="4" s="1"/>
  <c r="G680" i="4"/>
  <c r="I679" i="4"/>
  <c r="H679" i="4"/>
  <c r="J679" i="4" s="1"/>
  <c r="G679" i="4"/>
  <c r="I678" i="4"/>
  <c r="H678" i="4"/>
  <c r="J678" i="4" s="1"/>
  <c r="G678" i="4"/>
  <c r="I677" i="4"/>
  <c r="H677" i="4"/>
  <c r="J677" i="4" s="1"/>
  <c r="G677" i="4"/>
  <c r="I676" i="4"/>
  <c r="H676" i="4"/>
  <c r="J676" i="4" s="1"/>
  <c r="G676" i="4"/>
  <c r="I675" i="4"/>
  <c r="H675" i="4"/>
  <c r="J675" i="4" s="1"/>
  <c r="G675" i="4"/>
  <c r="I674" i="4"/>
  <c r="H674" i="4"/>
  <c r="J674" i="4" s="1"/>
  <c r="G674" i="4"/>
  <c r="I673" i="4"/>
  <c r="H673" i="4"/>
  <c r="J673" i="4" s="1"/>
  <c r="G673" i="4"/>
  <c r="I672" i="4"/>
  <c r="H672" i="4"/>
  <c r="J672" i="4" s="1"/>
  <c r="G672" i="4"/>
  <c r="I671" i="4"/>
  <c r="H671" i="4"/>
  <c r="J671" i="4" s="1"/>
  <c r="G671" i="4"/>
  <c r="I670" i="4"/>
  <c r="H670" i="4"/>
  <c r="J670" i="4" s="1"/>
  <c r="G670" i="4"/>
  <c r="I669" i="4"/>
  <c r="H669" i="4"/>
  <c r="J669" i="4" s="1"/>
  <c r="G669" i="4"/>
  <c r="I668" i="4"/>
  <c r="H668" i="4"/>
  <c r="J668" i="4" s="1"/>
  <c r="G668" i="4"/>
  <c r="I667" i="4"/>
  <c r="H667" i="4"/>
  <c r="J667" i="4" s="1"/>
  <c r="G667" i="4"/>
  <c r="I666" i="4"/>
  <c r="H666" i="4"/>
  <c r="J666" i="4" s="1"/>
  <c r="G666" i="4"/>
  <c r="I665" i="4"/>
  <c r="H665" i="4"/>
  <c r="J665" i="4" s="1"/>
  <c r="G665" i="4"/>
  <c r="I664" i="4"/>
  <c r="H664" i="4"/>
  <c r="J664" i="4" s="1"/>
  <c r="G664" i="4"/>
  <c r="I663" i="4"/>
  <c r="H663" i="4"/>
  <c r="J663" i="4" s="1"/>
  <c r="G663" i="4"/>
  <c r="I662" i="4"/>
  <c r="H662" i="4"/>
  <c r="J662" i="4" s="1"/>
  <c r="G662" i="4"/>
  <c r="I661" i="4"/>
  <c r="H661" i="4"/>
  <c r="J661" i="4" s="1"/>
  <c r="G661" i="4"/>
  <c r="I660" i="4"/>
  <c r="H660" i="4"/>
  <c r="J660" i="4" s="1"/>
  <c r="G660" i="4"/>
  <c r="I659" i="4"/>
  <c r="H659" i="4"/>
  <c r="J659" i="4" s="1"/>
  <c r="G659" i="4"/>
  <c r="I658" i="4"/>
  <c r="H658" i="4"/>
  <c r="J658" i="4" s="1"/>
  <c r="G658" i="4"/>
  <c r="I657" i="4"/>
  <c r="H657" i="4"/>
  <c r="J657" i="4" s="1"/>
  <c r="G657" i="4"/>
  <c r="I656" i="4"/>
  <c r="H656" i="4"/>
  <c r="J656" i="4" s="1"/>
  <c r="G656" i="4"/>
  <c r="I655" i="4"/>
  <c r="H655" i="4"/>
  <c r="J655" i="4" s="1"/>
  <c r="G655" i="4"/>
  <c r="I654" i="4"/>
  <c r="H654" i="4"/>
  <c r="J654" i="4" s="1"/>
  <c r="G654" i="4"/>
  <c r="I653" i="4"/>
  <c r="H653" i="4"/>
  <c r="J653" i="4" s="1"/>
  <c r="G653" i="4"/>
  <c r="I652" i="4"/>
  <c r="H652" i="4"/>
  <c r="J652" i="4" s="1"/>
  <c r="G652" i="4"/>
  <c r="I651" i="4"/>
  <c r="H651" i="4"/>
  <c r="J651" i="4" s="1"/>
  <c r="G651" i="4"/>
  <c r="I650" i="4"/>
  <c r="H650" i="4"/>
  <c r="J650" i="4" s="1"/>
  <c r="G650" i="4"/>
  <c r="I649" i="4"/>
  <c r="H649" i="4"/>
  <c r="J649" i="4" s="1"/>
  <c r="G649" i="4"/>
  <c r="I648" i="4"/>
  <c r="H648" i="4"/>
  <c r="J648" i="4" s="1"/>
  <c r="G648" i="4"/>
  <c r="I647" i="4"/>
  <c r="H647" i="4"/>
  <c r="J647" i="4" s="1"/>
  <c r="G647" i="4"/>
  <c r="I646" i="4"/>
  <c r="H646" i="4"/>
  <c r="J646" i="4" s="1"/>
  <c r="G646" i="4"/>
  <c r="I645" i="4"/>
  <c r="H645" i="4"/>
  <c r="J645" i="4" s="1"/>
  <c r="G645" i="4"/>
  <c r="I644" i="4"/>
  <c r="H644" i="4"/>
  <c r="J644" i="4" s="1"/>
  <c r="G644" i="4"/>
  <c r="I643" i="4"/>
  <c r="H643" i="4"/>
  <c r="J643" i="4" s="1"/>
  <c r="G643" i="4"/>
  <c r="I642" i="4"/>
  <c r="H642" i="4"/>
  <c r="J642" i="4" s="1"/>
  <c r="G642" i="4"/>
  <c r="I641" i="4"/>
  <c r="H641" i="4"/>
  <c r="J641" i="4" s="1"/>
  <c r="G641" i="4"/>
  <c r="I640" i="4"/>
  <c r="H640" i="4"/>
  <c r="J640" i="4" s="1"/>
  <c r="G640" i="4"/>
  <c r="I639" i="4"/>
  <c r="H639" i="4"/>
  <c r="J639" i="4" s="1"/>
  <c r="G639" i="4"/>
  <c r="I638" i="4"/>
  <c r="H638" i="4"/>
  <c r="J638" i="4" s="1"/>
  <c r="G638" i="4"/>
  <c r="I637" i="4"/>
  <c r="H637" i="4"/>
  <c r="J637" i="4" s="1"/>
  <c r="G637" i="4"/>
  <c r="I636" i="4"/>
  <c r="H636" i="4"/>
  <c r="J636" i="4" s="1"/>
  <c r="G636" i="4"/>
  <c r="I635" i="4"/>
  <c r="H635" i="4"/>
  <c r="J635" i="4" s="1"/>
  <c r="G635" i="4"/>
  <c r="I634" i="4"/>
  <c r="H634" i="4"/>
  <c r="J634" i="4" s="1"/>
  <c r="G634" i="4"/>
  <c r="I633" i="4"/>
  <c r="H633" i="4"/>
  <c r="J633" i="4" s="1"/>
  <c r="G633" i="4"/>
  <c r="I632" i="4"/>
  <c r="H632" i="4"/>
  <c r="J632" i="4" s="1"/>
  <c r="G632" i="4"/>
  <c r="I631" i="4"/>
  <c r="H631" i="4"/>
  <c r="J631" i="4" s="1"/>
  <c r="G631" i="4"/>
  <c r="I630" i="4"/>
  <c r="H630" i="4"/>
  <c r="J630" i="4" s="1"/>
  <c r="G630" i="4"/>
  <c r="I629" i="4"/>
  <c r="H629" i="4"/>
  <c r="J629" i="4" s="1"/>
  <c r="G629" i="4"/>
  <c r="I628" i="4"/>
  <c r="H628" i="4"/>
  <c r="J628" i="4" s="1"/>
  <c r="G628" i="4"/>
  <c r="I627" i="4"/>
  <c r="H627" i="4"/>
  <c r="J627" i="4" s="1"/>
  <c r="G627" i="4"/>
  <c r="I626" i="4"/>
  <c r="H626" i="4"/>
  <c r="J626" i="4" s="1"/>
  <c r="G626" i="4"/>
  <c r="I625" i="4"/>
  <c r="H625" i="4"/>
  <c r="J625" i="4" s="1"/>
  <c r="G625" i="4"/>
  <c r="I624" i="4"/>
  <c r="H624" i="4"/>
  <c r="J624" i="4" s="1"/>
  <c r="G624" i="4"/>
  <c r="I623" i="4"/>
  <c r="H623" i="4"/>
  <c r="J623" i="4" s="1"/>
  <c r="G623" i="4"/>
  <c r="I622" i="4"/>
  <c r="H622" i="4"/>
  <c r="J622" i="4" s="1"/>
  <c r="G622" i="4"/>
  <c r="I621" i="4"/>
  <c r="H621" i="4"/>
  <c r="J621" i="4" s="1"/>
  <c r="G621" i="4"/>
  <c r="I620" i="4"/>
  <c r="H620" i="4"/>
  <c r="J620" i="4" s="1"/>
  <c r="G620" i="4"/>
  <c r="I619" i="4"/>
  <c r="H619" i="4"/>
  <c r="J619" i="4" s="1"/>
  <c r="G619" i="4"/>
  <c r="I618" i="4"/>
  <c r="H618" i="4"/>
  <c r="J618" i="4" s="1"/>
  <c r="G618" i="4"/>
  <c r="I617" i="4"/>
  <c r="H617" i="4"/>
  <c r="J617" i="4" s="1"/>
  <c r="G617" i="4"/>
  <c r="I616" i="4"/>
  <c r="H616" i="4"/>
  <c r="J616" i="4" s="1"/>
  <c r="G616" i="4"/>
  <c r="I615" i="4"/>
  <c r="H615" i="4"/>
  <c r="J615" i="4" s="1"/>
  <c r="G615" i="4"/>
  <c r="I614" i="4"/>
  <c r="H614" i="4"/>
  <c r="J614" i="4" s="1"/>
  <c r="G614" i="4"/>
  <c r="I613" i="4"/>
  <c r="H613" i="4"/>
  <c r="J613" i="4" s="1"/>
  <c r="G613" i="4"/>
  <c r="I612" i="4"/>
  <c r="H612" i="4"/>
  <c r="J612" i="4" s="1"/>
  <c r="G612" i="4"/>
  <c r="I611" i="4"/>
  <c r="H611" i="4"/>
  <c r="J611" i="4" s="1"/>
  <c r="G611" i="4"/>
  <c r="I610" i="4"/>
  <c r="H610" i="4"/>
  <c r="J610" i="4" s="1"/>
  <c r="G610" i="4"/>
  <c r="I609" i="4"/>
  <c r="H609" i="4"/>
  <c r="J609" i="4" s="1"/>
  <c r="G609" i="4"/>
  <c r="I608" i="4"/>
  <c r="H608" i="4"/>
  <c r="J608" i="4" s="1"/>
  <c r="G608" i="4"/>
  <c r="I607" i="4"/>
  <c r="H607" i="4"/>
  <c r="J607" i="4" s="1"/>
  <c r="G607" i="4"/>
  <c r="I606" i="4"/>
  <c r="H606" i="4"/>
  <c r="J606" i="4" s="1"/>
  <c r="G606" i="4"/>
  <c r="I605" i="4"/>
  <c r="H605" i="4"/>
  <c r="J605" i="4" s="1"/>
  <c r="G605" i="4"/>
  <c r="I604" i="4"/>
  <c r="H604" i="4"/>
  <c r="J604" i="4" s="1"/>
  <c r="G604" i="4"/>
  <c r="I603" i="4"/>
  <c r="H603" i="4"/>
  <c r="J603" i="4" s="1"/>
  <c r="G603" i="4"/>
  <c r="I602" i="4"/>
  <c r="H602" i="4"/>
  <c r="J602" i="4" s="1"/>
  <c r="G602" i="4"/>
  <c r="I601" i="4"/>
  <c r="H601" i="4"/>
  <c r="J601" i="4" s="1"/>
  <c r="G601" i="4"/>
  <c r="I600" i="4"/>
  <c r="H600" i="4"/>
  <c r="J600" i="4" s="1"/>
  <c r="G600" i="4"/>
  <c r="I599" i="4"/>
  <c r="H599" i="4"/>
  <c r="J599" i="4" s="1"/>
  <c r="G599" i="4"/>
  <c r="I598" i="4"/>
  <c r="H598" i="4"/>
  <c r="J598" i="4" s="1"/>
  <c r="G598" i="4"/>
  <c r="I597" i="4"/>
  <c r="H597" i="4"/>
  <c r="J597" i="4" s="1"/>
  <c r="G597" i="4"/>
  <c r="I596" i="4"/>
  <c r="H596" i="4"/>
  <c r="J596" i="4" s="1"/>
  <c r="G596" i="4"/>
  <c r="I595" i="4"/>
  <c r="H595" i="4"/>
  <c r="J595" i="4" s="1"/>
  <c r="G595" i="4"/>
  <c r="I594" i="4"/>
  <c r="H594" i="4"/>
  <c r="J594" i="4" s="1"/>
  <c r="G594" i="4"/>
  <c r="I593" i="4"/>
  <c r="H593" i="4"/>
  <c r="J593" i="4" s="1"/>
  <c r="G593" i="4"/>
  <c r="I592" i="4"/>
  <c r="H592" i="4"/>
  <c r="J592" i="4" s="1"/>
  <c r="G592" i="4"/>
  <c r="I591" i="4"/>
  <c r="H591" i="4"/>
  <c r="J591" i="4" s="1"/>
  <c r="G591" i="4"/>
  <c r="I590" i="4"/>
  <c r="H590" i="4"/>
  <c r="J590" i="4" s="1"/>
  <c r="G590" i="4"/>
  <c r="I589" i="4"/>
  <c r="H589" i="4"/>
  <c r="J589" i="4" s="1"/>
  <c r="G589" i="4"/>
  <c r="I588" i="4"/>
  <c r="H588" i="4"/>
  <c r="J588" i="4" s="1"/>
  <c r="G588" i="4"/>
  <c r="I587" i="4"/>
  <c r="H587" i="4"/>
  <c r="J587" i="4" s="1"/>
  <c r="G587" i="4"/>
  <c r="I586" i="4"/>
  <c r="H586" i="4"/>
  <c r="J586" i="4" s="1"/>
  <c r="G586" i="4"/>
  <c r="I585" i="4"/>
  <c r="H585" i="4"/>
  <c r="J585" i="4" s="1"/>
  <c r="G585" i="4"/>
  <c r="I584" i="4"/>
  <c r="H584" i="4"/>
  <c r="J584" i="4" s="1"/>
  <c r="G584" i="4"/>
  <c r="I583" i="4"/>
  <c r="H583" i="4"/>
  <c r="J583" i="4" s="1"/>
  <c r="G583" i="4"/>
  <c r="I582" i="4"/>
  <c r="H582" i="4"/>
  <c r="J582" i="4" s="1"/>
  <c r="G582" i="4"/>
  <c r="I581" i="4"/>
  <c r="H581" i="4"/>
  <c r="J581" i="4" s="1"/>
  <c r="G581" i="4"/>
  <c r="I580" i="4"/>
  <c r="H580" i="4"/>
  <c r="J580" i="4" s="1"/>
  <c r="G580" i="4"/>
  <c r="I579" i="4"/>
  <c r="H579" i="4"/>
  <c r="J579" i="4" s="1"/>
  <c r="G579" i="4"/>
  <c r="I578" i="4"/>
  <c r="H578" i="4"/>
  <c r="J578" i="4" s="1"/>
  <c r="G578" i="4"/>
  <c r="I577" i="4"/>
  <c r="H577" i="4"/>
  <c r="J577" i="4" s="1"/>
  <c r="G577" i="4"/>
  <c r="I576" i="4"/>
  <c r="H576" i="4"/>
  <c r="J576" i="4" s="1"/>
  <c r="G576" i="4"/>
  <c r="I575" i="4"/>
  <c r="H575" i="4"/>
  <c r="J575" i="4" s="1"/>
  <c r="G575" i="4"/>
  <c r="I574" i="4"/>
  <c r="H574" i="4"/>
  <c r="J574" i="4" s="1"/>
  <c r="G574" i="4"/>
  <c r="I573" i="4"/>
  <c r="H573" i="4"/>
  <c r="J573" i="4" s="1"/>
  <c r="G573" i="4"/>
  <c r="I572" i="4"/>
  <c r="H572" i="4"/>
  <c r="J572" i="4" s="1"/>
  <c r="G572" i="4"/>
  <c r="I571" i="4"/>
  <c r="H571" i="4"/>
  <c r="J571" i="4" s="1"/>
  <c r="G571" i="4"/>
  <c r="I570" i="4"/>
  <c r="H570" i="4"/>
  <c r="J570" i="4" s="1"/>
  <c r="G570" i="4"/>
  <c r="I569" i="4"/>
  <c r="H569" i="4"/>
  <c r="J569" i="4" s="1"/>
  <c r="G569" i="4"/>
  <c r="I568" i="4"/>
  <c r="H568" i="4"/>
  <c r="J568" i="4" s="1"/>
  <c r="G568" i="4"/>
  <c r="I567" i="4"/>
  <c r="H567" i="4"/>
  <c r="J567" i="4" s="1"/>
  <c r="G567" i="4"/>
  <c r="I566" i="4"/>
  <c r="H566" i="4"/>
  <c r="J566" i="4" s="1"/>
  <c r="G566" i="4"/>
  <c r="I565" i="4"/>
  <c r="H565" i="4"/>
  <c r="J565" i="4" s="1"/>
  <c r="G565" i="4"/>
  <c r="I564" i="4"/>
  <c r="H564" i="4"/>
  <c r="J564" i="4" s="1"/>
  <c r="G564" i="4"/>
  <c r="I563" i="4"/>
  <c r="H563" i="4"/>
  <c r="J563" i="4" s="1"/>
  <c r="G563" i="4"/>
  <c r="I562" i="4"/>
  <c r="H562" i="4"/>
  <c r="J562" i="4" s="1"/>
  <c r="G562" i="4"/>
  <c r="I561" i="4"/>
  <c r="H561" i="4"/>
  <c r="J561" i="4" s="1"/>
  <c r="G561" i="4"/>
  <c r="I560" i="4"/>
  <c r="H560" i="4"/>
  <c r="J560" i="4" s="1"/>
  <c r="G560" i="4"/>
  <c r="I559" i="4"/>
  <c r="H559" i="4"/>
  <c r="J559" i="4" s="1"/>
  <c r="G559" i="4"/>
  <c r="I558" i="4"/>
  <c r="H558" i="4"/>
  <c r="J558" i="4" s="1"/>
  <c r="G558" i="4"/>
  <c r="I557" i="4"/>
  <c r="H557" i="4"/>
  <c r="J557" i="4" s="1"/>
  <c r="G557" i="4"/>
  <c r="I556" i="4"/>
  <c r="H556" i="4"/>
  <c r="J556" i="4" s="1"/>
  <c r="G556" i="4"/>
  <c r="I555" i="4"/>
  <c r="H555" i="4"/>
  <c r="J555" i="4" s="1"/>
  <c r="G555" i="4"/>
  <c r="I554" i="4"/>
  <c r="H554" i="4"/>
  <c r="J554" i="4" s="1"/>
  <c r="G554" i="4"/>
  <c r="I553" i="4"/>
  <c r="H553" i="4"/>
  <c r="J553" i="4" s="1"/>
  <c r="G553" i="4"/>
  <c r="I552" i="4"/>
  <c r="H552" i="4"/>
  <c r="J552" i="4" s="1"/>
  <c r="G552" i="4"/>
  <c r="I551" i="4"/>
  <c r="H551" i="4"/>
  <c r="J551" i="4" s="1"/>
  <c r="G551" i="4"/>
  <c r="I550" i="4"/>
  <c r="H550" i="4"/>
  <c r="J550" i="4" s="1"/>
  <c r="G550" i="4"/>
  <c r="I549" i="4"/>
  <c r="H549" i="4"/>
  <c r="J549" i="4" s="1"/>
  <c r="G549" i="4"/>
  <c r="I548" i="4"/>
  <c r="H548" i="4"/>
  <c r="J548" i="4" s="1"/>
  <c r="G548" i="4"/>
  <c r="I547" i="4"/>
  <c r="H547" i="4"/>
  <c r="J547" i="4" s="1"/>
  <c r="G547" i="4"/>
  <c r="I546" i="4"/>
  <c r="H546" i="4"/>
  <c r="J546" i="4" s="1"/>
  <c r="G546" i="4"/>
  <c r="I545" i="4"/>
  <c r="H545" i="4"/>
  <c r="J545" i="4" s="1"/>
  <c r="G545" i="4"/>
  <c r="I544" i="4"/>
  <c r="H544" i="4"/>
  <c r="J544" i="4" s="1"/>
  <c r="G544" i="4"/>
  <c r="I543" i="4"/>
  <c r="H543" i="4"/>
  <c r="J543" i="4" s="1"/>
  <c r="G543" i="4"/>
  <c r="I542" i="4"/>
  <c r="H542" i="4"/>
  <c r="J542" i="4" s="1"/>
  <c r="G542" i="4"/>
  <c r="I541" i="4"/>
  <c r="H541" i="4"/>
  <c r="J541" i="4" s="1"/>
  <c r="G541" i="4"/>
  <c r="I540" i="4"/>
  <c r="H540" i="4"/>
  <c r="J540" i="4" s="1"/>
  <c r="G540" i="4"/>
  <c r="I539" i="4"/>
  <c r="H539" i="4"/>
  <c r="J539" i="4" s="1"/>
  <c r="G539" i="4"/>
  <c r="I538" i="4"/>
  <c r="H538" i="4"/>
  <c r="J538" i="4" s="1"/>
  <c r="G538" i="4"/>
  <c r="I537" i="4"/>
  <c r="H537" i="4"/>
  <c r="J537" i="4" s="1"/>
  <c r="G537" i="4"/>
  <c r="I536" i="4"/>
  <c r="H536" i="4"/>
  <c r="J536" i="4" s="1"/>
  <c r="G536" i="4"/>
  <c r="I535" i="4"/>
  <c r="H535" i="4"/>
  <c r="J535" i="4" s="1"/>
  <c r="G535" i="4"/>
  <c r="I534" i="4"/>
  <c r="H534" i="4"/>
  <c r="J534" i="4" s="1"/>
  <c r="G534" i="4"/>
  <c r="I533" i="4"/>
  <c r="H533" i="4"/>
  <c r="J533" i="4" s="1"/>
  <c r="G533" i="4"/>
  <c r="I532" i="4"/>
  <c r="H532" i="4"/>
  <c r="J532" i="4" s="1"/>
  <c r="G532" i="4"/>
  <c r="I531" i="4"/>
  <c r="H531" i="4"/>
  <c r="J531" i="4" s="1"/>
  <c r="G531" i="4"/>
  <c r="I530" i="4"/>
  <c r="H530" i="4"/>
  <c r="J530" i="4" s="1"/>
  <c r="G530" i="4"/>
  <c r="I529" i="4"/>
  <c r="H529" i="4"/>
  <c r="J529" i="4" s="1"/>
  <c r="G529" i="4"/>
  <c r="I528" i="4"/>
  <c r="H528" i="4"/>
  <c r="J528" i="4" s="1"/>
  <c r="G528" i="4"/>
  <c r="I527" i="4"/>
  <c r="H527" i="4"/>
  <c r="J527" i="4" s="1"/>
  <c r="G527" i="4"/>
  <c r="I526" i="4"/>
  <c r="H526" i="4"/>
  <c r="J526" i="4" s="1"/>
  <c r="G526" i="4"/>
  <c r="I525" i="4"/>
  <c r="H525" i="4"/>
  <c r="J525" i="4" s="1"/>
  <c r="G525" i="4"/>
  <c r="I524" i="4"/>
  <c r="H524" i="4"/>
  <c r="J524" i="4" s="1"/>
  <c r="G524" i="4"/>
  <c r="I523" i="4"/>
  <c r="H523" i="4"/>
  <c r="J523" i="4" s="1"/>
  <c r="G523" i="4"/>
  <c r="I522" i="4"/>
  <c r="H522" i="4"/>
  <c r="J522" i="4" s="1"/>
  <c r="G522" i="4"/>
  <c r="I521" i="4"/>
  <c r="H521" i="4"/>
  <c r="J521" i="4" s="1"/>
  <c r="G521" i="4"/>
  <c r="I520" i="4"/>
  <c r="H520" i="4"/>
  <c r="J520" i="4" s="1"/>
  <c r="G520" i="4"/>
  <c r="I519" i="4"/>
  <c r="H519" i="4"/>
  <c r="J519" i="4" s="1"/>
  <c r="G519" i="4"/>
  <c r="I518" i="4"/>
  <c r="H518" i="4"/>
  <c r="J518" i="4" s="1"/>
  <c r="G518" i="4"/>
  <c r="I517" i="4"/>
  <c r="H517" i="4"/>
  <c r="J517" i="4" s="1"/>
  <c r="G517" i="4"/>
  <c r="I516" i="4"/>
  <c r="H516" i="4"/>
  <c r="J516" i="4" s="1"/>
  <c r="G516" i="4"/>
  <c r="I515" i="4"/>
  <c r="H515" i="4"/>
  <c r="J515" i="4" s="1"/>
  <c r="G515" i="4"/>
  <c r="I514" i="4"/>
  <c r="H514" i="4"/>
  <c r="J514" i="4" s="1"/>
  <c r="G514" i="4"/>
  <c r="I513" i="4"/>
  <c r="H513" i="4"/>
  <c r="J513" i="4" s="1"/>
  <c r="G513" i="4"/>
  <c r="I512" i="4"/>
  <c r="H512" i="4"/>
  <c r="J512" i="4" s="1"/>
  <c r="G512" i="4"/>
  <c r="I511" i="4"/>
  <c r="H511" i="4"/>
  <c r="J511" i="4" s="1"/>
  <c r="G511" i="4"/>
  <c r="I510" i="4"/>
  <c r="H510" i="4"/>
  <c r="J510" i="4" s="1"/>
  <c r="G510" i="4"/>
  <c r="I509" i="4"/>
  <c r="H509" i="4"/>
  <c r="J509" i="4" s="1"/>
  <c r="G509" i="4"/>
  <c r="I508" i="4"/>
  <c r="H508" i="4"/>
  <c r="J508" i="4" s="1"/>
  <c r="G508" i="4"/>
  <c r="I507" i="4"/>
  <c r="H507" i="4"/>
  <c r="J507" i="4" s="1"/>
  <c r="G507" i="4"/>
  <c r="I506" i="4"/>
  <c r="H506" i="4"/>
  <c r="J506" i="4" s="1"/>
  <c r="G506" i="4"/>
  <c r="I505" i="4"/>
  <c r="H505" i="4"/>
  <c r="J505" i="4" s="1"/>
  <c r="G505" i="4"/>
  <c r="I504" i="4"/>
  <c r="H504" i="4"/>
  <c r="J504" i="4" s="1"/>
  <c r="G504" i="4"/>
  <c r="I503" i="4"/>
  <c r="H503" i="4"/>
  <c r="J503" i="4" s="1"/>
  <c r="G503" i="4"/>
  <c r="I502" i="4"/>
  <c r="H502" i="4"/>
  <c r="J502" i="4" s="1"/>
  <c r="G502" i="4"/>
  <c r="I501" i="4"/>
  <c r="H501" i="4"/>
  <c r="J501" i="4" s="1"/>
  <c r="G501" i="4"/>
  <c r="I500" i="4"/>
  <c r="H500" i="4"/>
  <c r="J500" i="4" s="1"/>
  <c r="G500" i="4"/>
  <c r="I499" i="4"/>
  <c r="H499" i="4"/>
  <c r="J499" i="4" s="1"/>
  <c r="G499" i="4"/>
  <c r="I498" i="4"/>
  <c r="H498" i="4"/>
  <c r="J498" i="4" s="1"/>
  <c r="G498" i="4"/>
  <c r="I497" i="4"/>
  <c r="H497" i="4"/>
  <c r="J497" i="4" s="1"/>
  <c r="G497" i="4"/>
  <c r="I496" i="4"/>
  <c r="H496" i="4"/>
  <c r="J496" i="4" s="1"/>
  <c r="G496" i="4"/>
  <c r="I495" i="4"/>
  <c r="H495" i="4"/>
  <c r="J495" i="4" s="1"/>
  <c r="G495" i="4"/>
  <c r="I494" i="4"/>
  <c r="H494" i="4"/>
  <c r="J494" i="4" s="1"/>
  <c r="G494" i="4"/>
  <c r="I493" i="4"/>
  <c r="H493" i="4"/>
  <c r="J493" i="4" s="1"/>
  <c r="G493" i="4"/>
  <c r="I492" i="4"/>
  <c r="H492" i="4"/>
  <c r="J492" i="4" s="1"/>
  <c r="G492" i="4"/>
  <c r="I491" i="4"/>
  <c r="H491" i="4"/>
  <c r="J491" i="4" s="1"/>
  <c r="G491" i="4"/>
  <c r="I490" i="4"/>
  <c r="H490" i="4"/>
  <c r="J490" i="4" s="1"/>
  <c r="G490" i="4"/>
  <c r="I489" i="4"/>
  <c r="H489" i="4"/>
  <c r="J489" i="4" s="1"/>
  <c r="G489" i="4"/>
  <c r="I488" i="4"/>
  <c r="H488" i="4"/>
  <c r="J488" i="4" s="1"/>
  <c r="G488" i="4"/>
  <c r="I487" i="4"/>
  <c r="H487" i="4"/>
  <c r="J487" i="4" s="1"/>
  <c r="G487" i="4"/>
  <c r="I486" i="4"/>
  <c r="H486" i="4"/>
  <c r="J486" i="4" s="1"/>
  <c r="G486" i="4"/>
  <c r="I485" i="4"/>
  <c r="H485" i="4"/>
  <c r="J485" i="4" s="1"/>
  <c r="G485" i="4"/>
  <c r="I484" i="4"/>
  <c r="H484" i="4"/>
  <c r="J484" i="4" s="1"/>
  <c r="G484" i="4"/>
  <c r="I483" i="4"/>
  <c r="H483" i="4"/>
  <c r="J483" i="4" s="1"/>
  <c r="G483" i="4"/>
  <c r="I482" i="4"/>
  <c r="H482" i="4"/>
  <c r="J482" i="4" s="1"/>
  <c r="G482" i="4"/>
  <c r="I481" i="4"/>
  <c r="H481" i="4"/>
  <c r="J481" i="4" s="1"/>
  <c r="G481" i="4"/>
  <c r="I480" i="4"/>
  <c r="H480" i="4"/>
  <c r="J480" i="4" s="1"/>
  <c r="G480" i="4"/>
  <c r="I479" i="4"/>
  <c r="H479" i="4"/>
  <c r="J479" i="4" s="1"/>
  <c r="G479" i="4"/>
  <c r="I478" i="4"/>
  <c r="H478" i="4"/>
  <c r="J478" i="4" s="1"/>
  <c r="G478" i="4"/>
  <c r="I477" i="4"/>
  <c r="H477" i="4"/>
  <c r="J477" i="4" s="1"/>
  <c r="G477" i="4"/>
  <c r="I476" i="4"/>
  <c r="H476" i="4"/>
  <c r="J476" i="4" s="1"/>
  <c r="G476" i="4"/>
  <c r="I475" i="4"/>
  <c r="H475" i="4"/>
  <c r="J475" i="4" s="1"/>
  <c r="G475" i="4"/>
  <c r="I474" i="4"/>
  <c r="H474" i="4"/>
  <c r="J474" i="4" s="1"/>
  <c r="G474" i="4"/>
  <c r="I473" i="4"/>
  <c r="H473" i="4"/>
  <c r="J473" i="4" s="1"/>
  <c r="G473" i="4"/>
  <c r="I472" i="4"/>
  <c r="H472" i="4"/>
  <c r="J472" i="4" s="1"/>
  <c r="G472" i="4"/>
  <c r="I471" i="4"/>
  <c r="H471" i="4"/>
  <c r="J471" i="4" s="1"/>
  <c r="G471" i="4"/>
  <c r="I470" i="4"/>
  <c r="H470" i="4"/>
  <c r="J470" i="4" s="1"/>
  <c r="G470" i="4"/>
  <c r="I469" i="4"/>
  <c r="H469" i="4"/>
  <c r="J469" i="4" s="1"/>
  <c r="G469" i="4"/>
  <c r="I468" i="4"/>
  <c r="H468" i="4"/>
  <c r="J468" i="4" s="1"/>
  <c r="G468" i="4"/>
  <c r="I467" i="4"/>
  <c r="H467" i="4"/>
  <c r="J467" i="4" s="1"/>
  <c r="G467" i="4"/>
  <c r="I466" i="4"/>
  <c r="H466" i="4"/>
  <c r="J466" i="4" s="1"/>
  <c r="G466" i="4"/>
  <c r="I465" i="4"/>
  <c r="H465" i="4"/>
  <c r="J465" i="4" s="1"/>
  <c r="G465" i="4"/>
  <c r="I464" i="4"/>
  <c r="H464" i="4"/>
  <c r="J464" i="4" s="1"/>
  <c r="G464" i="4"/>
  <c r="I463" i="4"/>
  <c r="H463" i="4"/>
  <c r="J463" i="4" s="1"/>
  <c r="G463" i="4"/>
  <c r="I462" i="4"/>
  <c r="H462" i="4"/>
  <c r="J462" i="4" s="1"/>
  <c r="G462" i="4"/>
  <c r="I461" i="4"/>
  <c r="H461" i="4"/>
  <c r="J461" i="4" s="1"/>
  <c r="G461" i="4"/>
  <c r="I460" i="4"/>
  <c r="H460" i="4"/>
  <c r="J460" i="4" s="1"/>
  <c r="G460" i="4"/>
  <c r="I459" i="4"/>
  <c r="H459" i="4"/>
  <c r="J459" i="4" s="1"/>
  <c r="G459" i="4"/>
  <c r="I458" i="4"/>
  <c r="H458" i="4"/>
  <c r="J458" i="4" s="1"/>
  <c r="G458" i="4"/>
  <c r="I457" i="4"/>
  <c r="H457" i="4"/>
  <c r="J457" i="4" s="1"/>
  <c r="G457" i="4"/>
  <c r="I456" i="4"/>
  <c r="H456" i="4"/>
  <c r="J456" i="4" s="1"/>
  <c r="G456" i="4"/>
  <c r="I455" i="4"/>
  <c r="H455" i="4"/>
  <c r="J455" i="4" s="1"/>
  <c r="G455" i="4"/>
  <c r="I454" i="4"/>
  <c r="H454" i="4"/>
  <c r="J454" i="4" s="1"/>
  <c r="G454" i="4"/>
  <c r="I453" i="4"/>
  <c r="H453" i="4"/>
  <c r="J453" i="4" s="1"/>
  <c r="G453" i="4"/>
  <c r="I452" i="4"/>
  <c r="H452" i="4"/>
  <c r="J452" i="4" s="1"/>
  <c r="G452" i="4"/>
  <c r="I451" i="4"/>
  <c r="H451" i="4"/>
  <c r="J451" i="4" s="1"/>
  <c r="G451" i="4"/>
  <c r="I450" i="4"/>
  <c r="H450" i="4"/>
  <c r="J450" i="4" s="1"/>
  <c r="G450" i="4"/>
  <c r="I449" i="4"/>
  <c r="H449" i="4"/>
  <c r="J449" i="4" s="1"/>
  <c r="G449" i="4"/>
  <c r="I448" i="4"/>
  <c r="H448" i="4"/>
  <c r="J448" i="4" s="1"/>
  <c r="G448" i="4"/>
  <c r="I447" i="4"/>
  <c r="H447" i="4"/>
  <c r="J447" i="4" s="1"/>
  <c r="G447" i="4"/>
  <c r="I446" i="4"/>
  <c r="H446" i="4"/>
  <c r="J446" i="4" s="1"/>
  <c r="G446" i="4"/>
  <c r="I445" i="4"/>
  <c r="H445" i="4"/>
  <c r="J445" i="4" s="1"/>
  <c r="G445" i="4"/>
  <c r="I444" i="4"/>
  <c r="H444" i="4"/>
  <c r="J444" i="4" s="1"/>
  <c r="G444" i="4"/>
  <c r="I443" i="4"/>
  <c r="H443" i="4"/>
  <c r="J443" i="4" s="1"/>
  <c r="G443" i="4"/>
  <c r="I442" i="4"/>
  <c r="H442" i="4"/>
  <c r="J442" i="4" s="1"/>
  <c r="G442" i="4"/>
  <c r="I441" i="4"/>
  <c r="H441" i="4"/>
  <c r="J441" i="4" s="1"/>
  <c r="G441" i="4"/>
  <c r="I440" i="4"/>
  <c r="H440" i="4"/>
  <c r="J440" i="4" s="1"/>
  <c r="G440" i="4"/>
  <c r="I439" i="4"/>
  <c r="H439" i="4"/>
  <c r="J439" i="4" s="1"/>
  <c r="G439" i="4"/>
  <c r="I438" i="4"/>
  <c r="H438" i="4"/>
  <c r="J438" i="4" s="1"/>
  <c r="G438" i="4"/>
  <c r="I437" i="4"/>
  <c r="H437" i="4"/>
  <c r="J437" i="4" s="1"/>
  <c r="G437" i="4"/>
  <c r="I436" i="4"/>
  <c r="H436" i="4"/>
  <c r="J436" i="4" s="1"/>
  <c r="G436" i="4"/>
  <c r="I435" i="4"/>
  <c r="H435" i="4"/>
  <c r="J435" i="4" s="1"/>
  <c r="G435" i="4"/>
  <c r="I434" i="4"/>
  <c r="H434" i="4"/>
  <c r="J434" i="4" s="1"/>
  <c r="G434" i="4"/>
  <c r="I433" i="4"/>
  <c r="H433" i="4"/>
  <c r="J433" i="4" s="1"/>
  <c r="G433" i="4"/>
  <c r="I432" i="4"/>
  <c r="H432" i="4"/>
  <c r="J432" i="4" s="1"/>
  <c r="G432" i="4"/>
  <c r="I431" i="4"/>
  <c r="H431" i="4"/>
  <c r="J431" i="4" s="1"/>
  <c r="G431" i="4"/>
  <c r="I430" i="4"/>
  <c r="H430" i="4"/>
  <c r="J430" i="4" s="1"/>
  <c r="G430" i="4"/>
  <c r="I429" i="4"/>
  <c r="H429" i="4"/>
  <c r="J429" i="4" s="1"/>
  <c r="G429" i="4"/>
  <c r="I428" i="4"/>
  <c r="H428" i="4"/>
  <c r="J428" i="4" s="1"/>
  <c r="G428" i="4"/>
  <c r="I427" i="4"/>
  <c r="H427" i="4"/>
  <c r="J427" i="4" s="1"/>
  <c r="G427" i="4"/>
  <c r="I426" i="4"/>
  <c r="H426" i="4"/>
  <c r="J426" i="4" s="1"/>
  <c r="G426" i="4"/>
  <c r="I425" i="4"/>
  <c r="H425" i="4"/>
  <c r="J425" i="4" s="1"/>
  <c r="G425" i="4"/>
  <c r="I424" i="4"/>
  <c r="H424" i="4"/>
  <c r="J424" i="4" s="1"/>
  <c r="G424" i="4"/>
  <c r="I423" i="4"/>
  <c r="H423" i="4"/>
  <c r="J423" i="4" s="1"/>
  <c r="G423" i="4"/>
  <c r="I422" i="4"/>
  <c r="H422" i="4"/>
  <c r="J422" i="4" s="1"/>
  <c r="G422" i="4"/>
  <c r="I421" i="4"/>
  <c r="H421" i="4"/>
  <c r="J421" i="4" s="1"/>
  <c r="G421" i="4"/>
  <c r="I420" i="4"/>
  <c r="H420" i="4"/>
  <c r="J420" i="4" s="1"/>
  <c r="G420" i="4"/>
  <c r="I419" i="4"/>
  <c r="H419" i="4"/>
  <c r="J419" i="4" s="1"/>
  <c r="G419" i="4"/>
  <c r="I418" i="4"/>
  <c r="H418" i="4"/>
  <c r="J418" i="4" s="1"/>
  <c r="G418" i="4"/>
  <c r="I417" i="4"/>
  <c r="H417" i="4"/>
  <c r="J417" i="4" s="1"/>
  <c r="G417" i="4"/>
  <c r="I416" i="4"/>
  <c r="H416" i="4"/>
  <c r="J416" i="4" s="1"/>
  <c r="G416" i="4"/>
  <c r="I415" i="4"/>
  <c r="H415" i="4"/>
  <c r="J415" i="4" s="1"/>
  <c r="G415" i="4"/>
  <c r="I414" i="4"/>
  <c r="H414" i="4"/>
  <c r="J414" i="4" s="1"/>
  <c r="G414" i="4"/>
  <c r="I413" i="4"/>
  <c r="H413" i="4"/>
  <c r="J413" i="4" s="1"/>
  <c r="G413" i="4"/>
  <c r="I412" i="4"/>
  <c r="H412" i="4"/>
  <c r="J412" i="4" s="1"/>
  <c r="G412" i="4"/>
  <c r="I411" i="4"/>
  <c r="H411" i="4"/>
  <c r="J411" i="4" s="1"/>
  <c r="G411" i="4"/>
  <c r="I410" i="4"/>
  <c r="H410" i="4"/>
  <c r="J410" i="4" s="1"/>
  <c r="G410" i="4"/>
  <c r="I409" i="4"/>
  <c r="H409" i="4"/>
  <c r="J409" i="4" s="1"/>
  <c r="G409" i="4"/>
  <c r="I408" i="4"/>
  <c r="H408" i="4"/>
  <c r="J408" i="4" s="1"/>
  <c r="G408" i="4"/>
  <c r="I407" i="4"/>
  <c r="H407" i="4"/>
  <c r="J407" i="4" s="1"/>
  <c r="G407" i="4"/>
  <c r="I406" i="4"/>
  <c r="H406" i="4"/>
  <c r="J406" i="4" s="1"/>
  <c r="G406" i="4"/>
  <c r="I405" i="4"/>
  <c r="H405" i="4"/>
  <c r="J405" i="4" s="1"/>
  <c r="G405" i="4"/>
  <c r="I404" i="4"/>
  <c r="H404" i="4"/>
  <c r="J404" i="4" s="1"/>
  <c r="G404" i="4"/>
  <c r="I403" i="4"/>
  <c r="H403" i="4"/>
  <c r="J403" i="4" s="1"/>
  <c r="G403" i="4"/>
  <c r="I402" i="4"/>
  <c r="H402" i="4"/>
  <c r="J402" i="4" s="1"/>
  <c r="G402" i="4"/>
  <c r="I401" i="4"/>
  <c r="H401" i="4"/>
  <c r="J401" i="4" s="1"/>
  <c r="G401" i="4"/>
  <c r="I400" i="4"/>
  <c r="H400" i="4"/>
  <c r="J400" i="4" s="1"/>
  <c r="G400" i="4"/>
  <c r="I399" i="4"/>
  <c r="H399" i="4"/>
  <c r="J399" i="4" s="1"/>
  <c r="G399" i="4"/>
  <c r="I398" i="4"/>
  <c r="H398" i="4"/>
  <c r="J398" i="4" s="1"/>
  <c r="G398" i="4"/>
  <c r="I397" i="4"/>
  <c r="H397" i="4"/>
  <c r="J397" i="4" s="1"/>
  <c r="G397" i="4"/>
  <c r="I396" i="4"/>
  <c r="H396" i="4"/>
  <c r="J396" i="4" s="1"/>
  <c r="G396" i="4"/>
  <c r="I395" i="4"/>
  <c r="H395" i="4"/>
  <c r="J395" i="4" s="1"/>
  <c r="G395" i="4"/>
  <c r="I394" i="4"/>
  <c r="H394" i="4"/>
  <c r="J394" i="4" s="1"/>
  <c r="G394" i="4"/>
  <c r="I393" i="4"/>
  <c r="H393" i="4"/>
  <c r="J393" i="4" s="1"/>
  <c r="G393" i="4"/>
  <c r="I392" i="4"/>
  <c r="H392" i="4"/>
  <c r="J392" i="4" s="1"/>
  <c r="G392" i="4"/>
  <c r="I391" i="4"/>
  <c r="H391" i="4"/>
  <c r="J391" i="4" s="1"/>
  <c r="G391" i="4"/>
  <c r="I390" i="4"/>
  <c r="H390" i="4"/>
  <c r="J390" i="4" s="1"/>
  <c r="G390" i="4"/>
  <c r="I389" i="4"/>
  <c r="H389" i="4"/>
  <c r="J389" i="4" s="1"/>
  <c r="G389" i="4"/>
  <c r="I388" i="4"/>
  <c r="H388" i="4"/>
  <c r="J388" i="4" s="1"/>
  <c r="G388" i="4"/>
  <c r="I387" i="4"/>
  <c r="H387" i="4"/>
  <c r="J387" i="4" s="1"/>
  <c r="G387" i="4"/>
  <c r="I386" i="4"/>
  <c r="H386" i="4"/>
  <c r="J386" i="4" s="1"/>
  <c r="G386" i="4"/>
  <c r="I385" i="4"/>
  <c r="H385" i="4"/>
  <c r="J385" i="4" s="1"/>
  <c r="G385" i="4"/>
  <c r="I384" i="4"/>
  <c r="H384" i="4"/>
  <c r="J384" i="4" s="1"/>
  <c r="G384" i="4"/>
  <c r="I383" i="4"/>
  <c r="H383" i="4"/>
  <c r="J383" i="4" s="1"/>
  <c r="G383" i="4"/>
  <c r="I382" i="4"/>
  <c r="H382" i="4"/>
  <c r="J382" i="4" s="1"/>
  <c r="G382" i="4"/>
  <c r="I381" i="4"/>
  <c r="H381" i="4"/>
  <c r="J381" i="4" s="1"/>
  <c r="G381" i="4"/>
  <c r="I380" i="4"/>
  <c r="H380" i="4"/>
  <c r="J380" i="4" s="1"/>
  <c r="G380" i="4"/>
  <c r="I379" i="4"/>
  <c r="H379" i="4"/>
  <c r="J379" i="4" s="1"/>
  <c r="G379" i="4"/>
  <c r="I378" i="4"/>
  <c r="H378" i="4"/>
  <c r="J378" i="4" s="1"/>
  <c r="G378" i="4"/>
  <c r="I377" i="4"/>
  <c r="H377" i="4"/>
  <c r="J377" i="4" s="1"/>
  <c r="G377" i="4"/>
  <c r="I376" i="4"/>
  <c r="H376" i="4"/>
  <c r="J376" i="4" s="1"/>
  <c r="G376" i="4"/>
  <c r="I375" i="4"/>
  <c r="H375" i="4"/>
  <c r="J375" i="4" s="1"/>
  <c r="G375" i="4"/>
  <c r="I374" i="4"/>
  <c r="H374" i="4"/>
  <c r="J374" i="4" s="1"/>
  <c r="G374" i="4"/>
  <c r="I373" i="4"/>
  <c r="H373" i="4"/>
  <c r="J373" i="4" s="1"/>
  <c r="G373" i="4"/>
  <c r="I372" i="4"/>
  <c r="H372" i="4"/>
  <c r="J372" i="4" s="1"/>
  <c r="G372" i="4"/>
  <c r="I371" i="4"/>
  <c r="H371" i="4"/>
  <c r="J371" i="4" s="1"/>
  <c r="G371" i="4"/>
  <c r="I370" i="4"/>
  <c r="H370" i="4"/>
  <c r="J370" i="4" s="1"/>
  <c r="G370" i="4"/>
  <c r="I369" i="4"/>
  <c r="H369" i="4"/>
  <c r="J369" i="4" s="1"/>
  <c r="G369" i="4"/>
  <c r="I368" i="4"/>
  <c r="H368" i="4"/>
  <c r="J368" i="4" s="1"/>
  <c r="G368" i="4"/>
  <c r="I367" i="4"/>
  <c r="H367" i="4"/>
  <c r="J367" i="4" s="1"/>
  <c r="G367" i="4"/>
  <c r="I366" i="4"/>
  <c r="H366" i="4"/>
  <c r="J366" i="4" s="1"/>
  <c r="G366" i="4"/>
  <c r="I365" i="4"/>
  <c r="H365" i="4"/>
  <c r="J365" i="4" s="1"/>
  <c r="G365" i="4"/>
  <c r="I364" i="4"/>
  <c r="H364" i="4"/>
  <c r="J364" i="4" s="1"/>
  <c r="G364" i="4"/>
  <c r="I363" i="4"/>
  <c r="H363" i="4"/>
  <c r="J363" i="4" s="1"/>
  <c r="G363" i="4"/>
  <c r="I362" i="4"/>
  <c r="H362" i="4"/>
  <c r="J362" i="4" s="1"/>
  <c r="G362" i="4"/>
  <c r="I361" i="4"/>
  <c r="H361" i="4"/>
  <c r="J361" i="4" s="1"/>
  <c r="G361" i="4"/>
  <c r="I360" i="4"/>
  <c r="H360" i="4"/>
  <c r="J360" i="4" s="1"/>
  <c r="G360" i="4"/>
  <c r="I359" i="4"/>
  <c r="H359" i="4"/>
  <c r="J359" i="4" s="1"/>
  <c r="G359" i="4"/>
  <c r="I358" i="4"/>
  <c r="H358" i="4"/>
  <c r="J358" i="4" s="1"/>
  <c r="G358" i="4"/>
  <c r="I357" i="4"/>
  <c r="H357" i="4"/>
  <c r="J357" i="4" s="1"/>
  <c r="G357" i="4"/>
  <c r="I356" i="4"/>
  <c r="H356" i="4"/>
  <c r="J356" i="4" s="1"/>
  <c r="G356" i="4"/>
  <c r="I355" i="4"/>
  <c r="H355" i="4"/>
  <c r="J355" i="4" s="1"/>
  <c r="G355" i="4"/>
  <c r="I354" i="4"/>
  <c r="H354" i="4"/>
  <c r="J354" i="4" s="1"/>
  <c r="G354" i="4"/>
  <c r="I353" i="4"/>
  <c r="H353" i="4"/>
  <c r="J353" i="4" s="1"/>
  <c r="G353" i="4"/>
  <c r="I352" i="4"/>
  <c r="H352" i="4"/>
  <c r="J352" i="4" s="1"/>
  <c r="G352" i="4"/>
  <c r="I351" i="4"/>
  <c r="H351" i="4"/>
  <c r="J351" i="4" s="1"/>
  <c r="G351" i="4"/>
  <c r="I350" i="4"/>
  <c r="H350" i="4"/>
  <c r="J350" i="4" s="1"/>
  <c r="G350" i="4"/>
  <c r="I349" i="4"/>
  <c r="H349" i="4"/>
  <c r="J349" i="4" s="1"/>
  <c r="G349" i="4"/>
  <c r="I348" i="4"/>
  <c r="H348" i="4"/>
  <c r="J348" i="4" s="1"/>
  <c r="G348" i="4"/>
  <c r="I347" i="4"/>
  <c r="H347" i="4"/>
  <c r="J347" i="4" s="1"/>
  <c r="G347" i="4"/>
  <c r="I346" i="4"/>
  <c r="H346" i="4"/>
  <c r="J346" i="4" s="1"/>
  <c r="G346" i="4"/>
  <c r="I345" i="4"/>
  <c r="H345" i="4"/>
  <c r="J345" i="4" s="1"/>
  <c r="G345" i="4"/>
  <c r="I344" i="4"/>
  <c r="H344" i="4"/>
  <c r="J344" i="4" s="1"/>
  <c r="G344" i="4"/>
  <c r="I343" i="4"/>
  <c r="H343" i="4"/>
  <c r="J343" i="4" s="1"/>
  <c r="G343" i="4"/>
  <c r="I342" i="4"/>
  <c r="H342" i="4"/>
  <c r="J342" i="4" s="1"/>
  <c r="G342" i="4"/>
  <c r="I341" i="4"/>
  <c r="H341" i="4"/>
  <c r="J341" i="4" s="1"/>
  <c r="G341" i="4"/>
  <c r="I340" i="4"/>
  <c r="H340" i="4"/>
  <c r="J340" i="4" s="1"/>
  <c r="G340" i="4"/>
  <c r="I339" i="4"/>
  <c r="H339" i="4"/>
  <c r="J339" i="4" s="1"/>
  <c r="G339" i="4"/>
  <c r="I338" i="4"/>
  <c r="H338" i="4"/>
  <c r="J338" i="4" s="1"/>
  <c r="G338" i="4"/>
  <c r="I337" i="4"/>
  <c r="H337" i="4"/>
  <c r="J337" i="4" s="1"/>
  <c r="G337" i="4"/>
  <c r="I336" i="4"/>
  <c r="H336" i="4"/>
  <c r="J336" i="4" s="1"/>
  <c r="G336" i="4"/>
  <c r="I335" i="4"/>
  <c r="H335" i="4"/>
  <c r="J335" i="4" s="1"/>
  <c r="G335" i="4"/>
  <c r="I334" i="4"/>
  <c r="H334" i="4"/>
  <c r="J334" i="4" s="1"/>
  <c r="G334" i="4"/>
  <c r="I333" i="4"/>
  <c r="H333" i="4"/>
  <c r="J333" i="4" s="1"/>
  <c r="G333" i="4"/>
  <c r="I332" i="4"/>
  <c r="H332" i="4"/>
  <c r="J332" i="4" s="1"/>
  <c r="G332" i="4"/>
  <c r="I331" i="4"/>
  <c r="H331" i="4"/>
  <c r="J331" i="4" s="1"/>
  <c r="G331" i="4"/>
  <c r="I330" i="4"/>
  <c r="H330" i="4"/>
  <c r="J330" i="4" s="1"/>
  <c r="G330" i="4"/>
  <c r="I329" i="4"/>
  <c r="H329" i="4"/>
  <c r="J329" i="4" s="1"/>
  <c r="G329" i="4"/>
  <c r="I328" i="4"/>
  <c r="H328" i="4"/>
  <c r="J328" i="4" s="1"/>
  <c r="G328" i="4"/>
  <c r="I327" i="4"/>
  <c r="H327" i="4"/>
  <c r="J327" i="4" s="1"/>
  <c r="G327" i="4"/>
  <c r="I326" i="4"/>
  <c r="H326" i="4"/>
  <c r="J326" i="4" s="1"/>
  <c r="G326" i="4"/>
  <c r="I325" i="4"/>
  <c r="H325" i="4"/>
  <c r="J325" i="4" s="1"/>
  <c r="G325" i="4"/>
  <c r="I324" i="4"/>
  <c r="H324" i="4"/>
  <c r="J324" i="4" s="1"/>
  <c r="G324" i="4"/>
  <c r="I323" i="4"/>
  <c r="H323" i="4"/>
  <c r="J323" i="4" s="1"/>
  <c r="G323" i="4"/>
  <c r="I322" i="4"/>
  <c r="H322" i="4"/>
  <c r="J322" i="4" s="1"/>
  <c r="G322" i="4"/>
  <c r="I321" i="4"/>
  <c r="H321" i="4"/>
  <c r="J321" i="4" s="1"/>
  <c r="G321" i="4"/>
  <c r="I320" i="4"/>
  <c r="H320" i="4"/>
  <c r="J320" i="4" s="1"/>
  <c r="G320" i="4"/>
  <c r="I319" i="4"/>
  <c r="H319" i="4"/>
  <c r="J319" i="4" s="1"/>
  <c r="G319" i="4"/>
  <c r="I318" i="4"/>
  <c r="H318" i="4"/>
  <c r="J318" i="4" s="1"/>
  <c r="G318" i="4"/>
  <c r="I317" i="4"/>
  <c r="H317" i="4"/>
  <c r="J317" i="4" s="1"/>
  <c r="G317" i="4"/>
  <c r="I316" i="4"/>
  <c r="H316" i="4"/>
  <c r="J316" i="4" s="1"/>
  <c r="G316" i="4"/>
  <c r="I315" i="4"/>
  <c r="H315" i="4"/>
  <c r="J315" i="4" s="1"/>
  <c r="G315" i="4"/>
  <c r="I314" i="4"/>
  <c r="H314" i="4"/>
  <c r="J314" i="4" s="1"/>
  <c r="G314" i="4"/>
  <c r="I313" i="4"/>
  <c r="H313" i="4"/>
  <c r="J313" i="4" s="1"/>
  <c r="G313" i="4"/>
  <c r="I312" i="4"/>
  <c r="H312" i="4"/>
  <c r="J312" i="4" s="1"/>
  <c r="G312" i="4"/>
  <c r="I311" i="4"/>
  <c r="H311" i="4"/>
  <c r="J311" i="4" s="1"/>
  <c r="G311" i="4"/>
  <c r="I310" i="4"/>
  <c r="H310" i="4"/>
  <c r="J310" i="4" s="1"/>
  <c r="G310" i="4"/>
  <c r="I309" i="4"/>
  <c r="H309" i="4"/>
  <c r="J309" i="4" s="1"/>
  <c r="G309" i="4"/>
  <c r="I308" i="4"/>
  <c r="H308" i="4"/>
  <c r="J308" i="4" s="1"/>
  <c r="G308" i="4"/>
  <c r="I307" i="4"/>
  <c r="H307" i="4"/>
  <c r="J307" i="4" s="1"/>
  <c r="G307" i="4"/>
  <c r="I306" i="4"/>
  <c r="H306" i="4"/>
  <c r="J306" i="4" s="1"/>
  <c r="G306" i="4"/>
  <c r="I305" i="4"/>
  <c r="H305" i="4"/>
  <c r="J305" i="4" s="1"/>
  <c r="G305" i="4"/>
  <c r="I304" i="4"/>
  <c r="H304" i="4"/>
  <c r="J304" i="4" s="1"/>
  <c r="G304" i="4"/>
  <c r="I303" i="4"/>
  <c r="H303" i="4"/>
  <c r="J303" i="4" s="1"/>
  <c r="G303" i="4"/>
  <c r="I302" i="4"/>
  <c r="H302" i="4"/>
  <c r="J302" i="4" s="1"/>
  <c r="G302" i="4"/>
  <c r="I301" i="4"/>
  <c r="H301" i="4"/>
  <c r="J301" i="4" s="1"/>
  <c r="G301" i="4"/>
  <c r="I300" i="4"/>
  <c r="H300" i="4"/>
  <c r="J300" i="4" s="1"/>
  <c r="G300" i="4"/>
  <c r="I299" i="4"/>
  <c r="H299" i="4"/>
  <c r="J299" i="4" s="1"/>
  <c r="G299" i="4"/>
  <c r="I298" i="4"/>
  <c r="H298" i="4"/>
  <c r="J298" i="4" s="1"/>
  <c r="G298" i="4"/>
  <c r="I297" i="4"/>
  <c r="H297" i="4"/>
  <c r="J297" i="4" s="1"/>
  <c r="G297" i="4"/>
  <c r="I296" i="4"/>
  <c r="H296" i="4"/>
  <c r="J296" i="4" s="1"/>
  <c r="G296" i="4"/>
  <c r="I295" i="4"/>
  <c r="H295" i="4"/>
  <c r="J295" i="4" s="1"/>
  <c r="G295" i="4"/>
  <c r="I294" i="4"/>
  <c r="H294" i="4"/>
  <c r="J294" i="4" s="1"/>
  <c r="G294" i="4"/>
  <c r="I293" i="4"/>
  <c r="H293" i="4"/>
  <c r="J293" i="4" s="1"/>
  <c r="G293" i="4"/>
  <c r="I292" i="4"/>
  <c r="H292" i="4"/>
  <c r="J292" i="4" s="1"/>
  <c r="G292" i="4"/>
  <c r="I291" i="4"/>
  <c r="H291" i="4"/>
  <c r="J291" i="4" s="1"/>
  <c r="G291" i="4"/>
  <c r="I290" i="4"/>
  <c r="H290" i="4"/>
  <c r="J290" i="4" s="1"/>
  <c r="G290" i="4"/>
  <c r="I289" i="4"/>
  <c r="H289" i="4"/>
  <c r="J289" i="4" s="1"/>
  <c r="G289" i="4"/>
  <c r="I288" i="4"/>
  <c r="H288" i="4"/>
  <c r="J288" i="4" s="1"/>
  <c r="G288" i="4"/>
  <c r="I287" i="4"/>
  <c r="H287" i="4"/>
  <c r="J287" i="4" s="1"/>
  <c r="G287" i="4"/>
  <c r="I286" i="4"/>
  <c r="H286" i="4"/>
  <c r="J286" i="4" s="1"/>
  <c r="G286" i="4"/>
  <c r="I285" i="4"/>
  <c r="H285" i="4"/>
  <c r="J285" i="4" s="1"/>
  <c r="G285" i="4"/>
  <c r="I284" i="4"/>
  <c r="H284" i="4"/>
  <c r="J284" i="4" s="1"/>
  <c r="G284" i="4"/>
  <c r="I283" i="4"/>
  <c r="H283" i="4"/>
  <c r="J283" i="4" s="1"/>
  <c r="G283" i="4"/>
  <c r="I282" i="4"/>
  <c r="H282" i="4"/>
  <c r="J282" i="4" s="1"/>
  <c r="G282" i="4"/>
  <c r="I281" i="4"/>
  <c r="H281" i="4"/>
  <c r="J281" i="4" s="1"/>
  <c r="G281" i="4"/>
  <c r="I280" i="4"/>
  <c r="H280" i="4"/>
  <c r="J280" i="4" s="1"/>
  <c r="G280" i="4"/>
  <c r="I279" i="4"/>
  <c r="H279" i="4"/>
  <c r="J279" i="4" s="1"/>
  <c r="G279" i="4"/>
  <c r="I278" i="4"/>
  <c r="H278" i="4"/>
  <c r="J278" i="4" s="1"/>
  <c r="G278" i="4"/>
  <c r="I277" i="4"/>
  <c r="H277" i="4"/>
  <c r="J277" i="4" s="1"/>
  <c r="G277" i="4"/>
  <c r="I276" i="4"/>
  <c r="H276" i="4"/>
  <c r="J276" i="4" s="1"/>
  <c r="G276" i="4"/>
  <c r="I275" i="4"/>
  <c r="H275" i="4"/>
  <c r="J275" i="4" s="1"/>
  <c r="G275" i="4"/>
  <c r="I274" i="4"/>
  <c r="H274" i="4"/>
  <c r="J274" i="4" s="1"/>
  <c r="G274" i="4"/>
  <c r="I273" i="4"/>
  <c r="H273" i="4"/>
  <c r="J273" i="4" s="1"/>
  <c r="G273" i="4"/>
  <c r="I272" i="4"/>
  <c r="H272" i="4"/>
  <c r="J272" i="4" s="1"/>
  <c r="G272" i="4"/>
  <c r="I271" i="4"/>
  <c r="H271" i="4"/>
  <c r="J271" i="4" s="1"/>
  <c r="G271" i="4"/>
  <c r="I270" i="4"/>
  <c r="H270" i="4"/>
  <c r="J270" i="4" s="1"/>
  <c r="G270" i="4"/>
  <c r="I269" i="4"/>
  <c r="H269" i="4"/>
  <c r="J269" i="4" s="1"/>
  <c r="G269" i="4"/>
  <c r="I268" i="4"/>
  <c r="H268" i="4"/>
  <c r="J268" i="4" s="1"/>
  <c r="G268" i="4"/>
  <c r="I267" i="4"/>
  <c r="H267" i="4"/>
  <c r="J267" i="4" s="1"/>
  <c r="G267" i="4"/>
  <c r="I266" i="4"/>
  <c r="H266" i="4"/>
  <c r="J266" i="4" s="1"/>
  <c r="G266" i="4"/>
  <c r="I265" i="4"/>
  <c r="H265" i="4"/>
  <c r="J265" i="4" s="1"/>
  <c r="G265" i="4"/>
  <c r="I264" i="4"/>
  <c r="H264" i="4"/>
  <c r="J264" i="4" s="1"/>
  <c r="G264" i="4"/>
  <c r="I263" i="4"/>
  <c r="H263" i="4"/>
  <c r="J263" i="4" s="1"/>
  <c r="G263" i="4"/>
  <c r="I262" i="4"/>
  <c r="H262" i="4"/>
  <c r="J262" i="4" s="1"/>
  <c r="G262" i="4"/>
  <c r="I261" i="4"/>
  <c r="H261" i="4"/>
  <c r="J261" i="4" s="1"/>
  <c r="G261" i="4"/>
  <c r="I260" i="4"/>
  <c r="H260" i="4"/>
  <c r="J260" i="4" s="1"/>
  <c r="G260" i="4"/>
  <c r="I259" i="4"/>
  <c r="H259" i="4"/>
  <c r="J259" i="4" s="1"/>
  <c r="G259" i="4"/>
  <c r="I258" i="4"/>
  <c r="H258" i="4"/>
  <c r="J258" i="4" s="1"/>
  <c r="G258" i="4"/>
  <c r="I257" i="4"/>
  <c r="H257" i="4"/>
  <c r="J257" i="4" s="1"/>
  <c r="G257" i="4"/>
  <c r="I256" i="4"/>
  <c r="H256" i="4"/>
  <c r="J256" i="4" s="1"/>
  <c r="G256" i="4"/>
  <c r="I255" i="4"/>
  <c r="H255" i="4"/>
  <c r="J255" i="4" s="1"/>
  <c r="G255" i="4"/>
  <c r="I254" i="4"/>
  <c r="H254" i="4"/>
  <c r="J254" i="4" s="1"/>
  <c r="G254" i="4"/>
  <c r="I253" i="4"/>
  <c r="H253" i="4"/>
  <c r="J253" i="4" s="1"/>
  <c r="G253" i="4"/>
  <c r="I252" i="4"/>
  <c r="H252" i="4"/>
  <c r="J252" i="4" s="1"/>
  <c r="G252" i="4"/>
  <c r="I251" i="4"/>
  <c r="H251" i="4"/>
  <c r="J251" i="4" s="1"/>
  <c r="G251" i="4"/>
  <c r="I250" i="4"/>
  <c r="H250" i="4"/>
  <c r="J250" i="4" s="1"/>
  <c r="G250" i="4"/>
  <c r="I249" i="4"/>
  <c r="H249" i="4"/>
  <c r="J249" i="4" s="1"/>
  <c r="G249" i="4"/>
  <c r="I248" i="4"/>
  <c r="H248" i="4"/>
  <c r="J248" i="4" s="1"/>
  <c r="G248" i="4"/>
  <c r="I247" i="4"/>
  <c r="H247" i="4"/>
  <c r="J247" i="4" s="1"/>
  <c r="G247" i="4"/>
  <c r="I246" i="4"/>
  <c r="H246" i="4"/>
  <c r="J246" i="4" s="1"/>
  <c r="G246" i="4"/>
  <c r="I245" i="4"/>
  <c r="H245" i="4"/>
  <c r="J245" i="4" s="1"/>
  <c r="G245" i="4"/>
  <c r="I244" i="4"/>
  <c r="H244" i="4"/>
  <c r="J244" i="4" s="1"/>
  <c r="G244" i="4"/>
  <c r="I243" i="4"/>
  <c r="H243" i="4"/>
  <c r="J243" i="4" s="1"/>
  <c r="G243" i="4"/>
  <c r="I242" i="4"/>
  <c r="H242" i="4"/>
  <c r="J242" i="4" s="1"/>
  <c r="G242" i="4"/>
  <c r="I241" i="4"/>
  <c r="H241" i="4"/>
  <c r="J241" i="4" s="1"/>
  <c r="G241" i="4"/>
  <c r="I240" i="4"/>
  <c r="H240" i="4"/>
  <c r="J240" i="4" s="1"/>
  <c r="G240" i="4"/>
  <c r="I239" i="4"/>
  <c r="H239" i="4"/>
  <c r="J239" i="4" s="1"/>
  <c r="G239" i="4"/>
  <c r="I238" i="4"/>
  <c r="H238" i="4"/>
  <c r="J238" i="4" s="1"/>
  <c r="G238" i="4"/>
  <c r="I237" i="4"/>
  <c r="H237" i="4"/>
  <c r="J237" i="4" s="1"/>
  <c r="G237" i="4"/>
  <c r="I236" i="4"/>
  <c r="H236" i="4"/>
  <c r="J236" i="4" s="1"/>
  <c r="G236" i="4"/>
  <c r="I235" i="4"/>
  <c r="H235" i="4"/>
  <c r="J235" i="4" s="1"/>
  <c r="G235" i="4"/>
  <c r="I234" i="4"/>
  <c r="H234" i="4"/>
  <c r="J234" i="4" s="1"/>
  <c r="G234" i="4"/>
  <c r="I233" i="4"/>
  <c r="H233" i="4"/>
  <c r="J233" i="4" s="1"/>
  <c r="G233" i="4"/>
  <c r="I232" i="4"/>
  <c r="H232" i="4"/>
  <c r="J232" i="4" s="1"/>
  <c r="G232" i="4"/>
  <c r="I231" i="4"/>
  <c r="H231" i="4"/>
  <c r="J231" i="4" s="1"/>
  <c r="G231" i="4"/>
  <c r="I230" i="4"/>
  <c r="H230" i="4"/>
  <c r="J230" i="4" s="1"/>
  <c r="G230" i="4"/>
  <c r="I229" i="4"/>
  <c r="H229" i="4"/>
  <c r="J229" i="4" s="1"/>
  <c r="G229" i="4"/>
  <c r="I228" i="4"/>
  <c r="H228" i="4"/>
  <c r="J228" i="4" s="1"/>
  <c r="G228" i="4"/>
  <c r="I227" i="4"/>
  <c r="H227" i="4"/>
  <c r="J227" i="4" s="1"/>
  <c r="G227" i="4"/>
  <c r="I226" i="4"/>
  <c r="H226" i="4"/>
  <c r="J226" i="4" s="1"/>
  <c r="G226" i="4"/>
  <c r="I225" i="4"/>
  <c r="H225" i="4"/>
  <c r="J225" i="4" s="1"/>
  <c r="G225" i="4"/>
  <c r="I224" i="4"/>
  <c r="H224" i="4"/>
  <c r="J224" i="4" s="1"/>
  <c r="G224" i="4"/>
  <c r="I223" i="4"/>
  <c r="H223" i="4"/>
  <c r="J223" i="4" s="1"/>
  <c r="G223" i="4"/>
  <c r="I222" i="4"/>
  <c r="H222" i="4"/>
  <c r="J222" i="4" s="1"/>
  <c r="G222" i="4"/>
  <c r="I221" i="4"/>
  <c r="H221" i="4"/>
  <c r="J221" i="4" s="1"/>
  <c r="G221" i="4"/>
  <c r="I220" i="4"/>
  <c r="H220" i="4"/>
  <c r="J220" i="4" s="1"/>
  <c r="G220" i="4"/>
  <c r="I219" i="4"/>
  <c r="H219" i="4"/>
  <c r="J219" i="4" s="1"/>
  <c r="G219" i="4"/>
  <c r="I218" i="4"/>
  <c r="H218" i="4"/>
  <c r="J218" i="4" s="1"/>
  <c r="G218" i="4"/>
  <c r="I217" i="4"/>
  <c r="H217" i="4"/>
  <c r="J217" i="4" s="1"/>
  <c r="G217" i="4"/>
  <c r="I216" i="4"/>
  <c r="H216" i="4"/>
  <c r="J216" i="4" s="1"/>
  <c r="G216" i="4"/>
  <c r="I215" i="4"/>
  <c r="H215" i="4"/>
  <c r="J215" i="4" s="1"/>
  <c r="G215" i="4"/>
  <c r="I214" i="4"/>
  <c r="H214" i="4"/>
  <c r="J214" i="4" s="1"/>
  <c r="G214" i="4"/>
  <c r="I213" i="4"/>
  <c r="H213" i="4"/>
  <c r="J213" i="4" s="1"/>
  <c r="G213" i="4"/>
  <c r="I212" i="4"/>
  <c r="H212" i="4"/>
  <c r="J212" i="4" s="1"/>
  <c r="G212" i="4"/>
  <c r="I211" i="4"/>
  <c r="H211" i="4"/>
  <c r="J211" i="4" s="1"/>
  <c r="G211" i="4"/>
  <c r="I210" i="4"/>
  <c r="H210" i="4"/>
  <c r="J210" i="4" s="1"/>
  <c r="G210" i="4"/>
  <c r="I209" i="4"/>
  <c r="H209" i="4"/>
  <c r="J209" i="4" s="1"/>
  <c r="G209" i="4"/>
  <c r="I208" i="4"/>
  <c r="H208" i="4"/>
  <c r="J208" i="4" s="1"/>
  <c r="G208" i="4"/>
  <c r="I207" i="4"/>
  <c r="H207" i="4"/>
  <c r="J207" i="4" s="1"/>
  <c r="G207" i="4"/>
  <c r="I206" i="4"/>
  <c r="H206" i="4"/>
  <c r="J206" i="4" s="1"/>
  <c r="G206" i="4"/>
  <c r="I205" i="4"/>
  <c r="H205" i="4"/>
  <c r="J205" i="4" s="1"/>
  <c r="G205" i="4"/>
  <c r="I204" i="4"/>
  <c r="H204" i="4"/>
  <c r="J204" i="4" s="1"/>
  <c r="G204" i="4"/>
  <c r="I203" i="4"/>
  <c r="H203" i="4"/>
  <c r="J203" i="4" s="1"/>
  <c r="G203" i="4"/>
  <c r="I202" i="4"/>
  <c r="H202" i="4"/>
  <c r="J202" i="4" s="1"/>
  <c r="G202" i="4"/>
  <c r="I201" i="4"/>
  <c r="H201" i="4"/>
  <c r="J201" i="4" s="1"/>
  <c r="G201" i="4"/>
  <c r="I200" i="4"/>
  <c r="H200" i="4"/>
  <c r="J200" i="4" s="1"/>
  <c r="G200" i="4"/>
  <c r="I199" i="4"/>
  <c r="H199" i="4"/>
  <c r="J199" i="4" s="1"/>
  <c r="G199" i="4"/>
  <c r="I198" i="4"/>
  <c r="H198" i="4"/>
  <c r="J198" i="4" s="1"/>
  <c r="G198" i="4"/>
  <c r="I197" i="4"/>
  <c r="H197" i="4"/>
  <c r="J197" i="4" s="1"/>
  <c r="G197" i="4"/>
  <c r="I196" i="4"/>
  <c r="H196" i="4"/>
  <c r="J196" i="4" s="1"/>
  <c r="G196" i="4"/>
  <c r="I195" i="4"/>
  <c r="H195" i="4"/>
  <c r="J195" i="4" s="1"/>
  <c r="G195" i="4"/>
  <c r="I194" i="4"/>
  <c r="H194" i="4"/>
  <c r="J194" i="4" s="1"/>
  <c r="G194" i="4"/>
  <c r="I193" i="4"/>
  <c r="H193" i="4"/>
  <c r="J193" i="4" s="1"/>
  <c r="G193" i="4"/>
  <c r="I192" i="4"/>
  <c r="H192" i="4"/>
  <c r="J192" i="4" s="1"/>
  <c r="G192" i="4"/>
  <c r="I191" i="4"/>
  <c r="H191" i="4"/>
  <c r="J191" i="4" s="1"/>
  <c r="G191" i="4"/>
  <c r="I190" i="4"/>
  <c r="H190" i="4"/>
  <c r="J190" i="4" s="1"/>
  <c r="G190" i="4"/>
  <c r="I189" i="4"/>
  <c r="H189" i="4"/>
  <c r="J189" i="4" s="1"/>
  <c r="G189" i="4"/>
  <c r="I188" i="4"/>
  <c r="H188" i="4"/>
  <c r="J188" i="4" s="1"/>
  <c r="G188" i="4"/>
  <c r="I187" i="4"/>
  <c r="H187" i="4"/>
  <c r="J187" i="4" s="1"/>
  <c r="G187" i="4"/>
  <c r="I186" i="4"/>
  <c r="H186" i="4"/>
  <c r="J186" i="4" s="1"/>
  <c r="G186" i="4"/>
  <c r="I185" i="4"/>
  <c r="H185" i="4"/>
  <c r="J185" i="4" s="1"/>
  <c r="G185" i="4"/>
  <c r="I184" i="4"/>
  <c r="H184" i="4"/>
  <c r="J184" i="4" s="1"/>
  <c r="G184" i="4"/>
  <c r="I183" i="4"/>
  <c r="H183" i="4"/>
  <c r="J183" i="4" s="1"/>
  <c r="G183" i="4"/>
  <c r="I182" i="4"/>
  <c r="H182" i="4"/>
  <c r="J182" i="4" s="1"/>
  <c r="G182" i="4"/>
  <c r="I181" i="4"/>
  <c r="H181" i="4"/>
  <c r="J181" i="4" s="1"/>
  <c r="G181" i="4"/>
  <c r="I180" i="4"/>
  <c r="H180" i="4"/>
  <c r="J180" i="4" s="1"/>
  <c r="G180" i="4"/>
  <c r="I179" i="4"/>
  <c r="H179" i="4"/>
  <c r="J179" i="4" s="1"/>
  <c r="G179" i="4"/>
  <c r="I178" i="4"/>
  <c r="H178" i="4"/>
  <c r="J178" i="4" s="1"/>
  <c r="G178" i="4"/>
  <c r="I177" i="4"/>
  <c r="H177" i="4"/>
  <c r="J177" i="4" s="1"/>
  <c r="G177" i="4"/>
  <c r="I176" i="4"/>
  <c r="H176" i="4"/>
  <c r="J176" i="4" s="1"/>
  <c r="G176" i="4"/>
  <c r="I175" i="4"/>
  <c r="H175" i="4"/>
  <c r="J175" i="4" s="1"/>
  <c r="G175" i="4"/>
  <c r="I174" i="4"/>
  <c r="H174" i="4"/>
  <c r="J174" i="4" s="1"/>
  <c r="G174" i="4"/>
  <c r="I173" i="4"/>
  <c r="H173" i="4"/>
  <c r="J173" i="4" s="1"/>
  <c r="G173" i="4"/>
  <c r="I172" i="4"/>
  <c r="H172" i="4"/>
  <c r="J172" i="4" s="1"/>
  <c r="G172" i="4"/>
  <c r="I171" i="4"/>
  <c r="H171" i="4"/>
  <c r="J171" i="4" s="1"/>
  <c r="G171" i="4"/>
  <c r="I170" i="4"/>
  <c r="H170" i="4"/>
  <c r="J170" i="4" s="1"/>
  <c r="G170" i="4"/>
  <c r="I169" i="4"/>
  <c r="H169" i="4"/>
  <c r="J169" i="4" s="1"/>
  <c r="G169" i="4"/>
  <c r="I168" i="4"/>
  <c r="H168" i="4"/>
  <c r="J168" i="4" s="1"/>
  <c r="G168" i="4"/>
  <c r="I167" i="4"/>
  <c r="H167" i="4"/>
  <c r="J167" i="4" s="1"/>
  <c r="G167" i="4"/>
  <c r="I166" i="4"/>
  <c r="H166" i="4"/>
  <c r="J166" i="4" s="1"/>
  <c r="G166" i="4"/>
  <c r="I165" i="4"/>
  <c r="H165" i="4"/>
  <c r="J165" i="4" s="1"/>
  <c r="G165" i="4"/>
  <c r="I164" i="4"/>
  <c r="H164" i="4"/>
  <c r="J164" i="4" s="1"/>
  <c r="G164" i="4"/>
  <c r="I163" i="4"/>
  <c r="H163" i="4"/>
  <c r="J163" i="4" s="1"/>
  <c r="G163" i="4"/>
  <c r="I162" i="4"/>
  <c r="H162" i="4"/>
  <c r="J162" i="4" s="1"/>
  <c r="G162" i="4"/>
  <c r="I161" i="4"/>
  <c r="H161" i="4"/>
  <c r="J161" i="4" s="1"/>
  <c r="G161" i="4"/>
  <c r="I160" i="4"/>
  <c r="H160" i="4"/>
  <c r="J160" i="4" s="1"/>
  <c r="G160" i="4"/>
  <c r="I159" i="4"/>
  <c r="H159" i="4"/>
  <c r="J159" i="4" s="1"/>
  <c r="G159" i="4"/>
  <c r="I158" i="4"/>
  <c r="H158" i="4"/>
  <c r="J158" i="4" s="1"/>
  <c r="G158" i="4"/>
  <c r="I157" i="4"/>
  <c r="H157" i="4"/>
  <c r="J157" i="4" s="1"/>
  <c r="G157" i="4"/>
  <c r="I156" i="4"/>
  <c r="H156" i="4"/>
  <c r="J156" i="4" s="1"/>
  <c r="G156" i="4"/>
  <c r="I155" i="4"/>
  <c r="H155" i="4"/>
  <c r="J155" i="4" s="1"/>
  <c r="G155" i="4"/>
  <c r="I154" i="4"/>
  <c r="H154" i="4"/>
  <c r="J154" i="4" s="1"/>
  <c r="G154" i="4"/>
  <c r="I153" i="4"/>
  <c r="H153" i="4"/>
  <c r="J153" i="4" s="1"/>
  <c r="G153" i="4"/>
  <c r="I152" i="4"/>
  <c r="H152" i="4"/>
  <c r="J152" i="4" s="1"/>
  <c r="G152" i="4"/>
  <c r="I151" i="4"/>
  <c r="H151" i="4"/>
  <c r="J151" i="4" s="1"/>
  <c r="G151" i="4"/>
  <c r="I150" i="4"/>
  <c r="H150" i="4"/>
  <c r="J150" i="4" s="1"/>
  <c r="G150" i="4"/>
  <c r="I149" i="4"/>
  <c r="H149" i="4"/>
  <c r="J149" i="4" s="1"/>
  <c r="G149" i="4"/>
  <c r="I148" i="4"/>
  <c r="H148" i="4"/>
  <c r="J148" i="4" s="1"/>
  <c r="G148" i="4"/>
  <c r="I147" i="4"/>
  <c r="H147" i="4"/>
  <c r="J147" i="4" s="1"/>
  <c r="G147" i="4"/>
  <c r="I146" i="4"/>
  <c r="H146" i="4"/>
  <c r="J146" i="4" s="1"/>
  <c r="G146" i="4"/>
  <c r="I145" i="4"/>
  <c r="H145" i="4"/>
  <c r="J145" i="4" s="1"/>
  <c r="G145" i="4"/>
  <c r="I144" i="4"/>
  <c r="H144" i="4"/>
  <c r="J144" i="4" s="1"/>
  <c r="G144" i="4"/>
  <c r="I143" i="4"/>
  <c r="H143" i="4"/>
  <c r="J143" i="4" s="1"/>
  <c r="G143" i="4"/>
  <c r="I142" i="4"/>
  <c r="H142" i="4"/>
  <c r="J142" i="4" s="1"/>
  <c r="G142" i="4"/>
  <c r="I141" i="4"/>
  <c r="H141" i="4"/>
  <c r="J141" i="4" s="1"/>
  <c r="G141" i="4"/>
  <c r="I140" i="4"/>
  <c r="H140" i="4"/>
  <c r="J140" i="4" s="1"/>
  <c r="G140" i="4"/>
  <c r="I139" i="4"/>
  <c r="H139" i="4"/>
  <c r="J139" i="4" s="1"/>
  <c r="G139" i="4"/>
  <c r="I138" i="4"/>
  <c r="H138" i="4"/>
  <c r="J138" i="4" s="1"/>
  <c r="G138" i="4"/>
  <c r="I137" i="4"/>
  <c r="H137" i="4"/>
  <c r="J137" i="4" s="1"/>
  <c r="G137" i="4"/>
  <c r="I136" i="4"/>
  <c r="H136" i="4"/>
  <c r="J136" i="4" s="1"/>
  <c r="G136" i="4"/>
  <c r="I135" i="4"/>
  <c r="H135" i="4"/>
  <c r="J135" i="4" s="1"/>
  <c r="G135" i="4"/>
  <c r="I134" i="4"/>
  <c r="H134" i="4"/>
  <c r="J134" i="4" s="1"/>
  <c r="G134" i="4"/>
  <c r="I133" i="4"/>
  <c r="H133" i="4"/>
  <c r="J133" i="4" s="1"/>
  <c r="G133" i="4"/>
  <c r="I132" i="4"/>
  <c r="H132" i="4"/>
  <c r="J132" i="4" s="1"/>
  <c r="G132" i="4"/>
  <c r="I131" i="4"/>
  <c r="H131" i="4"/>
  <c r="J131" i="4" s="1"/>
  <c r="G131" i="4"/>
  <c r="I130" i="4"/>
  <c r="H130" i="4"/>
  <c r="J130" i="4" s="1"/>
  <c r="G130" i="4"/>
  <c r="I129" i="4"/>
  <c r="H129" i="4"/>
  <c r="J129" i="4" s="1"/>
  <c r="G129" i="4"/>
  <c r="I128" i="4"/>
  <c r="H128" i="4"/>
  <c r="J128" i="4" s="1"/>
  <c r="G128" i="4"/>
  <c r="I127" i="4"/>
  <c r="H127" i="4"/>
  <c r="J127" i="4" s="1"/>
  <c r="G127" i="4"/>
  <c r="I126" i="4"/>
  <c r="H126" i="4"/>
  <c r="J126" i="4" s="1"/>
  <c r="G126" i="4"/>
  <c r="I125" i="4"/>
  <c r="H125" i="4"/>
  <c r="J125" i="4" s="1"/>
  <c r="G125" i="4"/>
  <c r="I124" i="4"/>
  <c r="H124" i="4"/>
  <c r="J124" i="4" s="1"/>
  <c r="G124" i="4"/>
  <c r="I123" i="4"/>
  <c r="H123" i="4"/>
  <c r="J123" i="4" s="1"/>
  <c r="G123" i="4"/>
  <c r="I122" i="4"/>
  <c r="H122" i="4"/>
  <c r="J122" i="4" s="1"/>
  <c r="G122" i="4"/>
  <c r="I121" i="4"/>
  <c r="H121" i="4"/>
  <c r="J121" i="4" s="1"/>
  <c r="G121" i="4"/>
  <c r="I120" i="4"/>
  <c r="H120" i="4"/>
  <c r="J120" i="4" s="1"/>
  <c r="G120" i="4"/>
  <c r="I119" i="4"/>
  <c r="H119" i="4"/>
  <c r="J119" i="4" s="1"/>
  <c r="G119" i="4"/>
  <c r="I118" i="4"/>
  <c r="H118" i="4"/>
  <c r="J118" i="4" s="1"/>
  <c r="G118" i="4"/>
  <c r="I117" i="4"/>
  <c r="H117" i="4"/>
  <c r="J117" i="4" s="1"/>
  <c r="G117" i="4"/>
  <c r="I116" i="4"/>
  <c r="H116" i="4"/>
  <c r="J116" i="4" s="1"/>
  <c r="G116" i="4"/>
  <c r="I115" i="4"/>
  <c r="H115" i="4"/>
  <c r="J115" i="4" s="1"/>
  <c r="G115" i="4"/>
  <c r="I114" i="4"/>
  <c r="H114" i="4"/>
  <c r="J114" i="4" s="1"/>
  <c r="G114" i="4"/>
  <c r="I113" i="4"/>
  <c r="H113" i="4"/>
  <c r="J113" i="4" s="1"/>
  <c r="G113" i="4"/>
  <c r="I112" i="4"/>
  <c r="H112" i="4"/>
  <c r="J112" i="4" s="1"/>
  <c r="G112" i="4"/>
  <c r="I111" i="4"/>
  <c r="H111" i="4"/>
  <c r="J111" i="4" s="1"/>
  <c r="G111" i="4"/>
  <c r="I110" i="4"/>
  <c r="H110" i="4"/>
  <c r="J110" i="4" s="1"/>
  <c r="G110" i="4"/>
  <c r="I109" i="4"/>
  <c r="H109" i="4"/>
  <c r="J109" i="4" s="1"/>
  <c r="G109" i="4"/>
  <c r="I108" i="4"/>
  <c r="H108" i="4"/>
  <c r="J108" i="4" s="1"/>
  <c r="G108" i="4"/>
  <c r="I107" i="4"/>
  <c r="H107" i="4"/>
  <c r="J107" i="4" s="1"/>
  <c r="G107" i="4"/>
  <c r="I106" i="4"/>
  <c r="H106" i="4"/>
  <c r="J106" i="4" s="1"/>
  <c r="G106" i="4"/>
  <c r="I105" i="4"/>
  <c r="H105" i="4"/>
  <c r="J105" i="4" s="1"/>
  <c r="G105" i="4"/>
  <c r="I104" i="4"/>
  <c r="H104" i="4"/>
  <c r="J104" i="4" s="1"/>
  <c r="G104" i="4"/>
  <c r="I103" i="4"/>
  <c r="H103" i="4"/>
  <c r="J103" i="4" s="1"/>
  <c r="G103" i="4"/>
  <c r="I102" i="4"/>
  <c r="H102" i="4"/>
  <c r="J102" i="4" s="1"/>
  <c r="G102" i="4"/>
  <c r="I101" i="4"/>
  <c r="H101" i="4"/>
  <c r="J101" i="4" s="1"/>
  <c r="G101" i="4"/>
  <c r="I100" i="4"/>
  <c r="H100" i="4"/>
  <c r="J100" i="4" s="1"/>
  <c r="G100" i="4"/>
  <c r="I99" i="4"/>
  <c r="H99" i="4"/>
  <c r="J99" i="4" s="1"/>
  <c r="G99" i="4"/>
  <c r="I98" i="4"/>
  <c r="H98" i="4"/>
  <c r="J98" i="4" s="1"/>
  <c r="G98" i="4"/>
  <c r="I97" i="4"/>
  <c r="H97" i="4"/>
  <c r="J97" i="4" s="1"/>
  <c r="G97" i="4"/>
  <c r="I96" i="4"/>
  <c r="H96" i="4"/>
  <c r="J96" i="4" s="1"/>
  <c r="G96" i="4"/>
  <c r="I95" i="4"/>
  <c r="H95" i="4"/>
  <c r="J95" i="4" s="1"/>
  <c r="G95" i="4"/>
  <c r="I94" i="4"/>
  <c r="H94" i="4"/>
  <c r="J94" i="4" s="1"/>
  <c r="G94" i="4"/>
  <c r="I93" i="4"/>
  <c r="H93" i="4"/>
  <c r="J93" i="4" s="1"/>
  <c r="G93" i="4"/>
  <c r="I92" i="4"/>
  <c r="H92" i="4"/>
  <c r="J92" i="4" s="1"/>
  <c r="G92" i="4"/>
  <c r="I91" i="4"/>
  <c r="H91" i="4"/>
  <c r="J91" i="4" s="1"/>
  <c r="G91" i="4"/>
  <c r="I90" i="4"/>
  <c r="H90" i="4"/>
  <c r="J90" i="4" s="1"/>
  <c r="G90" i="4"/>
  <c r="I89" i="4"/>
  <c r="H89" i="4"/>
  <c r="J89" i="4" s="1"/>
  <c r="G89" i="4"/>
  <c r="I88" i="4"/>
  <c r="H88" i="4"/>
  <c r="J88" i="4" s="1"/>
  <c r="G88" i="4"/>
  <c r="I87" i="4"/>
  <c r="H87" i="4"/>
  <c r="J87" i="4" s="1"/>
  <c r="G87" i="4"/>
  <c r="I86" i="4"/>
  <c r="H86" i="4"/>
  <c r="J86" i="4" s="1"/>
  <c r="G86" i="4"/>
  <c r="I85" i="4"/>
  <c r="H85" i="4"/>
  <c r="J85" i="4" s="1"/>
  <c r="G85" i="4"/>
  <c r="I84" i="4"/>
  <c r="H84" i="4"/>
  <c r="J84" i="4" s="1"/>
  <c r="G84" i="4"/>
  <c r="I83" i="4"/>
  <c r="H83" i="4"/>
  <c r="J83" i="4" s="1"/>
  <c r="G83" i="4"/>
  <c r="I82" i="4"/>
  <c r="H82" i="4"/>
  <c r="J82" i="4" s="1"/>
  <c r="G82" i="4"/>
  <c r="I81" i="4"/>
  <c r="H81" i="4"/>
  <c r="J81" i="4" s="1"/>
  <c r="G81" i="4"/>
  <c r="I80" i="4"/>
  <c r="H80" i="4"/>
  <c r="J80" i="4" s="1"/>
  <c r="G80" i="4"/>
  <c r="I79" i="4"/>
  <c r="H79" i="4"/>
  <c r="J79" i="4" s="1"/>
  <c r="G79" i="4"/>
  <c r="I78" i="4"/>
  <c r="H78" i="4"/>
  <c r="J78" i="4" s="1"/>
  <c r="G78" i="4"/>
  <c r="I77" i="4"/>
  <c r="H77" i="4"/>
  <c r="J77" i="4" s="1"/>
  <c r="G77" i="4"/>
  <c r="I76" i="4"/>
  <c r="H76" i="4"/>
  <c r="J76" i="4" s="1"/>
  <c r="G76" i="4"/>
  <c r="I75" i="4"/>
  <c r="H75" i="4"/>
  <c r="J75" i="4" s="1"/>
  <c r="G75" i="4"/>
  <c r="I74" i="4"/>
  <c r="H74" i="4"/>
  <c r="J74" i="4" s="1"/>
  <c r="G74" i="4"/>
  <c r="I73" i="4"/>
  <c r="H73" i="4"/>
  <c r="J73" i="4" s="1"/>
  <c r="G73" i="4"/>
  <c r="I72" i="4"/>
  <c r="H72" i="4"/>
  <c r="J72" i="4" s="1"/>
  <c r="G72" i="4"/>
  <c r="I71" i="4"/>
  <c r="H71" i="4"/>
  <c r="J71" i="4" s="1"/>
  <c r="G71" i="4"/>
  <c r="I70" i="4"/>
  <c r="H70" i="4"/>
  <c r="J70" i="4" s="1"/>
  <c r="G70" i="4"/>
  <c r="I69" i="4"/>
  <c r="H69" i="4"/>
  <c r="J69" i="4" s="1"/>
  <c r="G69" i="4"/>
  <c r="I68" i="4"/>
  <c r="H68" i="4"/>
  <c r="J68" i="4" s="1"/>
  <c r="G68" i="4"/>
  <c r="I67" i="4"/>
  <c r="H67" i="4"/>
  <c r="J67" i="4" s="1"/>
  <c r="G67" i="4"/>
  <c r="I66" i="4"/>
  <c r="H66" i="4"/>
  <c r="J66" i="4" s="1"/>
  <c r="G66" i="4"/>
  <c r="I65" i="4"/>
  <c r="H65" i="4"/>
  <c r="J65" i="4" s="1"/>
  <c r="G65" i="4"/>
  <c r="I64" i="4"/>
  <c r="H64" i="4"/>
  <c r="J64" i="4" s="1"/>
  <c r="G64" i="4"/>
  <c r="I63" i="4"/>
  <c r="H63" i="4"/>
  <c r="J63" i="4" s="1"/>
  <c r="G63" i="4"/>
  <c r="I62" i="4"/>
  <c r="H62" i="4"/>
  <c r="J62" i="4" s="1"/>
  <c r="G62" i="4"/>
  <c r="I61" i="4"/>
  <c r="H61" i="4"/>
  <c r="J61" i="4" s="1"/>
  <c r="G61" i="4"/>
  <c r="I60" i="4"/>
  <c r="H60" i="4"/>
  <c r="J60" i="4" s="1"/>
  <c r="G60" i="4"/>
  <c r="I59" i="4"/>
  <c r="H59" i="4"/>
  <c r="J59" i="4" s="1"/>
  <c r="G59" i="4"/>
  <c r="I58" i="4"/>
  <c r="H58" i="4"/>
  <c r="J58" i="4" s="1"/>
  <c r="G58" i="4"/>
  <c r="I57" i="4"/>
  <c r="H57" i="4"/>
  <c r="J57" i="4" s="1"/>
  <c r="G57" i="4"/>
  <c r="I56" i="4"/>
  <c r="H56" i="4"/>
  <c r="J56" i="4" s="1"/>
  <c r="G56" i="4"/>
  <c r="I55" i="4"/>
  <c r="H55" i="4"/>
  <c r="J55" i="4" s="1"/>
  <c r="G55" i="4"/>
  <c r="I54" i="4"/>
  <c r="H54" i="4"/>
  <c r="J54" i="4" s="1"/>
  <c r="G54" i="4"/>
  <c r="I53" i="4"/>
  <c r="H53" i="4"/>
  <c r="J53" i="4" s="1"/>
  <c r="G53" i="4"/>
  <c r="I52" i="4"/>
  <c r="H52" i="4"/>
  <c r="J52" i="4" s="1"/>
  <c r="G52" i="4"/>
  <c r="I51" i="4"/>
  <c r="H51" i="4"/>
  <c r="J51" i="4" s="1"/>
  <c r="G51" i="4"/>
  <c r="I50" i="4"/>
  <c r="H50" i="4"/>
  <c r="J50" i="4" s="1"/>
  <c r="G50" i="4"/>
  <c r="I49" i="4"/>
  <c r="H49" i="4"/>
  <c r="J49" i="4" s="1"/>
  <c r="G49" i="4"/>
  <c r="I48" i="4"/>
  <c r="H48" i="4"/>
  <c r="J48" i="4" s="1"/>
  <c r="G48" i="4"/>
  <c r="I47" i="4"/>
  <c r="H47" i="4"/>
  <c r="J47" i="4" s="1"/>
  <c r="G47" i="4"/>
  <c r="I46" i="4"/>
  <c r="H46" i="4"/>
  <c r="J46" i="4" s="1"/>
  <c r="G46" i="4"/>
  <c r="I45" i="4"/>
  <c r="H45" i="4"/>
  <c r="J45" i="4" s="1"/>
  <c r="G45" i="4"/>
  <c r="I44" i="4"/>
  <c r="H44" i="4"/>
  <c r="J44" i="4" s="1"/>
  <c r="G44" i="4"/>
  <c r="I43" i="4"/>
  <c r="H43" i="4"/>
  <c r="J43" i="4" s="1"/>
  <c r="G43" i="4"/>
  <c r="I42" i="4"/>
  <c r="H42" i="4"/>
  <c r="J42" i="4" s="1"/>
  <c r="G42" i="4"/>
  <c r="I41" i="4"/>
  <c r="H41" i="4"/>
  <c r="J41" i="4" s="1"/>
  <c r="G41" i="4"/>
  <c r="I40" i="4"/>
  <c r="H40" i="4"/>
  <c r="J40" i="4" s="1"/>
  <c r="G40" i="4"/>
  <c r="I39" i="4"/>
  <c r="H39" i="4"/>
  <c r="J39" i="4" s="1"/>
  <c r="G39" i="4"/>
  <c r="I38" i="4"/>
  <c r="H38" i="4"/>
  <c r="J38" i="4" s="1"/>
  <c r="G38" i="4"/>
  <c r="I37" i="4"/>
  <c r="H37" i="4"/>
  <c r="J37" i="4" s="1"/>
  <c r="G37" i="4"/>
  <c r="I36" i="4"/>
  <c r="H36" i="4"/>
  <c r="J36" i="4" s="1"/>
  <c r="G36" i="4"/>
  <c r="I35" i="4"/>
  <c r="H35" i="4"/>
  <c r="J35" i="4" s="1"/>
  <c r="G35" i="4"/>
  <c r="I34" i="4"/>
  <c r="H34" i="4"/>
  <c r="J34" i="4" s="1"/>
  <c r="G34" i="4"/>
  <c r="I33" i="4"/>
  <c r="H33" i="4"/>
  <c r="J33" i="4" s="1"/>
  <c r="G33" i="4"/>
  <c r="I32" i="4"/>
  <c r="H32" i="4"/>
  <c r="J32" i="4" s="1"/>
  <c r="G32" i="4"/>
  <c r="I31" i="4"/>
  <c r="H31" i="4"/>
  <c r="J31" i="4" s="1"/>
  <c r="G31" i="4"/>
  <c r="I30" i="4"/>
  <c r="H30" i="4"/>
  <c r="J30" i="4" s="1"/>
  <c r="G30" i="4"/>
  <c r="I29" i="4"/>
  <c r="H29" i="4"/>
  <c r="J29" i="4" s="1"/>
  <c r="G29" i="4"/>
  <c r="I28" i="4"/>
  <c r="H28" i="4"/>
  <c r="J28" i="4" s="1"/>
  <c r="G28" i="4"/>
  <c r="I27" i="4"/>
  <c r="H27" i="4"/>
  <c r="J27" i="4" s="1"/>
  <c r="G27" i="4"/>
  <c r="I26" i="4"/>
  <c r="H26" i="4"/>
  <c r="J26" i="4" s="1"/>
  <c r="G26" i="4"/>
  <c r="I25" i="4"/>
  <c r="H25" i="4"/>
  <c r="J25" i="4" s="1"/>
  <c r="G25" i="4"/>
  <c r="I24" i="4"/>
  <c r="H24" i="4"/>
  <c r="J24" i="4" s="1"/>
  <c r="G24" i="4"/>
  <c r="I23" i="4"/>
  <c r="H23" i="4"/>
  <c r="J23" i="4" s="1"/>
  <c r="G23" i="4"/>
  <c r="I22" i="4"/>
  <c r="H22" i="4"/>
  <c r="J22" i="4" s="1"/>
  <c r="G22" i="4"/>
  <c r="I21" i="4"/>
  <c r="H21" i="4"/>
  <c r="J21" i="4" s="1"/>
  <c r="G21" i="4"/>
  <c r="I20" i="4"/>
  <c r="H20" i="4"/>
  <c r="J20" i="4" s="1"/>
  <c r="G20" i="4"/>
  <c r="I19" i="4"/>
  <c r="H19" i="4"/>
  <c r="J19" i="4" s="1"/>
  <c r="G19" i="4"/>
  <c r="I18" i="4"/>
  <c r="H18" i="4"/>
  <c r="J18" i="4" s="1"/>
  <c r="G18" i="4"/>
  <c r="I17" i="4"/>
  <c r="H17" i="4"/>
  <c r="J17" i="4" s="1"/>
  <c r="G17" i="4"/>
  <c r="I16" i="4"/>
  <c r="H16" i="4"/>
  <c r="J16" i="4" s="1"/>
  <c r="G16" i="4"/>
  <c r="I15" i="4"/>
  <c r="H15" i="4"/>
  <c r="J15" i="4" s="1"/>
  <c r="G15" i="4"/>
  <c r="I14" i="4"/>
  <c r="H14" i="4"/>
  <c r="J14" i="4" s="1"/>
  <c r="G14" i="4"/>
  <c r="I13" i="4"/>
  <c r="H13" i="4"/>
  <c r="J13" i="4" s="1"/>
  <c r="G13" i="4"/>
  <c r="I12" i="4"/>
  <c r="H12" i="4"/>
  <c r="J12" i="4" s="1"/>
  <c r="G12" i="4"/>
  <c r="I11" i="4"/>
  <c r="H11" i="4"/>
  <c r="J11" i="4" s="1"/>
  <c r="G11" i="4"/>
  <c r="I10" i="4"/>
  <c r="H10" i="4"/>
  <c r="J10" i="4" s="1"/>
  <c r="G10" i="4"/>
  <c r="I9" i="4"/>
  <c r="H9" i="4"/>
  <c r="J9" i="4" s="1"/>
  <c r="G9" i="4"/>
  <c r="I8" i="4"/>
  <c r="H8" i="4"/>
  <c r="J8" i="4" s="1"/>
  <c r="G8" i="4"/>
  <c r="I7" i="4"/>
  <c r="H7" i="4"/>
  <c r="J7" i="4" s="1"/>
  <c r="G7" i="4"/>
  <c r="I6" i="4"/>
  <c r="H6" i="4"/>
  <c r="J6" i="4" s="1"/>
  <c r="G6" i="4"/>
  <c r="I5" i="4"/>
  <c r="H5" i="4"/>
  <c r="J5" i="4" s="1"/>
  <c r="G5" i="4"/>
  <c r="I4" i="4"/>
  <c r="H4" i="4"/>
  <c r="J4" i="4" s="1"/>
  <c r="G4" i="4"/>
  <c r="J3" i="4"/>
  <c r="I3" i="4"/>
  <c r="G3" i="4"/>
  <c r="J2" i="4"/>
  <c r="I2" i="4"/>
  <c r="G2" i="4"/>
  <c r="D15" i="2"/>
  <c r="C15" i="2"/>
  <c r="D14" i="2"/>
  <c r="D13" i="2"/>
  <c r="D12" i="2"/>
  <c r="D11" i="2"/>
  <c r="C11" i="2"/>
  <c r="D10" i="2"/>
  <c r="E10" i="2" s="1"/>
  <c r="C10" i="2"/>
  <c r="D9" i="2"/>
  <c r="C9" i="2"/>
  <c r="D8" i="2"/>
  <c r="C8" i="2"/>
  <c r="D7" i="2"/>
  <c r="C7" i="2"/>
  <c r="D6" i="2"/>
  <c r="C6" i="2"/>
  <c r="D5" i="2"/>
  <c r="C5" i="2"/>
  <c r="C23" i="1" s="1"/>
  <c r="C25" i="1"/>
  <c r="C24" i="1"/>
  <c r="D10" i="9" l="1"/>
  <c r="C26" i="1" s="1"/>
  <c r="C10" i="9"/>
  <c r="E5" i="2"/>
  <c r="E8" i="2"/>
  <c r="E9" i="2"/>
  <c r="E6" i="2"/>
  <c r="E7" i="2"/>
  <c r="E11" i="2"/>
  <c r="D12" i="8"/>
  <c r="F2" i="8"/>
  <c r="F12" i="8" s="1"/>
  <c r="K7" i="7"/>
  <c r="K6" i="7"/>
  <c r="K3" i="7"/>
  <c r="K5" i="7"/>
  <c r="K4" i="7"/>
  <c r="K2001" i="5"/>
  <c r="P2001" i="5" s="1"/>
  <c r="L2001" i="5"/>
  <c r="Q2001" i="5" s="1"/>
  <c r="K2000" i="5"/>
  <c r="P2000" i="5" s="1"/>
  <c r="L2000" i="5"/>
  <c r="Q2000" i="5" s="1"/>
  <c r="K1999" i="5"/>
  <c r="P1999" i="5" s="1"/>
  <c r="L1999" i="5"/>
  <c r="Q1999" i="5" s="1"/>
  <c r="K1998" i="5"/>
  <c r="P1998" i="5" s="1"/>
  <c r="L1998" i="5"/>
  <c r="Q1998" i="5" s="1"/>
  <c r="K1997" i="5"/>
  <c r="P1997" i="5" s="1"/>
  <c r="L1997" i="5"/>
  <c r="Q1997" i="5" s="1"/>
  <c r="K1996" i="5"/>
  <c r="P1996" i="5" s="1"/>
  <c r="L1996" i="5"/>
  <c r="Q1996" i="5" s="1"/>
  <c r="K1995" i="5"/>
  <c r="P1995" i="5" s="1"/>
  <c r="L1995" i="5"/>
  <c r="Q1995" i="5" s="1"/>
  <c r="K1994" i="5"/>
  <c r="P1994" i="5" s="1"/>
  <c r="L1994" i="5"/>
  <c r="Q1994" i="5" s="1"/>
  <c r="K1993" i="5"/>
  <c r="P1993" i="5" s="1"/>
  <c r="L1993" i="5"/>
  <c r="Q1993" i="5" s="1"/>
  <c r="K1992" i="5"/>
  <c r="P1992" i="5" s="1"/>
  <c r="L1992" i="5"/>
  <c r="Q1992" i="5" s="1"/>
  <c r="K1991" i="5"/>
  <c r="P1991" i="5" s="1"/>
  <c r="L1991" i="5"/>
  <c r="Q1991" i="5" s="1"/>
  <c r="K1990" i="5"/>
  <c r="P1990" i="5" s="1"/>
  <c r="L1990" i="5"/>
  <c r="Q1990" i="5" s="1"/>
  <c r="K1989" i="5"/>
  <c r="P1989" i="5" s="1"/>
  <c r="L1989" i="5"/>
  <c r="Q1989" i="5" s="1"/>
  <c r="K1988" i="5"/>
  <c r="P1988" i="5" s="1"/>
  <c r="L1988" i="5"/>
  <c r="Q1988" i="5" s="1"/>
  <c r="K1987" i="5"/>
  <c r="P1987" i="5" s="1"/>
  <c r="L1987" i="5"/>
  <c r="Q1987" i="5" s="1"/>
  <c r="L1986" i="5"/>
  <c r="Q1986" i="5" s="1"/>
  <c r="K1986" i="5"/>
  <c r="P1986" i="5" s="1"/>
  <c r="L1985" i="5"/>
  <c r="Q1985" i="5" s="1"/>
  <c r="K1985" i="5"/>
  <c r="P1985" i="5" s="1"/>
  <c r="L1984" i="5"/>
  <c r="Q1984" i="5" s="1"/>
  <c r="K1984" i="5"/>
  <c r="P1984" i="5" s="1"/>
  <c r="K1983" i="5"/>
  <c r="P1983" i="5" s="1"/>
  <c r="L1983" i="5"/>
  <c r="Q1983" i="5" s="1"/>
  <c r="K1982" i="5"/>
  <c r="P1982" i="5" s="1"/>
  <c r="L1982" i="5"/>
  <c r="Q1982" i="5" s="1"/>
  <c r="L1981" i="5"/>
  <c r="Q1981" i="5" s="1"/>
  <c r="K1981" i="5"/>
  <c r="P1981" i="5" s="1"/>
  <c r="L1980" i="5"/>
  <c r="Q1980" i="5" s="1"/>
  <c r="K1980" i="5"/>
  <c r="P1980" i="5" s="1"/>
  <c r="K1979" i="5"/>
  <c r="P1979" i="5" s="1"/>
  <c r="L1979" i="5"/>
  <c r="Q1979" i="5" s="1"/>
  <c r="L1978" i="5"/>
  <c r="Q1978" i="5" s="1"/>
  <c r="K1978" i="5"/>
  <c r="P1978" i="5" s="1"/>
  <c r="K1977" i="5"/>
  <c r="P1977" i="5" s="1"/>
  <c r="L1977" i="5"/>
  <c r="Q1977" i="5" s="1"/>
  <c r="K1976" i="5"/>
  <c r="P1976" i="5" s="1"/>
  <c r="L1976" i="5"/>
  <c r="Q1976" i="5" s="1"/>
  <c r="K1975" i="5"/>
  <c r="P1975" i="5" s="1"/>
  <c r="L1975" i="5"/>
  <c r="Q1975" i="5" s="1"/>
  <c r="K1974" i="5"/>
  <c r="P1974" i="5" s="1"/>
  <c r="L1974" i="5"/>
  <c r="Q1974" i="5" s="1"/>
  <c r="K1973" i="5"/>
  <c r="P1973" i="5" s="1"/>
  <c r="L1973" i="5"/>
  <c r="Q1973" i="5" s="1"/>
  <c r="L1972" i="5"/>
  <c r="Q1972" i="5" s="1"/>
  <c r="K1972" i="5"/>
  <c r="P1972" i="5" s="1"/>
  <c r="L1971" i="5"/>
  <c r="Q1971" i="5" s="1"/>
  <c r="K1971" i="5"/>
  <c r="P1971" i="5" s="1"/>
  <c r="K1970" i="5"/>
  <c r="P1970" i="5" s="1"/>
  <c r="L1970" i="5"/>
  <c r="Q1970" i="5" s="1"/>
  <c r="L1969" i="5"/>
  <c r="Q1969" i="5" s="1"/>
  <c r="K1969" i="5"/>
  <c r="P1969" i="5" s="1"/>
  <c r="K1968" i="5"/>
  <c r="P1968" i="5" s="1"/>
  <c r="L1968" i="5"/>
  <c r="Q1968" i="5" s="1"/>
  <c r="K1967" i="5"/>
  <c r="P1967" i="5" s="1"/>
  <c r="L1967" i="5"/>
  <c r="Q1967" i="5" s="1"/>
  <c r="K1966" i="5"/>
  <c r="P1966" i="5" s="1"/>
  <c r="L1966" i="5"/>
  <c r="Q1966" i="5" s="1"/>
  <c r="L1965" i="5"/>
  <c r="Q1965" i="5" s="1"/>
  <c r="K1965" i="5"/>
  <c r="P1965" i="5" s="1"/>
  <c r="L1964" i="5"/>
  <c r="Q1964" i="5" s="1"/>
  <c r="K1964" i="5"/>
  <c r="P1964" i="5" s="1"/>
  <c r="K1963" i="5"/>
  <c r="P1963" i="5" s="1"/>
  <c r="L1963" i="5"/>
  <c r="Q1963" i="5" s="1"/>
  <c r="K1962" i="5"/>
  <c r="P1962" i="5" s="1"/>
  <c r="L1962" i="5"/>
  <c r="Q1962" i="5" s="1"/>
  <c r="K1961" i="5"/>
  <c r="P1961" i="5" s="1"/>
  <c r="L1961" i="5"/>
  <c r="Q1961" i="5" s="1"/>
  <c r="K1960" i="5"/>
  <c r="P1960" i="5" s="1"/>
  <c r="L1960" i="5"/>
  <c r="Q1960" i="5" s="1"/>
  <c r="K1959" i="5"/>
  <c r="P1959" i="5" s="1"/>
  <c r="L1959" i="5"/>
  <c r="Q1959" i="5" s="1"/>
  <c r="K1958" i="5"/>
  <c r="P1958" i="5" s="1"/>
  <c r="L1958" i="5"/>
  <c r="Q1958" i="5" s="1"/>
  <c r="K1957" i="5"/>
  <c r="P1957" i="5" s="1"/>
  <c r="L1957" i="5"/>
  <c r="Q1957" i="5" s="1"/>
  <c r="K1956" i="5"/>
  <c r="P1956" i="5" s="1"/>
  <c r="L1956" i="5"/>
  <c r="Q1956" i="5" s="1"/>
  <c r="K1955" i="5"/>
  <c r="P1955" i="5" s="1"/>
  <c r="L1955" i="5"/>
  <c r="Q1955" i="5" s="1"/>
  <c r="K1954" i="5"/>
  <c r="P1954" i="5" s="1"/>
  <c r="L1954" i="5"/>
  <c r="Q1954" i="5" s="1"/>
  <c r="K1953" i="5"/>
  <c r="P1953" i="5" s="1"/>
  <c r="L1953" i="5"/>
  <c r="Q1953" i="5" s="1"/>
  <c r="K1952" i="5"/>
  <c r="P1952" i="5" s="1"/>
  <c r="L1952" i="5"/>
  <c r="Q1952" i="5" s="1"/>
  <c r="K1951" i="5"/>
  <c r="P1951" i="5" s="1"/>
  <c r="L1951" i="5"/>
  <c r="Q1951" i="5" s="1"/>
  <c r="K1950" i="5"/>
  <c r="P1950" i="5" s="1"/>
  <c r="L1950" i="5"/>
  <c r="Q1950" i="5" s="1"/>
  <c r="K1949" i="5"/>
  <c r="P1949" i="5" s="1"/>
  <c r="L1949" i="5"/>
  <c r="Q1949" i="5" s="1"/>
  <c r="K1948" i="5"/>
  <c r="P1948" i="5" s="1"/>
  <c r="L1948" i="5"/>
  <c r="Q1948" i="5" s="1"/>
  <c r="K1947" i="5"/>
  <c r="P1947" i="5" s="1"/>
  <c r="L1947" i="5"/>
  <c r="Q1947" i="5" s="1"/>
  <c r="K1946" i="5"/>
  <c r="P1946" i="5" s="1"/>
  <c r="L1946" i="5"/>
  <c r="Q1946" i="5" s="1"/>
  <c r="K1945" i="5"/>
  <c r="P1945" i="5" s="1"/>
  <c r="L1945" i="5"/>
  <c r="Q1945" i="5" s="1"/>
  <c r="K1944" i="5"/>
  <c r="P1944" i="5" s="1"/>
  <c r="L1944" i="5"/>
  <c r="Q1944" i="5" s="1"/>
  <c r="K1943" i="5"/>
  <c r="P1943" i="5" s="1"/>
  <c r="L1943" i="5"/>
  <c r="Q1943" i="5" s="1"/>
  <c r="K1942" i="5"/>
  <c r="P1942" i="5" s="1"/>
  <c r="L1942" i="5"/>
  <c r="Q1942" i="5" s="1"/>
  <c r="K1941" i="5"/>
  <c r="P1941" i="5" s="1"/>
  <c r="L1941" i="5"/>
  <c r="Q1941" i="5" s="1"/>
  <c r="K1940" i="5"/>
  <c r="P1940" i="5" s="1"/>
  <c r="L1940" i="5"/>
  <c r="Q1940" i="5" s="1"/>
  <c r="K1939" i="5"/>
  <c r="P1939" i="5" s="1"/>
  <c r="L1939" i="5"/>
  <c r="Q1939" i="5" s="1"/>
  <c r="K1938" i="5"/>
  <c r="P1938" i="5" s="1"/>
  <c r="L1938" i="5"/>
  <c r="Q1938" i="5" s="1"/>
  <c r="K1937" i="5"/>
  <c r="P1937" i="5" s="1"/>
  <c r="L1937" i="5"/>
  <c r="Q1937" i="5" s="1"/>
  <c r="K1936" i="5"/>
  <c r="P1936" i="5" s="1"/>
  <c r="L1936" i="5"/>
  <c r="Q1936" i="5" s="1"/>
  <c r="K1935" i="5"/>
  <c r="P1935" i="5" s="1"/>
  <c r="L1935" i="5"/>
  <c r="Q1935" i="5" s="1"/>
  <c r="K1934" i="5"/>
  <c r="P1934" i="5" s="1"/>
  <c r="L1934" i="5"/>
  <c r="Q1934" i="5" s="1"/>
  <c r="K1933" i="5"/>
  <c r="P1933" i="5" s="1"/>
  <c r="L1933" i="5"/>
  <c r="Q1933" i="5" s="1"/>
  <c r="K1932" i="5"/>
  <c r="P1932" i="5" s="1"/>
  <c r="L1932" i="5"/>
  <c r="Q1932" i="5" s="1"/>
  <c r="K1931" i="5"/>
  <c r="P1931" i="5" s="1"/>
  <c r="L1931" i="5"/>
  <c r="Q1931" i="5" s="1"/>
  <c r="K1930" i="5"/>
  <c r="P1930" i="5" s="1"/>
  <c r="L1930" i="5"/>
  <c r="Q1930" i="5" s="1"/>
  <c r="K1929" i="5"/>
  <c r="P1929" i="5" s="1"/>
  <c r="L1929" i="5"/>
  <c r="Q1929" i="5" s="1"/>
  <c r="K1928" i="5"/>
  <c r="P1928" i="5" s="1"/>
  <c r="L1928" i="5"/>
  <c r="Q1928" i="5" s="1"/>
  <c r="K1927" i="5"/>
  <c r="P1927" i="5" s="1"/>
  <c r="L1927" i="5"/>
  <c r="Q1927" i="5" s="1"/>
  <c r="K1926" i="5"/>
  <c r="P1926" i="5" s="1"/>
  <c r="L1926" i="5"/>
  <c r="Q1926" i="5" s="1"/>
  <c r="K1925" i="5"/>
  <c r="P1925" i="5" s="1"/>
  <c r="L1925" i="5"/>
  <c r="Q1925" i="5" s="1"/>
  <c r="K1924" i="5"/>
  <c r="P1924" i="5" s="1"/>
  <c r="L1924" i="5"/>
  <c r="Q1924" i="5" s="1"/>
  <c r="K1923" i="5"/>
  <c r="P1923" i="5" s="1"/>
  <c r="L1923" i="5"/>
  <c r="Q1923" i="5" s="1"/>
  <c r="K1922" i="5"/>
  <c r="P1922" i="5" s="1"/>
  <c r="L1922" i="5"/>
  <c r="Q1922" i="5" s="1"/>
  <c r="K1921" i="5"/>
  <c r="P1921" i="5" s="1"/>
  <c r="L1921" i="5"/>
  <c r="Q1921" i="5" s="1"/>
  <c r="K1920" i="5"/>
  <c r="P1920" i="5" s="1"/>
  <c r="L1920" i="5"/>
  <c r="Q1920" i="5" s="1"/>
  <c r="K1919" i="5"/>
  <c r="P1919" i="5" s="1"/>
  <c r="L1919" i="5"/>
  <c r="Q1919" i="5" s="1"/>
  <c r="K1918" i="5"/>
  <c r="P1918" i="5" s="1"/>
  <c r="L1918" i="5"/>
  <c r="Q1918" i="5" s="1"/>
  <c r="K1917" i="5"/>
  <c r="P1917" i="5" s="1"/>
  <c r="L1917" i="5"/>
  <c r="Q1917" i="5" s="1"/>
  <c r="K1916" i="5"/>
  <c r="P1916" i="5" s="1"/>
  <c r="L1916" i="5"/>
  <c r="Q1916" i="5" s="1"/>
  <c r="K1915" i="5"/>
  <c r="P1915" i="5" s="1"/>
  <c r="L1915" i="5"/>
  <c r="Q1915" i="5" s="1"/>
  <c r="K1914" i="5"/>
  <c r="P1914" i="5" s="1"/>
  <c r="L1914" i="5"/>
  <c r="Q1914" i="5" s="1"/>
  <c r="K1913" i="5"/>
  <c r="P1913" i="5" s="1"/>
  <c r="L1913" i="5"/>
  <c r="Q1913" i="5" s="1"/>
  <c r="K1912" i="5"/>
  <c r="P1912" i="5" s="1"/>
  <c r="L1912" i="5"/>
  <c r="Q1912" i="5" s="1"/>
  <c r="K1911" i="5"/>
  <c r="P1911" i="5" s="1"/>
  <c r="L1911" i="5"/>
  <c r="Q1911" i="5" s="1"/>
  <c r="K1910" i="5"/>
  <c r="P1910" i="5" s="1"/>
  <c r="L1910" i="5"/>
  <c r="Q1910" i="5" s="1"/>
  <c r="K1909" i="5"/>
  <c r="P1909" i="5" s="1"/>
  <c r="L1909" i="5"/>
  <c r="Q1909" i="5" s="1"/>
  <c r="K1908" i="5"/>
  <c r="P1908" i="5" s="1"/>
  <c r="L1908" i="5"/>
  <c r="Q1908" i="5" s="1"/>
  <c r="K1907" i="5"/>
  <c r="P1907" i="5" s="1"/>
  <c r="L1907" i="5"/>
  <c r="Q1907" i="5" s="1"/>
  <c r="K1906" i="5"/>
  <c r="P1906" i="5" s="1"/>
  <c r="L1906" i="5"/>
  <c r="Q1906" i="5" s="1"/>
  <c r="K1905" i="5"/>
  <c r="P1905" i="5" s="1"/>
  <c r="L1905" i="5"/>
  <c r="Q1905" i="5" s="1"/>
  <c r="K1904" i="5"/>
  <c r="P1904" i="5" s="1"/>
  <c r="L1904" i="5"/>
  <c r="Q1904" i="5" s="1"/>
  <c r="K1903" i="5"/>
  <c r="P1903" i="5" s="1"/>
  <c r="L1903" i="5"/>
  <c r="Q1903" i="5" s="1"/>
  <c r="K1902" i="5"/>
  <c r="P1902" i="5" s="1"/>
  <c r="L1902" i="5"/>
  <c r="Q1902" i="5" s="1"/>
  <c r="K1901" i="5"/>
  <c r="P1901" i="5" s="1"/>
  <c r="L1901" i="5"/>
  <c r="Q1901" i="5" s="1"/>
  <c r="K1900" i="5"/>
  <c r="P1900" i="5" s="1"/>
  <c r="L1900" i="5"/>
  <c r="Q1900" i="5" s="1"/>
  <c r="K1899" i="5"/>
  <c r="P1899" i="5" s="1"/>
  <c r="L1899" i="5"/>
  <c r="Q1899" i="5" s="1"/>
  <c r="K1898" i="5"/>
  <c r="P1898" i="5" s="1"/>
  <c r="L1898" i="5"/>
  <c r="Q1898" i="5" s="1"/>
  <c r="K1897" i="5"/>
  <c r="P1897" i="5" s="1"/>
  <c r="L1897" i="5"/>
  <c r="Q1897" i="5" s="1"/>
  <c r="K1896" i="5"/>
  <c r="P1896" i="5" s="1"/>
  <c r="L1896" i="5"/>
  <c r="Q1896" i="5" s="1"/>
  <c r="K1895" i="5"/>
  <c r="P1895" i="5" s="1"/>
  <c r="L1895" i="5"/>
  <c r="Q1895" i="5" s="1"/>
  <c r="K1894" i="5"/>
  <c r="P1894" i="5" s="1"/>
  <c r="L1894" i="5"/>
  <c r="Q1894" i="5" s="1"/>
  <c r="K1893" i="5"/>
  <c r="P1893" i="5" s="1"/>
  <c r="L1893" i="5"/>
  <c r="Q1893" i="5" s="1"/>
  <c r="K1892" i="5"/>
  <c r="P1892" i="5" s="1"/>
  <c r="L1892" i="5"/>
  <c r="Q1892" i="5" s="1"/>
  <c r="K1891" i="5"/>
  <c r="P1891" i="5" s="1"/>
  <c r="L1891" i="5"/>
  <c r="Q1891" i="5" s="1"/>
  <c r="K1890" i="5"/>
  <c r="P1890" i="5" s="1"/>
  <c r="L1890" i="5"/>
  <c r="Q1890" i="5" s="1"/>
  <c r="K1889" i="5"/>
  <c r="P1889" i="5" s="1"/>
  <c r="L1889" i="5"/>
  <c r="Q1889" i="5" s="1"/>
  <c r="K1888" i="5"/>
  <c r="P1888" i="5" s="1"/>
  <c r="L1888" i="5"/>
  <c r="Q1888" i="5" s="1"/>
  <c r="K1887" i="5"/>
  <c r="P1887" i="5" s="1"/>
  <c r="L1887" i="5"/>
  <c r="Q1887" i="5" s="1"/>
  <c r="K1886" i="5"/>
  <c r="P1886" i="5" s="1"/>
  <c r="L1886" i="5"/>
  <c r="Q1886" i="5" s="1"/>
  <c r="K1885" i="5"/>
  <c r="P1885" i="5" s="1"/>
  <c r="L1885" i="5"/>
  <c r="Q1885" i="5" s="1"/>
  <c r="K1884" i="5"/>
  <c r="P1884" i="5" s="1"/>
  <c r="L1884" i="5"/>
  <c r="Q1884" i="5" s="1"/>
  <c r="K1883" i="5"/>
  <c r="P1883" i="5" s="1"/>
  <c r="L1883" i="5"/>
  <c r="Q1883" i="5" s="1"/>
  <c r="K1882" i="5"/>
  <c r="P1882" i="5" s="1"/>
  <c r="L1882" i="5"/>
  <c r="Q1882" i="5" s="1"/>
  <c r="K1881" i="5"/>
  <c r="P1881" i="5" s="1"/>
  <c r="L1881" i="5"/>
  <c r="Q1881" i="5" s="1"/>
  <c r="K1880" i="5"/>
  <c r="P1880" i="5" s="1"/>
  <c r="L1880" i="5"/>
  <c r="Q1880" i="5" s="1"/>
  <c r="K1879" i="5"/>
  <c r="P1879" i="5" s="1"/>
  <c r="L1879" i="5"/>
  <c r="Q1879" i="5" s="1"/>
  <c r="K1878" i="5"/>
  <c r="P1878" i="5" s="1"/>
  <c r="L1878" i="5"/>
  <c r="Q1878" i="5" s="1"/>
  <c r="K1877" i="5"/>
  <c r="P1877" i="5" s="1"/>
  <c r="L1877" i="5"/>
  <c r="Q1877" i="5" s="1"/>
  <c r="K1876" i="5"/>
  <c r="P1876" i="5" s="1"/>
  <c r="L1876" i="5"/>
  <c r="Q1876" i="5" s="1"/>
  <c r="K1875" i="5"/>
  <c r="P1875" i="5" s="1"/>
  <c r="L1875" i="5"/>
  <c r="Q1875" i="5" s="1"/>
  <c r="K1874" i="5"/>
  <c r="P1874" i="5" s="1"/>
  <c r="L1874" i="5"/>
  <c r="Q1874" i="5" s="1"/>
  <c r="K1873" i="5"/>
  <c r="P1873" i="5" s="1"/>
  <c r="L1873" i="5"/>
  <c r="Q1873" i="5" s="1"/>
  <c r="K1872" i="5"/>
  <c r="P1872" i="5" s="1"/>
  <c r="L1872" i="5"/>
  <c r="Q1872" i="5" s="1"/>
  <c r="K1871" i="5"/>
  <c r="P1871" i="5" s="1"/>
  <c r="L1871" i="5"/>
  <c r="Q1871" i="5" s="1"/>
  <c r="K1870" i="5"/>
  <c r="P1870" i="5" s="1"/>
  <c r="L1870" i="5"/>
  <c r="Q1870" i="5" s="1"/>
  <c r="K1869" i="5"/>
  <c r="P1869" i="5" s="1"/>
  <c r="L1869" i="5"/>
  <c r="Q1869" i="5" s="1"/>
  <c r="K1868" i="5"/>
  <c r="P1868" i="5" s="1"/>
  <c r="L1868" i="5"/>
  <c r="Q1868" i="5" s="1"/>
  <c r="K1867" i="5"/>
  <c r="P1867" i="5" s="1"/>
  <c r="L1867" i="5"/>
  <c r="Q1867" i="5" s="1"/>
  <c r="K1866" i="5"/>
  <c r="P1866" i="5" s="1"/>
  <c r="L1866" i="5"/>
  <c r="Q1866" i="5" s="1"/>
  <c r="K1865" i="5"/>
  <c r="P1865" i="5" s="1"/>
  <c r="L1865" i="5"/>
  <c r="Q1865" i="5" s="1"/>
  <c r="K1864" i="5"/>
  <c r="P1864" i="5" s="1"/>
  <c r="L1864" i="5"/>
  <c r="Q1864" i="5" s="1"/>
  <c r="K1863" i="5"/>
  <c r="P1863" i="5" s="1"/>
  <c r="L1863" i="5"/>
  <c r="Q1863" i="5" s="1"/>
  <c r="K1862" i="5"/>
  <c r="P1862" i="5" s="1"/>
  <c r="L1862" i="5"/>
  <c r="Q1862" i="5" s="1"/>
  <c r="K1861" i="5"/>
  <c r="P1861" i="5" s="1"/>
  <c r="L1861" i="5"/>
  <c r="Q1861" i="5" s="1"/>
  <c r="K1860" i="5"/>
  <c r="P1860" i="5" s="1"/>
  <c r="L1860" i="5"/>
  <c r="Q1860" i="5" s="1"/>
  <c r="K1859" i="5"/>
  <c r="P1859" i="5" s="1"/>
  <c r="L1859" i="5"/>
  <c r="Q1859" i="5" s="1"/>
  <c r="K1858" i="5"/>
  <c r="P1858" i="5" s="1"/>
  <c r="L1858" i="5"/>
  <c r="Q1858" i="5" s="1"/>
  <c r="K1857" i="5"/>
  <c r="P1857" i="5" s="1"/>
  <c r="L1857" i="5"/>
  <c r="Q1857" i="5" s="1"/>
  <c r="K1856" i="5"/>
  <c r="P1856" i="5" s="1"/>
  <c r="L1856" i="5"/>
  <c r="Q1856" i="5" s="1"/>
  <c r="K1855" i="5"/>
  <c r="P1855" i="5" s="1"/>
  <c r="L1855" i="5"/>
  <c r="Q1855" i="5" s="1"/>
  <c r="K1854" i="5"/>
  <c r="P1854" i="5" s="1"/>
  <c r="L1854" i="5"/>
  <c r="Q1854" i="5" s="1"/>
  <c r="K1853" i="5"/>
  <c r="P1853" i="5" s="1"/>
  <c r="L1853" i="5"/>
  <c r="Q1853" i="5" s="1"/>
  <c r="K1852" i="5"/>
  <c r="P1852" i="5" s="1"/>
  <c r="L1852" i="5"/>
  <c r="Q1852" i="5" s="1"/>
  <c r="K1851" i="5"/>
  <c r="P1851" i="5" s="1"/>
  <c r="L1851" i="5"/>
  <c r="Q1851" i="5" s="1"/>
  <c r="K1850" i="5"/>
  <c r="P1850" i="5" s="1"/>
  <c r="L1850" i="5"/>
  <c r="Q1850" i="5" s="1"/>
  <c r="K1849" i="5"/>
  <c r="P1849" i="5" s="1"/>
  <c r="L1849" i="5"/>
  <c r="Q1849" i="5" s="1"/>
  <c r="K1848" i="5"/>
  <c r="P1848" i="5" s="1"/>
  <c r="L1848" i="5"/>
  <c r="Q1848" i="5" s="1"/>
  <c r="K1847" i="5"/>
  <c r="P1847" i="5" s="1"/>
  <c r="L1847" i="5"/>
  <c r="Q1847" i="5" s="1"/>
  <c r="K1846" i="5"/>
  <c r="P1846" i="5" s="1"/>
  <c r="L1846" i="5"/>
  <c r="Q1846" i="5" s="1"/>
  <c r="K1845" i="5"/>
  <c r="P1845" i="5" s="1"/>
  <c r="L1845" i="5"/>
  <c r="Q1845" i="5" s="1"/>
  <c r="K1844" i="5"/>
  <c r="P1844" i="5" s="1"/>
  <c r="L1844" i="5"/>
  <c r="Q1844" i="5" s="1"/>
  <c r="K1843" i="5"/>
  <c r="P1843" i="5" s="1"/>
  <c r="L1843" i="5"/>
  <c r="Q1843" i="5" s="1"/>
  <c r="K1842" i="5"/>
  <c r="P1842" i="5" s="1"/>
  <c r="L1842" i="5"/>
  <c r="Q1842" i="5" s="1"/>
  <c r="K1841" i="5"/>
  <c r="P1841" i="5" s="1"/>
  <c r="L1841" i="5"/>
  <c r="Q1841" i="5" s="1"/>
  <c r="K1840" i="5"/>
  <c r="P1840" i="5" s="1"/>
  <c r="L1840" i="5"/>
  <c r="Q1840" i="5" s="1"/>
  <c r="K1839" i="5"/>
  <c r="P1839" i="5" s="1"/>
  <c r="L1839" i="5"/>
  <c r="Q1839" i="5" s="1"/>
  <c r="K1838" i="5"/>
  <c r="P1838" i="5" s="1"/>
  <c r="L1838" i="5"/>
  <c r="Q1838" i="5" s="1"/>
  <c r="K1837" i="5"/>
  <c r="P1837" i="5" s="1"/>
  <c r="L1837" i="5"/>
  <c r="Q1837" i="5" s="1"/>
  <c r="K1836" i="5"/>
  <c r="P1836" i="5" s="1"/>
  <c r="L1836" i="5"/>
  <c r="Q1836" i="5" s="1"/>
  <c r="K1835" i="5"/>
  <c r="P1835" i="5" s="1"/>
  <c r="L1835" i="5"/>
  <c r="Q1835" i="5" s="1"/>
  <c r="K1834" i="5"/>
  <c r="P1834" i="5" s="1"/>
  <c r="L1834" i="5"/>
  <c r="Q1834" i="5" s="1"/>
  <c r="K1833" i="5"/>
  <c r="P1833" i="5" s="1"/>
  <c r="L1833" i="5"/>
  <c r="Q1833" i="5" s="1"/>
  <c r="K1832" i="5"/>
  <c r="P1832" i="5" s="1"/>
  <c r="L1832" i="5"/>
  <c r="Q1832" i="5" s="1"/>
  <c r="K1831" i="5"/>
  <c r="P1831" i="5" s="1"/>
  <c r="L1831" i="5"/>
  <c r="Q1831" i="5" s="1"/>
  <c r="K1830" i="5"/>
  <c r="P1830" i="5" s="1"/>
  <c r="L1830" i="5"/>
  <c r="Q1830" i="5" s="1"/>
  <c r="K1829" i="5"/>
  <c r="P1829" i="5" s="1"/>
  <c r="L1829" i="5"/>
  <c r="Q1829" i="5" s="1"/>
  <c r="K1828" i="5"/>
  <c r="P1828" i="5" s="1"/>
  <c r="L1828" i="5"/>
  <c r="Q1828" i="5" s="1"/>
  <c r="K1827" i="5"/>
  <c r="P1827" i="5" s="1"/>
  <c r="L1827" i="5"/>
  <c r="Q1827" i="5" s="1"/>
  <c r="K1826" i="5"/>
  <c r="P1826" i="5" s="1"/>
  <c r="L1826" i="5"/>
  <c r="Q1826" i="5" s="1"/>
  <c r="K1825" i="5"/>
  <c r="P1825" i="5" s="1"/>
  <c r="L1825" i="5"/>
  <c r="Q1825" i="5" s="1"/>
  <c r="K1824" i="5"/>
  <c r="P1824" i="5" s="1"/>
  <c r="L1824" i="5"/>
  <c r="Q1824" i="5" s="1"/>
  <c r="K1823" i="5"/>
  <c r="P1823" i="5" s="1"/>
  <c r="L1823" i="5"/>
  <c r="Q1823" i="5" s="1"/>
  <c r="K1822" i="5"/>
  <c r="P1822" i="5" s="1"/>
  <c r="L1822" i="5"/>
  <c r="Q1822" i="5" s="1"/>
  <c r="K1821" i="5"/>
  <c r="P1821" i="5" s="1"/>
  <c r="L1821" i="5"/>
  <c r="Q1821" i="5" s="1"/>
  <c r="K1820" i="5"/>
  <c r="P1820" i="5" s="1"/>
  <c r="L1820" i="5"/>
  <c r="Q1820" i="5" s="1"/>
  <c r="K1819" i="5"/>
  <c r="P1819" i="5" s="1"/>
  <c r="L1819" i="5"/>
  <c r="Q1819" i="5" s="1"/>
  <c r="K1818" i="5"/>
  <c r="P1818" i="5" s="1"/>
  <c r="L1818" i="5"/>
  <c r="Q1818" i="5" s="1"/>
  <c r="K1817" i="5"/>
  <c r="P1817" i="5" s="1"/>
  <c r="L1817" i="5"/>
  <c r="Q1817" i="5" s="1"/>
  <c r="K1816" i="5"/>
  <c r="P1816" i="5" s="1"/>
  <c r="L1816" i="5"/>
  <c r="Q1816" i="5" s="1"/>
  <c r="K1815" i="5"/>
  <c r="P1815" i="5" s="1"/>
  <c r="L1815" i="5"/>
  <c r="Q1815" i="5" s="1"/>
  <c r="K1814" i="5"/>
  <c r="P1814" i="5" s="1"/>
  <c r="L1814" i="5"/>
  <c r="Q1814" i="5" s="1"/>
  <c r="K1813" i="5"/>
  <c r="P1813" i="5" s="1"/>
  <c r="L1813" i="5"/>
  <c r="Q1813" i="5" s="1"/>
  <c r="K1812" i="5"/>
  <c r="P1812" i="5" s="1"/>
  <c r="L1812" i="5"/>
  <c r="Q1812" i="5" s="1"/>
  <c r="K1811" i="5"/>
  <c r="P1811" i="5" s="1"/>
  <c r="L1811" i="5"/>
  <c r="Q1811" i="5" s="1"/>
  <c r="K1810" i="5"/>
  <c r="P1810" i="5" s="1"/>
  <c r="L1810" i="5"/>
  <c r="Q1810" i="5" s="1"/>
  <c r="K1809" i="5"/>
  <c r="P1809" i="5" s="1"/>
  <c r="L1809" i="5"/>
  <c r="Q1809" i="5" s="1"/>
  <c r="K1808" i="5"/>
  <c r="P1808" i="5" s="1"/>
  <c r="L1808" i="5"/>
  <c r="Q1808" i="5" s="1"/>
  <c r="K1807" i="5"/>
  <c r="P1807" i="5" s="1"/>
  <c r="L1807" i="5"/>
  <c r="Q1807" i="5" s="1"/>
  <c r="K1806" i="5"/>
  <c r="P1806" i="5" s="1"/>
  <c r="L1806" i="5"/>
  <c r="Q1806" i="5" s="1"/>
  <c r="K1805" i="5"/>
  <c r="P1805" i="5" s="1"/>
  <c r="L1805" i="5"/>
  <c r="Q1805" i="5" s="1"/>
  <c r="K1804" i="5"/>
  <c r="P1804" i="5" s="1"/>
  <c r="L1804" i="5"/>
  <c r="Q1804" i="5" s="1"/>
  <c r="K1803" i="5"/>
  <c r="P1803" i="5" s="1"/>
  <c r="L1803" i="5"/>
  <c r="Q1803" i="5" s="1"/>
  <c r="K1802" i="5"/>
  <c r="P1802" i="5" s="1"/>
  <c r="L1802" i="5"/>
  <c r="Q1802" i="5" s="1"/>
  <c r="K1801" i="5"/>
  <c r="P1801" i="5" s="1"/>
  <c r="L1801" i="5"/>
  <c r="Q1801" i="5" s="1"/>
  <c r="K1800" i="5"/>
  <c r="P1800" i="5" s="1"/>
  <c r="L1800" i="5"/>
  <c r="Q1800" i="5" s="1"/>
  <c r="K1799" i="5"/>
  <c r="P1799" i="5" s="1"/>
  <c r="L1799" i="5"/>
  <c r="Q1799" i="5" s="1"/>
  <c r="K1798" i="5"/>
  <c r="P1798" i="5" s="1"/>
  <c r="L1798" i="5"/>
  <c r="Q1798" i="5" s="1"/>
  <c r="K1797" i="5"/>
  <c r="P1797" i="5" s="1"/>
  <c r="L1797" i="5"/>
  <c r="Q1797" i="5" s="1"/>
  <c r="K1796" i="5"/>
  <c r="P1796" i="5" s="1"/>
  <c r="L1796" i="5"/>
  <c r="Q1796" i="5" s="1"/>
  <c r="K1795" i="5"/>
  <c r="P1795" i="5" s="1"/>
  <c r="L1795" i="5"/>
  <c r="Q1795" i="5" s="1"/>
  <c r="K1794" i="5"/>
  <c r="P1794" i="5" s="1"/>
  <c r="L1794" i="5"/>
  <c r="Q1794" i="5" s="1"/>
  <c r="K1793" i="5"/>
  <c r="P1793" i="5" s="1"/>
  <c r="L1793" i="5"/>
  <c r="Q1793" i="5" s="1"/>
  <c r="K1792" i="5"/>
  <c r="P1792" i="5" s="1"/>
  <c r="L1792" i="5"/>
  <c r="Q1792" i="5" s="1"/>
  <c r="K1791" i="5"/>
  <c r="P1791" i="5" s="1"/>
  <c r="L1791" i="5"/>
  <c r="Q1791" i="5" s="1"/>
  <c r="K1790" i="5"/>
  <c r="P1790" i="5" s="1"/>
  <c r="L1790" i="5"/>
  <c r="Q1790" i="5" s="1"/>
  <c r="K1789" i="5"/>
  <c r="P1789" i="5" s="1"/>
  <c r="L1789" i="5"/>
  <c r="Q1789" i="5" s="1"/>
  <c r="K1788" i="5"/>
  <c r="P1788" i="5" s="1"/>
  <c r="L1788" i="5"/>
  <c r="Q1788" i="5" s="1"/>
  <c r="K1787" i="5"/>
  <c r="P1787" i="5" s="1"/>
  <c r="L1787" i="5"/>
  <c r="Q1787" i="5" s="1"/>
  <c r="K1786" i="5"/>
  <c r="P1786" i="5" s="1"/>
  <c r="L1786" i="5"/>
  <c r="Q1786" i="5" s="1"/>
  <c r="K1785" i="5"/>
  <c r="P1785" i="5" s="1"/>
  <c r="L1785" i="5"/>
  <c r="Q1785" i="5" s="1"/>
  <c r="K1784" i="5"/>
  <c r="P1784" i="5" s="1"/>
  <c r="L1784" i="5"/>
  <c r="Q1784" i="5" s="1"/>
  <c r="K1783" i="5"/>
  <c r="P1783" i="5" s="1"/>
  <c r="L1783" i="5"/>
  <c r="Q1783" i="5" s="1"/>
  <c r="K1782" i="5"/>
  <c r="P1782" i="5" s="1"/>
  <c r="L1782" i="5"/>
  <c r="Q1782" i="5" s="1"/>
  <c r="K1781" i="5"/>
  <c r="P1781" i="5" s="1"/>
  <c r="L1781" i="5"/>
  <c r="Q1781" i="5" s="1"/>
  <c r="K1780" i="5"/>
  <c r="P1780" i="5" s="1"/>
  <c r="L1780" i="5"/>
  <c r="Q1780" i="5" s="1"/>
  <c r="K1779" i="5"/>
  <c r="P1779" i="5" s="1"/>
  <c r="L1779" i="5"/>
  <c r="Q1779" i="5" s="1"/>
  <c r="K1778" i="5"/>
  <c r="P1778" i="5" s="1"/>
  <c r="L1778" i="5"/>
  <c r="Q1778" i="5" s="1"/>
  <c r="K1777" i="5"/>
  <c r="P1777" i="5" s="1"/>
  <c r="L1777" i="5"/>
  <c r="Q1777" i="5" s="1"/>
  <c r="K1776" i="5"/>
  <c r="P1776" i="5" s="1"/>
  <c r="L1776" i="5"/>
  <c r="Q1776" i="5" s="1"/>
  <c r="K1775" i="5"/>
  <c r="P1775" i="5" s="1"/>
  <c r="L1775" i="5"/>
  <c r="Q1775" i="5" s="1"/>
  <c r="K1774" i="5"/>
  <c r="P1774" i="5" s="1"/>
  <c r="L1774" i="5"/>
  <c r="Q1774" i="5" s="1"/>
  <c r="K1773" i="5"/>
  <c r="P1773" i="5" s="1"/>
  <c r="L1773" i="5"/>
  <c r="Q1773" i="5" s="1"/>
  <c r="K1772" i="5"/>
  <c r="P1772" i="5" s="1"/>
  <c r="L1772" i="5"/>
  <c r="Q1772" i="5" s="1"/>
  <c r="K1771" i="5"/>
  <c r="P1771" i="5" s="1"/>
  <c r="L1771" i="5"/>
  <c r="Q1771" i="5" s="1"/>
  <c r="K1770" i="5"/>
  <c r="P1770" i="5" s="1"/>
  <c r="L1770" i="5"/>
  <c r="Q1770" i="5" s="1"/>
  <c r="K1769" i="5"/>
  <c r="P1769" i="5" s="1"/>
  <c r="L1769" i="5"/>
  <c r="Q1769" i="5" s="1"/>
  <c r="K1768" i="5"/>
  <c r="P1768" i="5" s="1"/>
  <c r="L1768" i="5"/>
  <c r="Q1768" i="5" s="1"/>
  <c r="K1767" i="5"/>
  <c r="P1767" i="5" s="1"/>
  <c r="L1767" i="5"/>
  <c r="Q1767" i="5" s="1"/>
  <c r="K1766" i="5"/>
  <c r="P1766" i="5" s="1"/>
  <c r="L1766" i="5"/>
  <c r="Q1766" i="5" s="1"/>
  <c r="K1765" i="5"/>
  <c r="P1765" i="5" s="1"/>
  <c r="L1765" i="5"/>
  <c r="Q1765" i="5" s="1"/>
  <c r="K1764" i="5"/>
  <c r="P1764" i="5" s="1"/>
  <c r="L1764" i="5"/>
  <c r="Q1764" i="5" s="1"/>
  <c r="K1763" i="5"/>
  <c r="P1763" i="5" s="1"/>
  <c r="L1763" i="5"/>
  <c r="Q1763" i="5" s="1"/>
  <c r="K1762" i="5"/>
  <c r="P1762" i="5" s="1"/>
  <c r="L1762" i="5"/>
  <c r="Q1762" i="5" s="1"/>
  <c r="K1761" i="5"/>
  <c r="P1761" i="5" s="1"/>
  <c r="L1761" i="5"/>
  <c r="Q1761" i="5" s="1"/>
  <c r="K1760" i="5"/>
  <c r="P1760" i="5" s="1"/>
  <c r="L1760" i="5"/>
  <c r="Q1760" i="5" s="1"/>
  <c r="K1759" i="5"/>
  <c r="P1759" i="5" s="1"/>
  <c r="L1759" i="5"/>
  <c r="Q1759" i="5" s="1"/>
  <c r="K1758" i="5"/>
  <c r="P1758" i="5" s="1"/>
  <c r="L1758" i="5"/>
  <c r="Q1758" i="5" s="1"/>
  <c r="K1757" i="5"/>
  <c r="P1757" i="5" s="1"/>
  <c r="L1757" i="5"/>
  <c r="Q1757" i="5" s="1"/>
  <c r="K1756" i="5"/>
  <c r="P1756" i="5" s="1"/>
  <c r="L1756" i="5"/>
  <c r="Q1756" i="5" s="1"/>
  <c r="K1755" i="5"/>
  <c r="P1755" i="5" s="1"/>
  <c r="L1755" i="5"/>
  <c r="Q1755" i="5" s="1"/>
  <c r="K1754" i="5"/>
  <c r="P1754" i="5" s="1"/>
  <c r="L1754" i="5"/>
  <c r="Q1754" i="5" s="1"/>
  <c r="K1753" i="5"/>
  <c r="P1753" i="5" s="1"/>
  <c r="L1753" i="5"/>
  <c r="Q1753" i="5" s="1"/>
  <c r="K1752" i="5"/>
  <c r="P1752" i="5" s="1"/>
  <c r="L1752" i="5"/>
  <c r="Q1752" i="5" s="1"/>
  <c r="K1751" i="5"/>
  <c r="P1751" i="5" s="1"/>
  <c r="L1751" i="5"/>
  <c r="Q1751" i="5" s="1"/>
  <c r="K1750" i="5"/>
  <c r="P1750" i="5" s="1"/>
  <c r="L1750" i="5"/>
  <c r="Q1750" i="5" s="1"/>
  <c r="K1749" i="5"/>
  <c r="P1749" i="5" s="1"/>
  <c r="L1749" i="5"/>
  <c r="Q1749" i="5" s="1"/>
  <c r="K1748" i="5"/>
  <c r="P1748" i="5" s="1"/>
  <c r="L1748" i="5"/>
  <c r="Q1748" i="5" s="1"/>
  <c r="K1747" i="5"/>
  <c r="P1747" i="5" s="1"/>
  <c r="L1747" i="5"/>
  <c r="Q1747" i="5" s="1"/>
  <c r="K1746" i="5"/>
  <c r="P1746" i="5" s="1"/>
  <c r="L1746" i="5"/>
  <c r="Q1746" i="5" s="1"/>
  <c r="K1745" i="5"/>
  <c r="P1745" i="5" s="1"/>
  <c r="L1745" i="5"/>
  <c r="Q1745" i="5" s="1"/>
  <c r="K1744" i="5"/>
  <c r="P1744" i="5" s="1"/>
  <c r="L1744" i="5"/>
  <c r="Q1744" i="5" s="1"/>
  <c r="K1743" i="5"/>
  <c r="P1743" i="5" s="1"/>
  <c r="L1743" i="5"/>
  <c r="Q1743" i="5" s="1"/>
  <c r="K1742" i="5"/>
  <c r="P1742" i="5" s="1"/>
  <c r="L1742" i="5"/>
  <c r="Q1742" i="5" s="1"/>
  <c r="K1741" i="5"/>
  <c r="P1741" i="5" s="1"/>
  <c r="L1741" i="5"/>
  <c r="Q1741" i="5" s="1"/>
  <c r="K1740" i="5"/>
  <c r="P1740" i="5" s="1"/>
  <c r="L1740" i="5"/>
  <c r="Q1740" i="5" s="1"/>
  <c r="K1739" i="5"/>
  <c r="P1739" i="5" s="1"/>
  <c r="L1739" i="5"/>
  <c r="Q1739" i="5" s="1"/>
  <c r="K1738" i="5"/>
  <c r="P1738" i="5" s="1"/>
  <c r="L1738" i="5"/>
  <c r="Q1738" i="5" s="1"/>
  <c r="K1737" i="5"/>
  <c r="P1737" i="5" s="1"/>
  <c r="L1737" i="5"/>
  <c r="Q1737" i="5" s="1"/>
  <c r="K1736" i="5"/>
  <c r="P1736" i="5" s="1"/>
  <c r="L1736" i="5"/>
  <c r="Q1736" i="5" s="1"/>
  <c r="K1735" i="5"/>
  <c r="P1735" i="5" s="1"/>
  <c r="L1735" i="5"/>
  <c r="Q1735" i="5" s="1"/>
  <c r="K1734" i="5"/>
  <c r="P1734" i="5" s="1"/>
  <c r="L1734" i="5"/>
  <c r="Q1734" i="5" s="1"/>
  <c r="K1733" i="5"/>
  <c r="P1733" i="5" s="1"/>
  <c r="L1733" i="5"/>
  <c r="Q1733" i="5" s="1"/>
  <c r="K1732" i="5"/>
  <c r="P1732" i="5" s="1"/>
  <c r="L1732" i="5"/>
  <c r="Q1732" i="5" s="1"/>
  <c r="K1731" i="5"/>
  <c r="P1731" i="5" s="1"/>
  <c r="L1731" i="5"/>
  <c r="Q1731" i="5" s="1"/>
  <c r="K1730" i="5"/>
  <c r="P1730" i="5" s="1"/>
  <c r="L1730" i="5"/>
  <c r="Q1730" i="5" s="1"/>
  <c r="K1729" i="5"/>
  <c r="P1729" i="5" s="1"/>
  <c r="L1729" i="5"/>
  <c r="Q1729" i="5" s="1"/>
  <c r="K1728" i="5"/>
  <c r="P1728" i="5" s="1"/>
  <c r="L1728" i="5"/>
  <c r="Q1728" i="5" s="1"/>
  <c r="K1727" i="5"/>
  <c r="P1727" i="5" s="1"/>
  <c r="L1727" i="5"/>
  <c r="Q1727" i="5" s="1"/>
  <c r="K1726" i="5"/>
  <c r="P1726" i="5" s="1"/>
  <c r="L1726" i="5"/>
  <c r="Q1726" i="5" s="1"/>
  <c r="K1725" i="5"/>
  <c r="P1725" i="5" s="1"/>
  <c r="L1725" i="5"/>
  <c r="Q1725" i="5" s="1"/>
  <c r="K1724" i="5"/>
  <c r="P1724" i="5" s="1"/>
  <c r="L1724" i="5"/>
  <c r="Q1724" i="5" s="1"/>
  <c r="K1723" i="5"/>
  <c r="P1723" i="5" s="1"/>
  <c r="L1723" i="5"/>
  <c r="Q1723" i="5" s="1"/>
  <c r="K1722" i="5"/>
  <c r="P1722" i="5" s="1"/>
  <c r="L1722" i="5"/>
  <c r="Q1722" i="5" s="1"/>
  <c r="K1721" i="5"/>
  <c r="P1721" i="5" s="1"/>
  <c r="L1721" i="5"/>
  <c r="Q1721" i="5" s="1"/>
  <c r="K1720" i="5"/>
  <c r="P1720" i="5" s="1"/>
  <c r="L1720" i="5"/>
  <c r="Q1720" i="5" s="1"/>
  <c r="K1719" i="5"/>
  <c r="P1719" i="5" s="1"/>
  <c r="L1719" i="5"/>
  <c r="Q1719" i="5" s="1"/>
  <c r="K1718" i="5"/>
  <c r="P1718" i="5" s="1"/>
  <c r="L1718" i="5"/>
  <c r="Q1718" i="5" s="1"/>
  <c r="K1717" i="5"/>
  <c r="P1717" i="5" s="1"/>
  <c r="L1717" i="5"/>
  <c r="Q1717" i="5" s="1"/>
  <c r="K1716" i="5"/>
  <c r="P1716" i="5" s="1"/>
  <c r="L1716" i="5"/>
  <c r="Q1716" i="5" s="1"/>
  <c r="K1715" i="5"/>
  <c r="P1715" i="5" s="1"/>
  <c r="L1715" i="5"/>
  <c r="Q1715" i="5" s="1"/>
  <c r="K1714" i="5"/>
  <c r="P1714" i="5" s="1"/>
  <c r="L1714" i="5"/>
  <c r="Q1714" i="5" s="1"/>
  <c r="K1713" i="5"/>
  <c r="P1713" i="5" s="1"/>
  <c r="L1713" i="5"/>
  <c r="Q1713" i="5" s="1"/>
  <c r="K1712" i="5"/>
  <c r="P1712" i="5" s="1"/>
  <c r="L1712" i="5"/>
  <c r="Q1712" i="5" s="1"/>
  <c r="K1711" i="5"/>
  <c r="P1711" i="5" s="1"/>
  <c r="L1711" i="5"/>
  <c r="Q1711" i="5" s="1"/>
  <c r="K1710" i="5"/>
  <c r="P1710" i="5" s="1"/>
  <c r="L1710" i="5"/>
  <c r="Q1710" i="5" s="1"/>
  <c r="K1709" i="5"/>
  <c r="P1709" i="5" s="1"/>
  <c r="L1709" i="5"/>
  <c r="Q1709" i="5" s="1"/>
  <c r="K1708" i="5"/>
  <c r="P1708" i="5" s="1"/>
  <c r="L1708" i="5"/>
  <c r="Q1708" i="5" s="1"/>
  <c r="K1707" i="5"/>
  <c r="P1707" i="5" s="1"/>
  <c r="L1707" i="5"/>
  <c r="Q1707" i="5" s="1"/>
  <c r="K1706" i="5"/>
  <c r="P1706" i="5" s="1"/>
  <c r="L1706" i="5"/>
  <c r="Q1706" i="5" s="1"/>
  <c r="K1705" i="5"/>
  <c r="P1705" i="5" s="1"/>
  <c r="L1705" i="5"/>
  <c r="Q1705" i="5" s="1"/>
  <c r="K1704" i="5"/>
  <c r="P1704" i="5" s="1"/>
  <c r="L1704" i="5"/>
  <c r="Q1704" i="5" s="1"/>
  <c r="K1703" i="5"/>
  <c r="P1703" i="5" s="1"/>
  <c r="L1703" i="5"/>
  <c r="Q1703" i="5" s="1"/>
  <c r="K1702" i="5"/>
  <c r="P1702" i="5" s="1"/>
  <c r="L1702" i="5"/>
  <c r="Q1702" i="5" s="1"/>
  <c r="K1701" i="5"/>
  <c r="P1701" i="5" s="1"/>
  <c r="L1701" i="5"/>
  <c r="Q1701" i="5" s="1"/>
  <c r="K1700" i="5"/>
  <c r="P1700" i="5" s="1"/>
  <c r="L1700" i="5"/>
  <c r="Q1700" i="5" s="1"/>
  <c r="K1699" i="5"/>
  <c r="P1699" i="5" s="1"/>
  <c r="L1699" i="5"/>
  <c r="Q1699" i="5" s="1"/>
  <c r="K1698" i="5"/>
  <c r="P1698" i="5" s="1"/>
  <c r="L1698" i="5"/>
  <c r="Q1698" i="5" s="1"/>
  <c r="K1697" i="5"/>
  <c r="P1697" i="5" s="1"/>
  <c r="L1697" i="5"/>
  <c r="Q1697" i="5" s="1"/>
  <c r="K1696" i="5"/>
  <c r="P1696" i="5" s="1"/>
  <c r="L1696" i="5"/>
  <c r="Q1696" i="5" s="1"/>
  <c r="K1695" i="5"/>
  <c r="P1695" i="5" s="1"/>
  <c r="L1695" i="5"/>
  <c r="Q1695" i="5" s="1"/>
  <c r="K1694" i="5"/>
  <c r="P1694" i="5" s="1"/>
  <c r="L1694" i="5"/>
  <c r="Q1694" i="5" s="1"/>
  <c r="K1693" i="5"/>
  <c r="P1693" i="5" s="1"/>
  <c r="L1693" i="5"/>
  <c r="Q1693" i="5" s="1"/>
  <c r="K1692" i="5"/>
  <c r="P1692" i="5" s="1"/>
  <c r="L1692" i="5"/>
  <c r="Q1692" i="5" s="1"/>
  <c r="K1691" i="5"/>
  <c r="P1691" i="5" s="1"/>
  <c r="L1691" i="5"/>
  <c r="Q1691" i="5" s="1"/>
  <c r="K1690" i="5"/>
  <c r="P1690" i="5" s="1"/>
  <c r="L1690" i="5"/>
  <c r="Q1690" i="5" s="1"/>
  <c r="K1689" i="5"/>
  <c r="P1689" i="5" s="1"/>
  <c r="L1689" i="5"/>
  <c r="Q1689" i="5" s="1"/>
  <c r="K1688" i="5"/>
  <c r="P1688" i="5" s="1"/>
  <c r="L1688" i="5"/>
  <c r="Q1688" i="5" s="1"/>
  <c r="K1687" i="5"/>
  <c r="P1687" i="5" s="1"/>
  <c r="L1687" i="5"/>
  <c r="Q1687" i="5" s="1"/>
  <c r="K1686" i="5"/>
  <c r="P1686" i="5" s="1"/>
  <c r="L1686" i="5"/>
  <c r="Q1686" i="5" s="1"/>
  <c r="K1685" i="5"/>
  <c r="P1685" i="5" s="1"/>
  <c r="L1685" i="5"/>
  <c r="Q1685" i="5" s="1"/>
  <c r="K1684" i="5"/>
  <c r="P1684" i="5" s="1"/>
  <c r="L1684" i="5"/>
  <c r="Q1684" i="5" s="1"/>
  <c r="K1683" i="5"/>
  <c r="P1683" i="5" s="1"/>
  <c r="L1683" i="5"/>
  <c r="Q1683" i="5" s="1"/>
  <c r="K1682" i="5"/>
  <c r="P1682" i="5" s="1"/>
  <c r="L1682" i="5"/>
  <c r="Q1682" i="5" s="1"/>
  <c r="K1681" i="5"/>
  <c r="P1681" i="5" s="1"/>
  <c r="L1681" i="5"/>
  <c r="Q1681" i="5" s="1"/>
  <c r="K1680" i="5"/>
  <c r="P1680" i="5" s="1"/>
  <c r="L1680" i="5"/>
  <c r="Q1680" i="5" s="1"/>
  <c r="K1679" i="5"/>
  <c r="P1679" i="5" s="1"/>
  <c r="L1679" i="5"/>
  <c r="Q1679" i="5" s="1"/>
  <c r="K1678" i="5"/>
  <c r="P1678" i="5" s="1"/>
  <c r="L1678" i="5"/>
  <c r="Q1678" i="5" s="1"/>
  <c r="K1677" i="5"/>
  <c r="P1677" i="5" s="1"/>
  <c r="L1677" i="5"/>
  <c r="Q1677" i="5" s="1"/>
  <c r="K1676" i="5"/>
  <c r="P1676" i="5" s="1"/>
  <c r="L1676" i="5"/>
  <c r="Q1676" i="5" s="1"/>
  <c r="K1675" i="5"/>
  <c r="P1675" i="5" s="1"/>
  <c r="L1675" i="5"/>
  <c r="Q1675" i="5" s="1"/>
  <c r="K1674" i="5"/>
  <c r="P1674" i="5" s="1"/>
  <c r="L1674" i="5"/>
  <c r="Q1674" i="5" s="1"/>
  <c r="K1673" i="5"/>
  <c r="P1673" i="5" s="1"/>
  <c r="L1673" i="5"/>
  <c r="Q1673" i="5" s="1"/>
  <c r="K1672" i="5"/>
  <c r="P1672" i="5" s="1"/>
  <c r="L1672" i="5"/>
  <c r="Q1672" i="5" s="1"/>
  <c r="K1671" i="5"/>
  <c r="P1671" i="5" s="1"/>
  <c r="L1671" i="5"/>
  <c r="Q1671" i="5" s="1"/>
  <c r="K1670" i="5"/>
  <c r="P1670" i="5" s="1"/>
  <c r="L1670" i="5"/>
  <c r="Q1670" i="5" s="1"/>
  <c r="K1669" i="5"/>
  <c r="P1669" i="5" s="1"/>
  <c r="L1669" i="5"/>
  <c r="Q1669" i="5" s="1"/>
  <c r="K1668" i="5"/>
  <c r="P1668" i="5" s="1"/>
  <c r="L1668" i="5"/>
  <c r="Q1668" i="5" s="1"/>
  <c r="K1667" i="5"/>
  <c r="P1667" i="5" s="1"/>
  <c r="L1667" i="5"/>
  <c r="Q1667" i="5" s="1"/>
  <c r="K1666" i="5"/>
  <c r="P1666" i="5" s="1"/>
  <c r="L1666" i="5"/>
  <c r="Q1666" i="5" s="1"/>
  <c r="K1665" i="5"/>
  <c r="P1665" i="5" s="1"/>
  <c r="L1665" i="5"/>
  <c r="Q1665" i="5" s="1"/>
  <c r="K1664" i="5"/>
  <c r="P1664" i="5" s="1"/>
  <c r="L1664" i="5"/>
  <c r="Q1664" i="5" s="1"/>
  <c r="K1663" i="5"/>
  <c r="P1663" i="5" s="1"/>
  <c r="L1663" i="5"/>
  <c r="Q1663" i="5" s="1"/>
  <c r="K1662" i="5"/>
  <c r="P1662" i="5" s="1"/>
  <c r="L1662" i="5"/>
  <c r="Q1662" i="5" s="1"/>
  <c r="K1661" i="5"/>
  <c r="P1661" i="5" s="1"/>
  <c r="L1661" i="5"/>
  <c r="Q1661" i="5" s="1"/>
  <c r="K1660" i="5"/>
  <c r="P1660" i="5" s="1"/>
  <c r="L1660" i="5"/>
  <c r="Q1660" i="5" s="1"/>
  <c r="K1659" i="5"/>
  <c r="P1659" i="5" s="1"/>
  <c r="L1659" i="5"/>
  <c r="Q1659" i="5" s="1"/>
  <c r="K1658" i="5"/>
  <c r="P1658" i="5" s="1"/>
  <c r="L1658" i="5"/>
  <c r="Q1658" i="5" s="1"/>
  <c r="K1657" i="5"/>
  <c r="P1657" i="5" s="1"/>
  <c r="L1657" i="5"/>
  <c r="Q1657" i="5" s="1"/>
  <c r="K1656" i="5"/>
  <c r="P1656" i="5" s="1"/>
  <c r="L1656" i="5"/>
  <c r="Q1656" i="5" s="1"/>
  <c r="K1655" i="5"/>
  <c r="P1655" i="5" s="1"/>
  <c r="L1655" i="5"/>
  <c r="Q1655" i="5" s="1"/>
  <c r="K1654" i="5"/>
  <c r="P1654" i="5" s="1"/>
  <c r="L1654" i="5"/>
  <c r="Q1654" i="5" s="1"/>
  <c r="K1653" i="5"/>
  <c r="P1653" i="5" s="1"/>
  <c r="L1653" i="5"/>
  <c r="Q1653" i="5" s="1"/>
  <c r="K1652" i="5"/>
  <c r="P1652" i="5" s="1"/>
  <c r="L1652" i="5"/>
  <c r="Q1652" i="5" s="1"/>
  <c r="K1651" i="5"/>
  <c r="P1651" i="5" s="1"/>
  <c r="L1651" i="5"/>
  <c r="Q1651" i="5" s="1"/>
  <c r="K1650" i="5"/>
  <c r="P1650" i="5" s="1"/>
  <c r="L1650" i="5"/>
  <c r="Q1650" i="5" s="1"/>
  <c r="K1649" i="5"/>
  <c r="P1649" i="5" s="1"/>
  <c r="L1649" i="5"/>
  <c r="Q1649" i="5" s="1"/>
  <c r="K1648" i="5"/>
  <c r="P1648" i="5" s="1"/>
  <c r="L1648" i="5"/>
  <c r="Q1648" i="5" s="1"/>
  <c r="K1647" i="5"/>
  <c r="P1647" i="5" s="1"/>
  <c r="L1647" i="5"/>
  <c r="Q1647" i="5" s="1"/>
  <c r="K1646" i="5"/>
  <c r="P1646" i="5" s="1"/>
  <c r="L1646" i="5"/>
  <c r="Q1646" i="5" s="1"/>
  <c r="K1645" i="5"/>
  <c r="P1645" i="5" s="1"/>
  <c r="L1645" i="5"/>
  <c r="Q1645" i="5" s="1"/>
  <c r="K1644" i="5"/>
  <c r="P1644" i="5" s="1"/>
  <c r="L1644" i="5"/>
  <c r="Q1644" i="5" s="1"/>
  <c r="K1643" i="5"/>
  <c r="P1643" i="5" s="1"/>
  <c r="L1643" i="5"/>
  <c r="Q1643" i="5" s="1"/>
  <c r="K1642" i="5"/>
  <c r="P1642" i="5" s="1"/>
  <c r="L1642" i="5"/>
  <c r="Q1642" i="5" s="1"/>
  <c r="K1641" i="5"/>
  <c r="P1641" i="5" s="1"/>
  <c r="L1641" i="5"/>
  <c r="Q1641" i="5" s="1"/>
  <c r="K1640" i="5"/>
  <c r="P1640" i="5" s="1"/>
  <c r="L1640" i="5"/>
  <c r="Q1640" i="5" s="1"/>
  <c r="K1639" i="5"/>
  <c r="P1639" i="5" s="1"/>
  <c r="L1639" i="5"/>
  <c r="Q1639" i="5" s="1"/>
  <c r="K1638" i="5"/>
  <c r="P1638" i="5" s="1"/>
  <c r="L1638" i="5"/>
  <c r="Q1638" i="5" s="1"/>
  <c r="K1637" i="5"/>
  <c r="P1637" i="5" s="1"/>
  <c r="L1637" i="5"/>
  <c r="Q1637" i="5" s="1"/>
  <c r="K1636" i="5"/>
  <c r="P1636" i="5" s="1"/>
  <c r="L1636" i="5"/>
  <c r="Q1636" i="5" s="1"/>
  <c r="K1635" i="5"/>
  <c r="P1635" i="5" s="1"/>
  <c r="L1635" i="5"/>
  <c r="Q1635" i="5" s="1"/>
  <c r="K1634" i="5"/>
  <c r="P1634" i="5" s="1"/>
  <c r="L1634" i="5"/>
  <c r="Q1634" i="5" s="1"/>
  <c r="K1633" i="5"/>
  <c r="P1633" i="5" s="1"/>
  <c r="L1633" i="5"/>
  <c r="Q1633" i="5" s="1"/>
  <c r="K1632" i="5"/>
  <c r="P1632" i="5" s="1"/>
  <c r="L1632" i="5"/>
  <c r="Q1632" i="5" s="1"/>
  <c r="K1631" i="5"/>
  <c r="P1631" i="5" s="1"/>
  <c r="L1631" i="5"/>
  <c r="Q1631" i="5" s="1"/>
  <c r="K1630" i="5"/>
  <c r="P1630" i="5" s="1"/>
  <c r="L1630" i="5"/>
  <c r="Q1630" i="5" s="1"/>
  <c r="K1629" i="5"/>
  <c r="P1629" i="5" s="1"/>
  <c r="L1629" i="5"/>
  <c r="Q1629" i="5" s="1"/>
  <c r="K1628" i="5"/>
  <c r="P1628" i="5" s="1"/>
  <c r="L1628" i="5"/>
  <c r="Q1628" i="5" s="1"/>
  <c r="K1627" i="5"/>
  <c r="P1627" i="5" s="1"/>
  <c r="L1627" i="5"/>
  <c r="Q1627" i="5" s="1"/>
  <c r="K1626" i="5"/>
  <c r="P1626" i="5" s="1"/>
  <c r="L1626" i="5"/>
  <c r="Q1626" i="5" s="1"/>
  <c r="K1625" i="5"/>
  <c r="P1625" i="5" s="1"/>
  <c r="L1625" i="5"/>
  <c r="Q1625" i="5" s="1"/>
  <c r="K1624" i="5"/>
  <c r="P1624" i="5" s="1"/>
  <c r="L1624" i="5"/>
  <c r="Q1624" i="5" s="1"/>
  <c r="K1623" i="5"/>
  <c r="P1623" i="5" s="1"/>
  <c r="L1623" i="5"/>
  <c r="Q1623" i="5" s="1"/>
  <c r="K1622" i="5"/>
  <c r="P1622" i="5" s="1"/>
  <c r="L1622" i="5"/>
  <c r="Q1622" i="5" s="1"/>
  <c r="K1621" i="5"/>
  <c r="P1621" i="5" s="1"/>
  <c r="L1621" i="5"/>
  <c r="Q1621" i="5" s="1"/>
  <c r="K1620" i="5"/>
  <c r="P1620" i="5" s="1"/>
  <c r="L1620" i="5"/>
  <c r="Q1620" i="5" s="1"/>
  <c r="K1619" i="5"/>
  <c r="P1619" i="5" s="1"/>
  <c r="L1619" i="5"/>
  <c r="Q1619" i="5" s="1"/>
  <c r="K1618" i="5"/>
  <c r="P1618" i="5" s="1"/>
  <c r="L1618" i="5"/>
  <c r="Q1618" i="5" s="1"/>
  <c r="K1617" i="5"/>
  <c r="P1617" i="5" s="1"/>
  <c r="L1617" i="5"/>
  <c r="Q1617" i="5" s="1"/>
  <c r="K1616" i="5"/>
  <c r="P1616" i="5" s="1"/>
  <c r="L1616" i="5"/>
  <c r="Q1616" i="5" s="1"/>
  <c r="K1615" i="5"/>
  <c r="P1615" i="5" s="1"/>
  <c r="L1615" i="5"/>
  <c r="Q1615" i="5" s="1"/>
  <c r="K1614" i="5"/>
  <c r="P1614" i="5" s="1"/>
  <c r="L1614" i="5"/>
  <c r="Q1614" i="5" s="1"/>
  <c r="K1613" i="5"/>
  <c r="P1613" i="5" s="1"/>
  <c r="L1613" i="5"/>
  <c r="Q1613" i="5" s="1"/>
  <c r="K1612" i="5"/>
  <c r="P1612" i="5" s="1"/>
  <c r="L1612" i="5"/>
  <c r="Q1612" i="5" s="1"/>
  <c r="K1611" i="5"/>
  <c r="P1611" i="5" s="1"/>
  <c r="L1611" i="5"/>
  <c r="Q1611" i="5" s="1"/>
  <c r="K1610" i="5"/>
  <c r="P1610" i="5" s="1"/>
  <c r="L1610" i="5"/>
  <c r="Q1610" i="5" s="1"/>
  <c r="K1609" i="5"/>
  <c r="P1609" i="5" s="1"/>
  <c r="L1609" i="5"/>
  <c r="Q1609" i="5" s="1"/>
  <c r="K1608" i="5"/>
  <c r="P1608" i="5" s="1"/>
  <c r="L1608" i="5"/>
  <c r="Q1608" i="5" s="1"/>
  <c r="K1607" i="5"/>
  <c r="P1607" i="5" s="1"/>
  <c r="L1607" i="5"/>
  <c r="Q1607" i="5" s="1"/>
  <c r="K1606" i="5"/>
  <c r="P1606" i="5" s="1"/>
  <c r="L1606" i="5"/>
  <c r="Q1606" i="5" s="1"/>
  <c r="K1605" i="5"/>
  <c r="P1605" i="5" s="1"/>
  <c r="L1605" i="5"/>
  <c r="Q1605" i="5" s="1"/>
  <c r="K1604" i="5"/>
  <c r="P1604" i="5" s="1"/>
  <c r="L1604" i="5"/>
  <c r="Q1604" i="5" s="1"/>
  <c r="K1603" i="5"/>
  <c r="P1603" i="5" s="1"/>
  <c r="L1603" i="5"/>
  <c r="Q1603" i="5" s="1"/>
  <c r="K1602" i="5"/>
  <c r="P1602" i="5" s="1"/>
  <c r="L1602" i="5"/>
  <c r="Q1602" i="5" s="1"/>
  <c r="K1601" i="5"/>
  <c r="P1601" i="5" s="1"/>
  <c r="L1601" i="5"/>
  <c r="Q1601" i="5" s="1"/>
  <c r="K1600" i="5"/>
  <c r="P1600" i="5" s="1"/>
  <c r="L1600" i="5"/>
  <c r="Q1600" i="5" s="1"/>
  <c r="K1599" i="5"/>
  <c r="P1599" i="5" s="1"/>
  <c r="L1599" i="5"/>
  <c r="Q1599" i="5" s="1"/>
  <c r="K1598" i="5"/>
  <c r="P1598" i="5" s="1"/>
  <c r="L1598" i="5"/>
  <c r="Q1598" i="5" s="1"/>
  <c r="K1597" i="5"/>
  <c r="P1597" i="5" s="1"/>
  <c r="L1597" i="5"/>
  <c r="Q1597" i="5" s="1"/>
  <c r="K1596" i="5"/>
  <c r="P1596" i="5" s="1"/>
  <c r="L1596" i="5"/>
  <c r="Q1596" i="5" s="1"/>
  <c r="K1595" i="5"/>
  <c r="P1595" i="5" s="1"/>
  <c r="L1595" i="5"/>
  <c r="Q1595" i="5" s="1"/>
  <c r="K1594" i="5"/>
  <c r="P1594" i="5" s="1"/>
  <c r="L1594" i="5"/>
  <c r="Q1594" i="5" s="1"/>
  <c r="K1593" i="5"/>
  <c r="P1593" i="5" s="1"/>
  <c r="L1593" i="5"/>
  <c r="Q1593" i="5" s="1"/>
  <c r="K1592" i="5"/>
  <c r="P1592" i="5" s="1"/>
  <c r="L1592" i="5"/>
  <c r="Q1592" i="5" s="1"/>
  <c r="K1591" i="5"/>
  <c r="P1591" i="5" s="1"/>
  <c r="L1591" i="5"/>
  <c r="Q1591" i="5" s="1"/>
  <c r="K1590" i="5"/>
  <c r="P1590" i="5" s="1"/>
  <c r="L1590" i="5"/>
  <c r="Q1590" i="5" s="1"/>
  <c r="K1589" i="5"/>
  <c r="P1589" i="5" s="1"/>
  <c r="L1589" i="5"/>
  <c r="Q1589" i="5" s="1"/>
  <c r="K1588" i="5"/>
  <c r="P1588" i="5" s="1"/>
  <c r="L1588" i="5"/>
  <c r="Q1588" i="5" s="1"/>
  <c r="K1587" i="5"/>
  <c r="P1587" i="5" s="1"/>
  <c r="L1587" i="5"/>
  <c r="Q1587" i="5" s="1"/>
  <c r="K1586" i="5"/>
  <c r="P1586" i="5" s="1"/>
  <c r="L1586" i="5"/>
  <c r="Q1586" i="5" s="1"/>
  <c r="K1585" i="5"/>
  <c r="P1585" i="5" s="1"/>
  <c r="L1585" i="5"/>
  <c r="Q1585" i="5" s="1"/>
  <c r="K1584" i="5"/>
  <c r="P1584" i="5" s="1"/>
  <c r="L1584" i="5"/>
  <c r="Q1584" i="5" s="1"/>
  <c r="K1583" i="5"/>
  <c r="P1583" i="5" s="1"/>
  <c r="L1583" i="5"/>
  <c r="Q1583" i="5" s="1"/>
  <c r="K1582" i="5"/>
  <c r="P1582" i="5" s="1"/>
  <c r="L1582" i="5"/>
  <c r="Q1582" i="5" s="1"/>
  <c r="K1581" i="5"/>
  <c r="P1581" i="5" s="1"/>
  <c r="L1581" i="5"/>
  <c r="Q1581" i="5" s="1"/>
  <c r="K1580" i="5"/>
  <c r="P1580" i="5" s="1"/>
  <c r="L1580" i="5"/>
  <c r="Q1580" i="5" s="1"/>
  <c r="K1579" i="5"/>
  <c r="P1579" i="5" s="1"/>
  <c r="L1579" i="5"/>
  <c r="Q1579" i="5" s="1"/>
  <c r="K1578" i="5"/>
  <c r="P1578" i="5" s="1"/>
  <c r="L1578" i="5"/>
  <c r="Q1578" i="5" s="1"/>
  <c r="K1577" i="5"/>
  <c r="P1577" i="5" s="1"/>
  <c r="L1577" i="5"/>
  <c r="Q1577" i="5" s="1"/>
  <c r="K1576" i="5"/>
  <c r="P1576" i="5" s="1"/>
  <c r="L1576" i="5"/>
  <c r="Q1576" i="5" s="1"/>
  <c r="K1575" i="5"/>
  <c r="P1575" i="5" s="1"/>
  <c r="L1575" i="5"/>
  <c r="Q1575" i="5" s="1"/>
  <c r="K1574" i="5"/>
  <c r="P1574" i="5" s="1"/>
  <c r="L1574" i="5"/>
  <c r="Q1574" i="5" s="1"/>
  <c r="K1573" i="5"/>
  <c r="P1573" i="5" s="1"/>
  <c r="L1573" i="5"/>
  <c r="Q1573" i="5" s="1"/>
  <c r="K1572" i="5"/>
  <c r="P1572" i="5" s="1"/>
  <c r="L1572" i="5"/>
  <c r="Q1572" i="5" s="1"/>
  <c r="K1571" i="5"/>
  <c r="P1571" i="5" s="1"/>
  <c r="L1571" i="5"/>
  <c r="Q1571" i="5" s="1"/>
  <c r="K1570" i="5"/>
  <c r="P1570" i="5" s="1"/>
  <c r="L1570" i="5"/>
  <c r="Q1570" i="5" s="1"/>
  <c r="K1569" i="5"/>
  <c r="P1569" i="5" s="1"/>
  <c r="L1569" i="5"/>
  <c r="Q1569" i="5" s="1"/>
  <c r="K1568" i="5"/>
  <c r="P1568" i="5" s="1"/>
  <c r="L1568" i="5"/>
  <c r="Q1568" i="5" s="1"/>
  <c r="K1567" i="5"/>
  <c r="P1567" i="5" s="1"/>
  <c r="L1567" i="5"/>
  <c r="Q1567" i="5" s="1"/>
  <c r="K1566" i="5"/>
  <c r="P1566" i="5" s="1"/>
  <c r="L1566" i="5"/>
  <c r="Q1566" i="5" s="1"/>
  <c r="K1565" i="5"/>
  <c r="P1565" i="5" s="1"/>
  <c r="L1565" i="5"/>
  <c r="Q1565" i="5" s="1"/>
  <c r="K1564" i="5"/>
  <c r="P1564" i="5" s="1"/>
  <c r="L1564" i="5"/>
  <c r="Q1564" i="5" s="1"/>
  <c r="K1563" i="5"/>
  <c r="P1563" i="5" s="1"/>
  <c r="L1563" i="5"/>
  <c r="Q1563" i="5" s="1"/>
  <c r="K1562" i="5"/>
  <c r="P1562" i="5" s="1"/>
  <c r="L1562" i="5"/>
  <c r="Q1562" i="5" s="1"/>
  <c r="K1561" i="5"/>
  <c r="P1561" i="5" s="1"/>
  <c r="L1561" i="5"/>
  <c r="Q1561" i="5" s="1"/>
  <c r="K1560" i="5"/>
  <c r="P1560" i="5" s="1"/>
  <c r="L1560" i="5"/>
  <c r="Q1560" i="5" s="1"/>
  <c r="K1559" i="5"/>
  <c r="P1559" i="5" s="1"/>
  <c r="L1559" i="5"/>
  <c r="Q1559" i="5" s="1"/>
  <c r="K1558" i="5"/>
  <c r="P1558" i="5" s="1"/>
  <c r="L1558" i="5"/>
  <c r="Q1558" i="5" s="1"/>
  <c r="K1557" i="5"/>
  <c r="P1557" i="5" s="1"/>
  <c r="L1557" i="5"/>
  <c r="Q1557" i="5" s="1"/>
  <c r="K1556" i="5"/>
  <c r="P1556" i="5" s="1"/>
  <c r="L1556" i="5"/>
  <c r="Q1556" i="5" s="1"/>
  <c r="K1555" i="5"/>
  <c r="P1555" i="5" s="1"/>
  <c r="L1555" i="5"/>
  <c r="Q1555" i="5" s="1"/>
  <c r="K1554" i="5"/>
  <c r="P1554" i="5" s="1"/>
  <c r="L1554" i="5"/>
  <c r="Q1554" i="5" s="1"/>
  <c r="K1553" i="5"/>
  <c r="P1553" i="5" s="1"/>
  <c r="L1553" i="5"/>
  <c r="Q1553" i="5" s="1"/>
  <c r="K1552" i="5"/>
  <c r="P1552" i="5" s="1"/>
  <c r="L1552" i="5"/>
  <c r="Q1552" i="5" s="1"/>
  <c r="K1551" i="5"/>
  <c r="P1551" i="5" s="1"/>
  <c r="L1551" i="5"/>
  <c r="Q1551" i="5" s="1"/>
  <c r="K1550" i="5"/>
  <c r="P1550" i="5" s="1"/>
  <c r="L1550" i="5"/>
  <c r="Q1550" i="5" s="1"/>
  <c r="K1549" i="5"/>
  <c r="P1549" i="5" s="1"/>
  <c r="L1549" i="5"/>
  <c r="Q1549" i="5" s="1"/>
  <c r="K1548" i="5"/>
  <c r="P1548" i="5" s="1"/>
  <c r="L1548" i="5"/>
  <c r="Q1548" i="5" s="1"/>
  <c r="K1547" i="5"/>
  <c r="P1547" i="5" s="1"/>
  <c r="L1547" i="5"/>
  <c r="Q1547" i="5" s="1"/>
  <c r="K1546" i="5"/>
  <c r="P1546" i="5" s="1"/>
  <c r="L1546" i="5"/>
  <c r="Q1546" i="5" s="1"/>
  <c r="K1545" i="5"/>
  <c r="P1545" i="5" s="1"/>
  <c r="L1545" i="5"/>
  <c r="Q1545" i="5" s="1"/>
  <c r="K1544" i="5"/>
  <c r="P1544" i="5" s="1"/>
  <c r="L1544" i="5"/>
  <c r="Q1544" i="5" s="1"/>
  <c r="K1543" i="5"/>
  <c r="P1543" i="5" s="1"/>
  <c r="L1543" i="5"/>
  <c r="Q1543" i="5" s="1"/>
  <c r="K1542" i="5"/>
  <c r="P1542" i="5" s="1"/>
  <c r="L1542" i="5"/>
  <c r="Q1542" i="5" s="1"/>
  <c r="K1541" i="5"/>
  <c r="P1541" i="5" s="1"/>
  <c r="L1541" i="5"/>
  <c r="Q1541" i="5" s="1"/>
  <c r="K1540" i="5"/>
  <c r="P1540" i="5" s="1"/>
  <c r="L1540" i="5"/>
  <c r="Q1540" i="5" s="1"/>
  <c r="K1539" i="5"/>
  <c r="P1539" i="5" s="1"/>
  <c r="L1539" i="5"/>
  <c r="Q1539" i="5" s="1"/>
  <c r="K1538" i="5"/>
  <c r="P1538" i="5" s="1"/>
  <c r="L1538" i="5"/>
  <c r="Q1538" i="5" s="1"/>
  <c r="K1537" i="5"/>
  <c r="P1537" i="5" s="1"/>
  <c r="L1537" i="5"/>
  <c r="Q1537" i="5" s="1"/>
  <c r="K1536" i="5"/>
  <c r="P1536" i="5" s="1"/>
  <c r="L1536" i="5"/>
  <c r="Q1536" i="5" s="1"/>
  <c r="K1535" i="5"/>
  <c r="P1535" i="5" s="1"/>
  <c r="L1535" i="5"/>
  <c r="Q1535" i="5" s="1"/>
  <c r="K1534" i="5"/>
  <c r="P1534" i="5" s="1"/>
  <c r="L1534" i="5"/>
  <c r="Q1534" i="5" s="1"/>
  <c r="K1533" i="5"/>
  <c r="P1533" i="5" s="1"/>
  <c r="L1533" i="5"/>
  <c r="Q1533" i="5" s="1"/>
  <c r="K1532" i="5"/>
  <c r="P1532" i="5" s="1"/>
  <c r="L1532" i="5"/>
  <c r="Q1532" i="5" s="1"/>
  <c r="K1531" i="5"/>
  <c r="P1531" i="5" s="1"/>
  <c r="L1531" i="5"/>
  <c r="Q1531" i="5" s="1"/>
  <c r="K1530" i="5"/>
  <c r="P1530" i="5" s="1"/>
  <c r="L1530" i="5"/>
  <c r="Q1530" i="5" s="1"/>
  <c r="K1529" i="5"/>
  <c r="P1529" i="5" s="1"/>
  <c r="L1529" i="5"/>
  <c r="Q1529" i="5" s="1"/>
  <c r="K1528" i="5"/>
  <c r="P1528" i="5" s="1"/>
  <c r="L1528" i="5"/>
  <c r="Q1528" i="5" s="1"/>
  <c r="K1527" i="5"/>
  <c r="P1527" i="5" s="1"/>
  <c r="L1527" i="5"/>
  <c r="Q1527" i="5" s="1"/>
  <c r="K1526" i="5"/>
  <c r="P1526" i="5" s="1"/>
  <c r="L1526" i="5"/>
  <c r="Q1526" i="5" s="1"/>
  <c r="K1525" i="5"/>
  <c r="P1525" i="5" s="1"/>
  <c r="L1525" i="5"/>
  <c r="Q1525" i="5" s="1"/>
  <c r="K1524" i="5"/>
  <c r="P1524" i="5" s="1"/>
  <c r="L1524" i="5"/>
  <c r="Q1524" i="5" s="1"/>
  <c r="K1523" i="5"/>
  <c r="P1523" i="5" s="1"/>
  <c r="L1523" i="5"/>
  <c r="Q1523" i="5" s="1"/>
  <c r="K1522" i="5"/>
  <c r="P1522" i="5" s="1"/>
  <c r="L1522" i="5"/>
  <c r="Q1522" i="5" s="1"/>
  <c r="K1521" i="5"/>
  <c r="P1521" i="5" s="1"/>
  <c r="L1521" i="5"/>
  <c r="Q1521" i="5" s="1"/>
  <c r="K1520" i="5"/>
  <c r="P1520" i="5" s="1"/>
  <c r="L1520" i="5"/>
  <c r="Q1520" i="5" s="1"/>
  <c r="K1519" i="5"/>
  <c r="P1519" i="5" s="1"/>
  <c r="L1519" i="5"/>
  <c r="Q1519" i="5" s="1"/>
  <c r="K1518" i="5"/>
  <c r="P1518" i="5" s="1"/>
  <c r="L1518" i="5"/>
  <c r="Q1518" i="5" s="1"/>
  <c r="K1517" i="5"/>
  <c r="P1517" i="5" s="1"/>
  <c r="L1517" i="5"/>
  <c r="Q1517" i="5" s="1"/>
  <c r="K1516" i="5"/>
  <c r="P1516" i="5" s="1"/>
  <c r="L1516" i="5"/>
  <c r="Q1516" i="5" s="1"/>
  <c r="K1515" i="5"/>
  <c r="P1515" i="5" s="1"/>
  <c r="L1515" i="5"/>
  <c r="Q1515" i="5" s="1"/>
  <c r="K1514" i="5"/>
  <c r="P1514" i="5" s="1"/>
  <c r="L1514" i="5"/>
  <c r="Q1514" i="5" s="1"/>
  <c r="K1513" i="5"/>
  <c r="P1513" i="5" s="1"/>
  <c r="L1513" i="5"/>
  <c r="Q1513" i="5" s="1"/>
  <c r="K1512" i="5"/>
  <c r="P1512" i="5" s="1"/>
  <c r="L1512" i="5"/>
  <c r="Q1512" i="5" s="1"/>
  <c r="K1511" i="5"/>
  <c r="P1511" i="5" s="1"/>
  <c r="L1511" i="5"/>
  <c r="Q1511" i="5" s="1"/>
  <c r="K1510" i="5"/>
  <c r="P1510" i="5" s="1"/>
  <c r="L1510" i="5"/>
  <c r="Q1510" i="5" s="1"/>
  <c r="K1509" i="5"/>
  <c r="P1509" i="5" s="1"/>
  <c r="L1509" i="5"/>
  <c r="Q1509" i="5" s="1"/>
  <c r="K1508" i="5"/>
  <c r="P1508" i="5" s="1"/>
  <c r="L1508" i="5"/>
  <c r="Q1508" i="5" s="1"/>
  <c r="K1507" i="5"/>
  <c r="P1507" i="5" s="1"/>
  <c r="L1507" i="5"/>
  <c r="Q1507" i="5" s="1"/>
  <c r="K1506" i="5"/>
  <c r="P1506" i="5" s="1"/>
  <c r="L1506" i="5"/>
  <c r="Q1506" i="5" s="1"/>
  <c r="K1505" i="5"/>
  <c r="P1505" i="5" s="1"/>
  <c r="L1505" i="5"/>
  <c r="Q1505" i="5" s="1"/>
  <c r="K1504" i="5"/>
  <c r="P1504" i="5" s="1"/>
  <c r="L1504" i="5"/>
  <c r="Q1504" i="5" s="1"/>
  <c r="K1503" i="5"/>
  <c r="P1503" i="5" s="1"/>
  <c r="L1503" i="5"/>
  <c r="Q1503" i="5" s="1"/>
  <c r="K1502" i="5"/>
  <c r="P1502" i="5" s="1"/>
  <c r="L1502" i="5"/>
  <c r="Q1502" i="5" s="1"/>
  <c r="K1501" i="5"/>
  <c r="P1501" i="5" s="1"/>
  <c r="L1501" i="5"/>
  <c r="Q1501" i="5" s="1"/>
  <c r="K1500" i="5"/>
  <c r="P1500" i="5" s="1"/>
  <c r="L1500" i="5"/>
  <c r="Q1500" i="5" s="1"/>
  <c r="K1499" i="5"/>
  <c r="P1499" i="5" s="1"/>
  <c r="L1499" i="5"/>
  <c r="Q1499" i="5" s="1"/>
  <c r="K1498" i="5"/>
  <c r="P1498" i="5" s="1"/>
  <c r="L1498" i="5"/>
  <c r="Q1498" i="5" s="1"/>
  <c r="K1497" i="5"/>
  <c r="P1497" i="5" s="1"/>
  <c r="L1497" i="5"/>
  <c r="Q1497" i="5" s="1"/>
  <c r="K1496" i="5"/>
  <c r="P1496" i="5" s="1"/>
  <c r="L1496" i="5"/>
  <c r="Q1496" i="5" s="1"/>
  <c r="K1495" i="5"/>
  <c r="P1495" i="5" s="1"/>
  <c r="L1495" i="5"/>
  <c r="Q1495" i="5" s="1"/>
  <c r="K1494" i="5"/>
  <c r="P1494" i="5" s="1"/>
  <c r="L1494" i="5"/>
  <c r="Q1494" i="5" s="1"/>
  <c r="K1493" i="5"/>
  <c r="P1493" i="5" s="1"/>
  <c r="L1493" i="5"/>
  <c r="Q1493" i="5" s="1"/>
  <c r="K1492" i="5"/>
  <c r="P1492" i="5" s="1"/>
  <c r="L1492" i="5"/>
  <c r="Q1492" i="5" s="1"/>
  <c r="K1491" i="5"/>
  <c r="P1491" i="5" s="1"/>
  <c r="L1491" i="5"/>
  <c r="Q1491" i="5" s="1"/>
  <c r="K1490" i="5"/>
  <c r="P1490" i="5" s="1"/>
  <c r="L1490" i="5"/>
  <c r="Q1490" i="5" s="1"/>
  <c r="K1489" i="5"/>
  <c r="P1489" i="5" s="1"/>
  <c r="L1489" i="5"/>
  <c r="Q1489" i="5" s="1"/>
  <c r="K1488" i="5"/>
  <c r="P1488" i="5" s="1"/>
  <c r="L1488" i="5"/>
  <c r="Q1488" i="5" s="1"/>
  <c r="K1487" i="5"/>
  <c r="P1487" i="5" s="1"/>
  <c r="L1487" i="5"/>
  <c r="Q1487" i="5" s="1"/>
  <c r="K1486" i="5"/>
  <c r="P1486" i="5" s="1"/>
  <c r="L1486" i="5"/>
  <c r="Q1486" i="5" s="1"/>
  <c r="K1485" i="5"/>
  <c r="P1485" i="5" s="1"/>
  <c r="L1485" i="5"/>
  <c r="Q1485" i="5" s="1"/>
  <c r="K1484" i="5"/>
  <c r="P1484" i="5" s="1"/>
  <c r="L1484" i="5"/>
  <c r="Q1484" i="5" s="1"/>
  <c r="K1483" i="5"/>
  <c r="P1483" i="5" s="1"/>
  <c r="L1483" i="5"/>
  <c r="Q1483" i="5" s="1"/>
  <c r="K1482" i="5"/>
  <c r="P1482" i="5" s="1"/>
  <c r="L1482" i="5"/>
  <c r="Q1482" i="5" s="1"/>
  <c r="K1481" i="5"/>
  <c r="P1481" i="5" s="1"/>
  <c r="L1481" i="5"/>
  <c r="Q1481" i="5" s="1"/>
  <c r="K1480" i="5"/>
  <c r="P1480" i="5" s="1"/>
  <c r="L1480" i="5"/>
  <c r="Q1480" i="5" s="1"/>
  <c r="K1479" i="5"/>
  <c r="P1479" i="5" s="1"/>
  <c r="L1479" i="5"/>
  <c r="Q1479" i="5" s="1"/>
  <c r="K1478" i="5"/>
  <c r="P1478" i="5" s="1"/>
  <c r="L1478" i="5"/>
  <c r="Q1478" i="5" s="1"/>
  <c r="K1477" i="5"/>
  <c r="P1477" i="5" s="1"/>
  <c r="L1477" i="5"/>
  <c r="Q1477" i="5" s="1"/>
  <c r="K1476" i="5"/>
  <c r="P1476" i="5" s="1"/>
  <c r="L1476" i="5"/>
  <c r="Q1476" i="5" s="1"/>
  <c r="K1475" i="5"/>
  <c r="P1475" i="5" s="1"/>
  <c r="L1475" i="5"/>
  <c r="Q1475" i="5" s="1"/>
  <c r="K1474" i="5"/>
  <c r="P1474" i="5" s="1"/>
  <c r="L1474" i="5"/>
  <c r="Q1474" i="5" s="1"/>
  <c r="K1473" i="5"/>
  <c r="P1473" i="5" s="1"/>
  <c r="L1473" i="5"/>
  <c r="Q1473" i="5" s="1"/>
  <c r="K1472" i="5"/>
  <c r="P1472" i="5" s="1"/>
  <c r="L1472" i="5"/>
  <c r="Q1472" i="5" s="1"/>
  <c r="K1471" i="5"/>
  <c r="P1471" i="5" s="1"/>
  <c r="L1471" i="5"/>
  <c r="Q1471" i="5" s="1"/>
  <c r="K1470" i="5"/>
  <c r="P1470" i="5" s="1"/>
  <c r="L1470" i="5"/>
  <c r="Q1470" i="5" s="1"/>
  <c r="K1469" i="5"/>
  <c r="P1469" i="5" s="1"/>
  <c r="L1469" i="5"/>
  <c r="Q1469" i="5" s="1"/>
  <c r="K1468" i="5"/>
  <c r="P1468" i="5" s="1"/>
  <c r="L1468" i="5"/>
  <c r="Q1468" i="5" s="1"/>
  <c r="K1467" i="5"/>
  <c r="P1467" i="5" s="1"/>
  <c r="L1467" i="5"/>
  <c r="Q1467" i="5" s="1"/>
  <c r="K1466" i="5"/>
  <c r="P1466" i="5" s="1"/>
  <c r="L1466" i="5"/>
  <c r="Q1466" i="5" s="1"/>
  <c r="K1465" i="5"/>
  <c r="P1465" i="5" s="1"/>
  <c r="L1465" i="5"/>
  <c r="Q1465" i="5" s="1"/>
  <c r="K1464" i="5"/>
  <c r="P1464" i="5" s="1"/>
  <c r="L1464" i="5"/>
  <c r="Q1464" i="5" s="1"/>
  <c r="K1463" i="5"/>
  <c r="P1463" i="5" s="1"/>
  <c r="L1463" i="5"/>
  <c r="Q1463" i="5" s="1"/>
  <c r="K1462" i="5"/>
  <c r="P1462" i="5" s="1"/>
  <c r="L1462" i="5"/>
  <c r="Q1462" i="5" s="1"/>
  <c r="K1461" i="5"/>
  <c r="P1461" i="5" s="1"/>
  <c r="L1461" i="5"/>
  <c r="Q1461" i="5" s="1"/>
  <c r="K1460" i="5"/>
  <c r="P1460" i="5" s="1"/>
  <c r="L1460" i="5"/>
  <c r="Q1460" i="5" s="1"/>
  <c r="K1459" i="5"/>
  <c r="P1459" i="5" s="1"/>
  <c r="L1459" i="5"/>
  <c r="Q1459" i="5" s="1"/>
  <c r="K1458" i="5"/>
  <c r="P1458" i="5" s="1"/>
  <c r="L1458" i="5"/>
  <c r="Q1458" i="5" s="1"/>
  <c r="K1457" i="5"/>
  <c r="P1457" i="5" s="1"/>
  <c r="L1457" i="5"/>
  <c r="Q1457" i="5" s="1"/>
  <c r="K1456" i="5"/>
  <c r="P1456" i="5" s="1"/>
  <c r="L1456" i="5"/>
  <c r="Q1456" i="5" s="1"/>
  <c r="K1455" i="5"/>
  <c r="P1455" i="5" s="1"/>
  <c r="L1455" i="5"/>
  <c r="Q1455" i="5" s="1"/>
  <c r="K1454" i="5"/>
  <c r="P1454" i="5" s="1"/>
  <c r="L1454" i="5"/>
  <c r="Q1454" i="5" s="1"/>
  <c r="K1453" i="5"/>
  <c r="P1453" i="5" s="1"/>
  <c r="L1453" i="5"/>
  <c r="Q1453" i="5" s="1"/>
  <c r="K1452" i="5"/>
  <c r="P1452" i="5" s="1"/>
  <c r="L1452" i="5"/>
  <c r="Q1452" i="5" s="1"/>
  <c r="K1451" i="5"/>
  <c r="P1451" i="5" s="1"/>
  <c r="L1451" i="5"/>
  <c r="Q1451" i="5" s="1"/>
  <c r="K1450" i="5"/>
  <c r="P1450" i="5" s="1"/>
  <c r="L1450" i="5"/>
  <c r="Q1450" i="5" s="1"/>
  <c r="K1449" i="5"/>
  <c r="P1449" i="5" s="1"/>
  <c r="L1449" i="5"/>
  <c r="Q1449" i="5" s="1"/>
  <c r="K1448" i="5"/>
  <c r="P1448" i="5" s="1"/>
  <c r="L1448" i="5"/>
  <c r="Q1448" i="5" s="1"/>
  <c r="K1447" i="5"/>
  <c r="P1447" i="5" s="1"/>
  <c r="L1447" i="5"/>
  <c r="Q1447" i="5" s="1"/>
  <c r="K1446" i="5"/>
  <c r="P1446" i="5" s="1"/>
  <c r="L1446" i="5"/>
  <c r="Q1446" i="5" s="1"/>
  <c r="K1445" i="5"/>
  <c r="P1445" i="5" s="1"/>
  <c r="L1445" i="5"/>
  <c r="Q1445" i="5" s="1"/>
  <c r="K1444" i="5"/>
  <c r="P1444" i="5" s="1"/>
  <c r="L1444" i="5"/>
  <c r="Q1444" i="5" s="1"/>
  <c r="K1443" i="5"/>
  <c r="P1443" i="5" s="1"/>
  <c r="L1443" i="5"/>
  <c r="Q1443" i="5" s="1"/>
  <c r="K1442" i="5"/>
  <c r="P1442" i="5" s="1"/>
  <c r="L1442" i="5"/>
  <c r="Q1442" i="5" s="1"/>
  <c r="K1441" i="5"/>
  <c r="P1441" i="5" s="1"/>
  <c r="L1441" i="5"/>
  <c r="Q1441" i="5" s="1"/>
  <c r="K1440" i="5"/>
  <c r="P1440" i="5" s="1"/>
  <c r="L1440" i="5"/>
  <c r="Q1440" i="5" s="1"/>
  <c r="K1439" i="5"/>
  <c r="P1439" i="5" s="1"/>
  <c r="L1439" i="5"/>
  <c r="Q1439" i="5" s="1"/>
  <c r="K1438" i="5"/>
  <c r="P1438" i="5" s="1"/>
  <c r="L1438" i="5"/>
  <c r="Q1438" i="5" s="1"/>
  <c r="K1437" i="5"/>
  <c r="P1437" i="5" s="1"/>
  <c r="L1437" i="5"/>
  <c r="Q1437" i="5" s="1"/>
  <c r="K1436" i="5"/>
  <c r="P1436" i="5" s="1"/>
  <c r="L1436" i="5"/>
  <c r="Q1436" i="5" s="1"/>
  <c r="K1435" i="5"/>
  <c r="P1435" i="5" s="1"/>
  <c r="L1435" i="5"/>
  <c r="Q1435" i="5" s="1"/>
  <c r="K1434" i="5"/>
  <c r="P1434" i="5" s="1"/>
  <c r="L1434" i="5"/>
  <c r="Q1434" i="5" s="1"/>
  <c r="K1433" i="5"/>
  <c r="P1433" i="5" s="1"/>
  <c r="L1433" i="5"/>
  <c r="Q1433" i="5" s="1"/>
  <c r="K1432" i="5"/>
  <c r="P1432" i="5" s="1"/>
  <c r="L1432" i="5"/>
  <c r="Q1432" i="5" s="1"/>
  <c r="K1431" i="5"/>
  <c r="P1431" i="5" s="1"/>
  <c r="L1431" i="5"/>
  <c r="Q1431" i="5" s="1"/>
  <c r="K1430" i="5"/>
  <c r="P1430" i="5" s="1"/>
  <c r="L1430" i="5"/>
  <c r="Q1430" i="5" s="1"/>
  <c r="K1429" i="5"/>
  <c r="P1429" i="5" s="1"/>
  <c r="L1429" i="5"/>
  <c r="Q1429" i="5" s="1"/>
  <c r="K1428" i="5"/>
  <c r="P1428" i="5" s="1"/>
  <c r="L1428" i="5"/>
  <c r="Q1428" i="5" s="1"/>
  <c r="K1427" i="5"/>
  <c r="P1427" i="5" s="1"/>
  <c r="L1427" i="5"/>
  <c r="Q1427" i="5" s="1"/>
  <c r="K1426" i="5"/>
  <c r="P1426" i="5" s="1"/>
  <c r="L1426" i="5"/>
  <c r="Q1426" i="5" s="1"/>
  <c r="K1425" i="5"/>
  <c r="P1425" i="5" s="1"/>
  <c r="L1425" i="5"/>
  <c r="Q1425" i="5" s="1"/>
  <c r="K1424" i="5"/>
  <c r="P1424" i="5" s="1"/>
  <c r="L1424" i="5"/>
  <c r="Q1424" i="5" s="1"/>
  <c r="K1423" i="5"/>
  <c r="P1423" i="5" s="1"/>
  <c r="L1423" i="5"/>
  <c r="Q1423" i="5" s="1"/>
  <c r="K1422" i="5"/>
  <c r="P1422" i="5" s="1"/>
  <c r="L1422" i="5"/>
  <c r="Q1422" i="5" s="1"/>
  <c r="K1421" i="5"/>
  <c r="P1421" i="5" s="1"/>
  <c r="L1421" i="5"/>
  <c r="Q1421" i="5" s="1"/>
  <c r="K1420" i="5"/>
  <c r="P1420" i="5" s="1"/>
  <c r="L1420" i="5"/>
  <c r="Q1420" i="5" s="1"/>
  <c r="K1419" i="5"/>
  <c r="P1419" i="5" s="1"/>
  <c r="L1419" i="5"/>
  <c r="Q1419" i="5" s="1"/>
  <c r="K1418" i="5"/>
  <c r="P1418" i="5" s="1"/>
  <c r="L1418" i="5"/>
  <c r="Q1418" i="5" s="1"/>
  <c r="K1417" i="5"/>
  <c r="P1417" i="5" s="1"/>
  <c r="L1417" i="5"/>
  <c r="Q1417" i="5" s="1"/>
  <c r="K1416" i="5"/>
  <c r="P1416" i="5" s="1"/>
  <c r="L1416" i="5"/>
  <c r="Q1416" i="5" s="1"/>
  <c r="K1415" i="5"/>
  <c r="P1415" i="5" s="1"/>
  <c r="L1415" i="5"/>
  <c r="Q1415" i="5" s="1"/>
  <c r="K1414" i="5"/>
  <c r="P1414" i="5" s="1"/>
  <c r="L1414" i="5"/>
  <c r="Q1414" i="5" s="1"/>
  <c r="K1413" i="5"/>
  <c r="P1413" i="5" s="1"/>
  <c r="L1413" i="5"/>
  <c r="Q1413" i="5" s="1"/>
  <c r="K1412" i="5"/>
  <c r="P1412" i="5" s="1"/>
  <c r="L1412" i="5"/>
  <c r="Q1412" i="5" s="1"/>
  <c r="K1411" i="5"/>
  <c r="P1411" i="5" s="1"/>
  <c r="L1411" i="5"/>
  <c r="Q1411" i="5" s="1"/>
  <c r="K1410" i="5"/>
  <c r="P1410" i="5" s="1"/>
  <c r="L1410" i="5"/>
  <c r="Q1410" i="5" s="1"/>
  <c r="K1409" i="5"/>
  <c r="P1409" i="5" s="1"/>
  <c r="L1409" i="5"/>
  <c r="Q1409" i="5" s="1"/>
  <c r="K1408" i="5"/>
  <c r="P1408" i="5" s="1"/>
  <c r="L1408" i="5"/>
  <c r="Q1408" i="5" s="1"/>
  <c r="K1407" i="5"/>
  <c r="P1407" i="5" s="1"/>
  <c r="L1407" i="5"/>
  <c r="Q1407" i="5" s="1"/>
  <c r="K1406" i="5"/>
  <c r="P1406" i="5" s="1"/>
  <c r="L1406" i="5"/>
  <c r="Q1406" i="5" s="1"/>
  <c r="K1405" i="5"/>
  <c r="P1405" i="5" s="1"/>
  <c r="L1405" i="5"/>
  <c r="Q1405" i="5" s="1"/>
  <c r="K1404" i="5"/>
  <c r="P1404" i="5" s="1"/>
  <c r="L1404" i="5"/>
  <c r="Q1404" i="5" s="1"/>
  <c r="K1403" i="5"/>
  <c r="P1403" i="5" s="1"/>
  <c r="L1403" i="5"/>
  <c r="Q1403" i="5" s="1"/>
  <c r="K1402" i="5"/>
  <c r="P1402" i="5" s="1"/>
  <c r="L1402" i="5"/>
  <c r="Q1402" i="5" s="1"/>
  <c r="K1401" i="5"/>
  <c r="P1401" i="5" s="1"/>
  <c r="L1401" i="5"/>
  <c r="Q1401" i="5" s="1"/>
  <c r="K1400" i="5"/>
  <c r="P1400" i="5" s="1"/>
  <c r="L1400" i="5"/>
  <c r="Q1400" i="5" s="1"/>
  <c r="K1399" i="5"/>
  <c r="P1399" i="5" s="1"/>
  <c r="L1399" i="5"/>
  <c r="Q1399" i="5" s="1"/>
  <c r="K1398" i="5"/>
  <c r="P1398" i="5" s="1"/>
  <c r="L1398" i="5"/>
  <c r="Q1398" i="5" s="1"/>
  <c r="K1397" i="5"/>
  <c r="P1397" i="5" s="1"/>
  <c r="L1397" i="5"/>
  <c r="Q1397" i="5" s="1"/>
  <c r="K1396" i="5"/>
  <c r="P1396" i="5" s="1"/>
  <c r="L1396" i="5"/>
  <c r="Q1396" i="5" s="1"/>
  <c r="K1395" i="5"/>
  <c r="P1395" i="5" s="1"/>
  <c r="L1395" i="5"/>
  <c r="Q1395" i="5" s="1"/>
  <c r="K1394" i="5"/>
  <c r="P1394" i="5" s="1"/>
  <c r="L1394" i="5"/>
  <c r="Q1394" i="5" s="1"/>
  <c r="K1393" i="5"/>
  <c r="P1393" i="5" s="1"/>
  <c r="L1393" i="5"/>
  <c r="Q1393" i="5" s="1"/>
  <c r="K1392" i="5"/>
  <c r="P1392" i="5" s="1"/>
  <c r="L1392" i="5"/>
  <c r="Q1392" i="5" s="1"/>
  <c r="K1391" i="5"/>
  <c r="P1391" i="5" s="1"/>
  <c r="L1391" i="5"/>
  <c r="Q1391" i="5" s="1"/>
  <c r="K1390" i="5"/>
  <c r="P1390" i="5" s="1"/>
  <c r="L1390" i="5"/>
  <c r="Q1390" i="5" s="1"/>
  <c r="K1389" i="5"/>
  <c r="P1389" i="5" s="1"/>
  <c r="L1389" i="5"/>
  <c r="Q1389" i="5" s="1"/>
  <c r="K1388" i="5"/>
  <c r="P1388" i="5" s="1"/>
  <c r="L1388" i="5"/>
  <c r="Q1388" i="5" s="1"/>
  <c r="K1387" i="5"/>
  <c r="P1387" i="5" s="1"/>
  <c r="L1387" i="5"/>
  <c r="Q1387" i="5" s="1"/>
  <c r="K1386" i="5"/>
  <c r="P1386" i="5" s="1"/>
  <c r="L1386" i="5"/>
  <c r="Q1386" i="5" s="1"/>
  <c r="K1385" i="5"/>
  <c r="P1385" i="5" s="1"/>
  <c r="L1385" i="5"/>
  <c r="Q1385" i="5" s="1"/>
  <c r="K1384" i="5"/>
  <c r="P1384" i="5" s="1"/>
  <c r="L1384" i="5"/>
  <c r="Q1384" i="5" s="1"/>
  <c r="K1383" i="5"/>
  <c r="P1383" i="5" s="1"/>
  <c r="L1383" i="5"/>
  <c r="Q1383" i="5" s="1"/>
  <c r="K1382" i="5"/>
  <c r="P1382" i="5" s="1"/>
  <c r="L1382" i="5"/>
  <c r="Q1382" i="5" s="1"/>
  <c r="K1381" i="5"/>
  <c r="P1381" i="5" s="1"/>
  <c r="L1381" i="5"/>
  <c r="Q1381" i="5" s="1"/>
  <c r="K1380" i="5"/>
  <c r="P1380" i="5" s="1"/>
  <c r="L1380" i="5"/>
  <c r="Q1380" i="5" s="1"/>
  <c r="K1379" i="5"/>
  <c r="P1379" i="5" s="1"/>
  <c r="L1379" i="5"/>
  <c r="Q1379" i="5" s="1"/>
  <c r="K1378" i="5"/>
  <c r="P1378" i="5" s="1"/>
  <c r="L1378" i="5"/>
  <c r="Q1378" i="5" s="1"/>
  <c r="K1377" i="5"/>
  <c r="P1377" i="5" s="1"/>
  <c r="L1377" i="5"/>
  <c r="Q1377" i="5" s="1"/>
  <c r="K1376" i="5"/>
  <c r="P1376" i="5" s="1"/>
  <c r="L1376" i="5"/>
  <c r="Q1376" i="5" s="1"/>
  <c r="K1375" i="5"/>
  <c r="P1375" i="5" s="1"/>
  <c r="L1375" i="5"/>
  <c r="Q1375" i="5" s="1"/>
  <c r="K1374" i="5"/>
  <c r="P1374" i="5" s="1"/>
  <c r="L1374" i="5"/>
  <c r="Q1374" i="5" s="1"/>
  <c r="K1373" i="5"/>
  <c r="P1373" i="5" s="1"/>
  <c r="L1373" i="5"/>
  <c r="Q1373" i="5" s="1"/>
  <c r="K1372" i="5"/>
  <c r="P1372" i="5" s="1"/>
  <c r="L1372" i="5"/>
  <c r="Q1372" i="5" s="1"/>
  <c r="K1371" i="5"/>
  <c r="P1371" i="5" s="1"/>
  <c r="L1371" i="5"/>
  <c r="Q1371" i="5" s="1"/>
  <c r="K1370" i="5"/>
  <c r="P1370" i="5" s="1"/>
  <c r="L1370" i="5"/>
  <c r="Q1370" i="5" s="1"/>
  <c r="K1369" i="5"/>
  <c r="P1369" i="5" s="1"/>
  <c r="L1369" i="5"/>
  <c r="Q1369" i="5" s="1"/>
  <c r="K1368" i="5"/>
  <c r="P1368" i="5" s="1"/>
  <c r="L1368" i="5"/>
  <c r="Q1368" i="5" s="1"/>
  <c r="K1367" i="5"/>
  <c r="P1367" i="5" s="1"/>
  <c r="L1367" i="5"/>
  <c r="Q1367" i="5" s="1"/>
  <c r="K1366" i="5"/>
  <c r="P1366" i="5" s="1"/>
  <c r="L1366" i="5"/>
  <c r="Q1366" i="5" s="1"/>
  <c r="K1365" i="5"/>
  <c r="P1365" i="5" s="1"/>
  <c r="L1365" i="5"/>
  <c r="Q1365" i="5" s="1"/>
  <c r="K1364" i="5"/>
  <c r="P1364" i="5" s="1"/>
  <c r="L1364" i="5"/>
  <c r="Q1364" i="5" s="1"/>
  <c r="K1363" i="5"/>
  <c r="P1363" i="5" s="1"/>
  <c r="L1363" i="5"/>
  <c r="Q1363" i="5" s="1"/>
  <c r="K1362" i="5"/>
  <c r="P1362" i="5" s="1"/>
  <c r="L1362" i="5"/>
  <c r="Q1362" i="5" s="1"/>
  <c r="K1361" i="5"/>
  <c r="P1361" i="5" s="1"/>
  <c r="L1361" i="5"/>
  <c r="Q1361" i="5" s="1"/>
  <c r="K1360" i="5"/>
  <c r="P1360" i="5" s="1"/>
  <c r="L1360" i="5"/>
  <c r="Q1360" i="5" s="1"/>
  <c r="K1359" i="5"/>
  <c r="P1359" i="5" s="1"/>
  <c r="L1359" i="5"/>
  <c r="Q1359" i="5" s="1"/>
  <c r="K1358" i="5"/>
  <c r="P1358" i="5" s="1"/>
  <c r="L1358" i="5"/>
  <c r="Q1358" i="5" s="1"/>
  <c r="K1357" i="5"/>
  <c r="P1357" i="5" s="1"/>
  <c r="L1357" i="5"/>
  <c r="Q1357" i="5" s="1"/>
  <c r="K1356" i="5"/>
  <c r="P1356" i="5" s="1"/>
  <c r="L1356" i="5"/>
  <c r="Q1356" i="5" s="1"/>
  <c r="K1355" i="5"/>
  <c r="P1355" i="5" s="1"/>
  <c r="L1355" i="5"/>
  <c r="Q1355" i="5" s="1"/>
  <c r="K1354" i="5"/>
  <c r="P1354" i="5" s="1"/>
  <c r="L1354" i="5"/>
  <c r="Q1354" i="5" s="1"/>
  <c r="K1353" i="5"/>
  <c r="P1353" i="5" s="1"/>
  <c r="L1353" i="5"/>
  <c r="Q1353" i="5" s="1"/>
  <c r="K1352" i="5"/>
  <c r="P1352" i="5" s="1"/>
  <c r="L1352" i="5"/>
  <c r="Q1352" i="5" s="1"/>
  <c r="K1351" i="5"/>
  <c r="P1351" i="5" s="1"/>
  <c r="L1351" i="5"/>
  <c r="Q1351" i="5" s="1"/>
  <c r="K1350" i="5"/>
  <c r="P1350" i="5" s="1"/>
  <c r="L1350" i="5"/>
  <c r="Q1350" i="5" s="1"/>
  <c r="K1349" i="5"/>
  <c r="P1349" i="5" s="1"/>
  <c r="L1349" i="5"/>
  <c r="Q1349" i="5" s="1"/>
  <c r="K1348" i="5"/>
  <c r="P1348" i="5" s="1"/>
  <c r="L1348" i="5"/>
  <c r="Q1348" i="5" s="1"/>
  <c r="K1347" i="5"/>
  <c r="P1347" i="5" s="1"/>
  <c r="L1347" i="5"/>
  <c r="Q1347" i="5" s="1"/>
  <c r="K1346" i="5"/>
  <c r="P1346" i="5" s="1"/>
  <c r="L1346" i="5"/>
  <c r="Q1346" i="5" s="1"/>
  <c r="K1345" i="5"/>
  <c r="P1345" i="5" s="1"/>
  <c r="L1345" i="5"/>
  <c r="Q1345" i="5" s="1"/>
  <c r="K1344" i="5"/>
  <c r="P1344" i="5" s="1"/>
  <c r="L1344" i="5"/>
  <c r="Q1344" i="5" s="1"/>
  <c r="K1343" i="5"/>
  <c r="P1343" i="5" s="1"/>
  <c r="L1343" i="5"/>
  <c r="Q1343" i="5" s="1"/>
  <c r="K1342" i="5"/>
  <c r="P1342" i="5" s="1"/>
  <c r="L1342" i="5"/>
  <c r="Q1342" i="5" s="1"/>
  <c r="K1341" i="5"/>
  <c r="P1341" i="5" s="1"/>
  <c r="L1341" i="5"/>
  <c r="Q1341" i="5" s="1"/>
  <c r="K1340" i="5"/>
  <c r="P1340" i="5" s="1"/>
  <c r="L1340" i="5"/>
  <c r="Q1340" i="5" s="1"/>
  <c r="K1339" i="5"/>
  <c r="P1339" i="5" s="1"/>
  <c r="L1339" i="5"/>
  <c r="Q1339" i="5" s="1"/>
  <c r="K1338" i="5"/>
  <c r="P1338" i="5" s="1"/>
  <c r="L1338" i="5"/>
  <c r="Q1338" i="5" s="1"/>
  <c r="K1337" i="5"/>
  <c r="P1337" i="5" s="1"/>
  <c r="L1337" i="5"/>
  <c r="Q1337" i="5" s="1"/>
  <c r="K1336" i="5"/>
  <c r="P1336" i="5" s="1"/>
  <c r="L1336" i="5"/>
  <c r="Q1336" i="5" s="1"/>
  <c r="K1335" i="5"/>
  <c r="P1335" i="5" s="1"/>
  <c r="L1335" i="5"/>
  <c r="Q1335" i="5" s="1"/>
  <c r="K1334" i="5"/>
  <c r="P1334" i="5" s="1"/>
  <c r="L1334" i="5"/>
  <c r="Q1334" i="5" s="1"/>
  <c r="K1333" i="5"/>
  <c r="P1333" i="5" s="1"/>
  <c r="L1333" i="5"/>
  <c r="Q1333" i="5" s="1"/>
  <c r="K1332" i="5"/>
  <c r="P1332" i="5" s="1"/>
  <c r="L1332" i="5"/>
  <c r="Q1332" i="5" s="1"/>
  <c r="K1331" i="5"/>
  <c r="P1331" i="5" s="1"/>
  <c r="L1331" i="5"/>
  <c r="Q1331" i="5" s="1"/>
  <c r="K1330" i="5"/>
  <c r="P1330" i="5" s="1"/>
  <c r="L1330" i="5"/>
  <c r="Q1330" i="5" s="1"/>
  <c r="K1329" i="5"/>
  <c r="P1329" i="5" s="1"/>
  <c r="L1329" i="5"/>
  <c r="Q1329" i="5" s="1"/>
  <c r="K1328" i="5"/>
  <c r="P1328" i="5" s="1"/>
  <c r="L1328" i="5"/>
  <c r="Q1328" i="5" s="1"/>
  <c r="K1327" i="5"/>
  <c r="P1327" i="5" s="1"/>
  <c r="L1327" i="5"/>
  <c r="Q1327" i="5" s="1"/>
  <c r="K1326" i="5"/>
  <c r="P1326" i="5" s="1"/>
  <c r="L1326" i="5"/>
  <c r="Q1326" i="5" s="1"/>
  <c r="K1325" i="5"/>
  <c r="P1325" i="5" s="1"/>
  <c r="L1325" i="5"/>
  <c r="Q1325" i="5" s="1"/>
  <c r="K1324" i="5"/>
  <c r="P1324" i="5" s="1"/>
  <c r="L1324" i="5"/>
  <c r="Q1324" i="5" s="1"/>
  <c r="K1323" i="5"/>
  <c r="P1323" i="5" s="1"/>
  <c r="L1323" i="5"/>
  <c r="Q1323" i="5" s="1"/>
  <c r="K1322" i="5"/>
  <c r="P1322" i="5" s="1"/>
  <c r="L1322" i="5"/>
  <c r="Q1322" i="5" s="1"/>
  <c r="K1321" i="5"/>
  <c r="P1321" i="5" s="1"/>
  <c r="L1321" i="5"/>
  <c r="Q1321" i="5" s="1"/>
  <c r="K1320" i="5"/>
  <c r="P1320" i="5" s="1"/>
  <c r="L1320" i="5"/>
  <c r="Q1320" i="5" s="1"/>
  <c r="K1319" i="5"/>
  <c r="P1319" i="5" s="1"/>
  <c r="L1319" i="5"/>
  <c r="Q1319" i="5" s="1"/>
  <c r="K1318" i="5"/>
  <c r="P1318" i="5" s="1"/>
  <c r="L1318" i="5"/>
  <c r="Q1318" i="5" s="1"/>
  <c r="K1317" i="5"/>
  <c r="P1317" i="5" s="1"/>
  <c r="L1317" i="5"/>
  <c r="Q1317" i="5" s="1"/>
  <c r="K1316" i="5"/>
  <c r="P1316" i="5" s="1"/>
  <c r="L1316" i="5"/>
  <c r="Q1316" i="5" s="1"/>
  <c r="K1315" i="5"/>
  <c r="P1315" i="5" s="1"/>
  <c r="L1315" i="5"/>
  <c r="Q1315" i="5" s="1"/>
  <c r="K1314" i="5"/>
  <c r="P1314" i="5" s="1"/>
  <c r="L1314" i="5"/>
  <c r="Q1314" i="5" s="1"/>
  <c r="K1313" i="5"/>
  <c r="P1313" i="5" s="1"/>
  <c r="L1313" i="5"/>
  <c r="Q1313" i="5" s="1"/>
  <c r="K1312" i="5"/>
  <c r="P1312" i="5" s="1"/>
  <c r="L1312" i="5"/>
  <c r="Q1312" i="5" s="1"/>
  <c r="K1311" i="5"/>
  <c r="P1311" i="5" s="1"/>
  <c r="L1311" i="5"/>
  <c r="Q1311" i="5" s="1"/>
  <c r="K1310" i="5"/>
  <c r="P1310" i="5" s="1"/>
  <c r="L1310" i="5"/>
  <c r="Q1310" i="5" s="1"/>
  <c r="K1309" i="5"/>
  <c r="P1309" i="5" s="1"/>
  <c r="L1309" i="5"/>
  <c r="Q1309" i="5" s="1"/>
  <c r="K1308" i="5"/>
  <c r="P1308" i="5" s="1"/>
  <c r="L1308" i="5"/>
  <c r="Q1308" i="5" s="1"/>
  <c r="K1307" i="5"/>
  <c r="P1307" i="5" s="1"/>
  <c r="L1307" i="5"/>
  <c r="Q1307" i="5" s="1"/>
  <c r="K1306" i="5"/>
  <c r="P1306" i="5" s="1"/>
  <c r="L1306" i="5"/>
  <c r="Q1306" i="5" s="1"/>
  <c r="K1305" i="5"/>
  <c r="P1305" i="5" s="1"/>
  <c r="L1305" i="5"/>
  <c r="Q1305" i="5" s="1"/>
  <c r="K1304" i="5"/>
  <c r="P1304" i="5" s="1"/>
  <c r="L1304" i="5"/>
  <c r="Q1304" i="5" s="1"/>
  <c r="K1303" i="5"/>
  <c r="P1303" i="5" s="1"/>
  <c r="L1303" i="5"/>
  <c r="Q1303" i="5" s="1"/>
  <c r="K1302" i="5"/>
  <c r="P1302" i="5" s="1"/>
  <c r="L1302" i="5"/>
  <c r="Q1302" i="5" s="1"/>
  <c r="K1301" i="5"/>
  <c r="P1301" i="5" s="1"/>
  <c r="L1301" i="5"/>
  <c r="Q1301" i="5" s="1"/>
  <c r="K1300" i="5"/>
  <c r="P1300" i="5" s="1"/>
  <c r="L1300" i="5"/>
  <c r="Q1300" i="5" s="1"/>
  <c r="K1299" i="5"/>
  <c r="P1299" i="5" s="1"/>
  <c r="L1299" i="5"/>
  <c r="Q1299" i="5" s="1"/>
  <c r="K1298" i="5"/>
  <c r="P1298" i="5" s="1"/>
  <c r="L1298" i="5"/>
  <c r="Q1298" i="5" s="1"/>
  <c r="K1297" i="5"/>
  <c r="P1297" i="5" s="1"/>
  <c r="L1297" i="5"/>
  <c r="Q1297" i="5" s="1"/>
  <c r="K1296" i="5"/>
  <c r="P1296" i="5" s="1"/>
  <c r="L1296" i="5"/>
  <c r="Q1296" i="5" s="1"/>
  <c r="K1295" i="5"/>
  <c r="P1295" i="5" s="1"/>
  <c r="L1295" i="5"/>
  <c r="Q1295" i="5" s="1"/>
  <c r="K1294" i="5"/>
  <c r="P1294" i="5" s="1"/>
  <c r="L1294" i="5"/>
  <c r="Q1294" i="5" s="1"/>
  <c r="K1293" i="5"/>
  <c r="P1293" i="5" s="1"/>
  <c r="L1293" i="5"/>
  <c r="Q1293" i="5" s="1"/>
  <c r="K1292" i="5"/>
  <c r="P1292" i="5" s="1"/>
  <c r="L1292" i="5"/>
  <c r="Q1292" i="5" s="1"/>
  <c r="K1291" i="5"/>
  <c r="P1291" i="5" s="1"/>
  <c r="L1291" i="5"/>
  <c r="Q1291" i="5" s="1"/>
  <c r="K1290" i="5"/>
  <c r="P1290" i="5" s="1"/>
  <c r="L1290" i="5"/>
  <c r="Q1290" i="5" s="1"/>
  <c r="K1289" i="5"/>
  <c r="P1289" i="5" s="1"/>
  <c r="L1289" i="5"/>
  <c r="Q1289" i="5" s="1"/>
  <c r="K1288" i="5"/>
  <c r="P1288" i="5" s="1"/>
  <c r="L1288" i="5"/>
  <c r="Q1288" i="5" s="1"/>
  <c r="K1287" i="5"/>
  <c r="P1287" i="5" s="1"/>
  <c r="L1287" i="5"/>
  <c r="Q1287" i="5" s="1"/>
  <c r="K1286" i="5"/>
  <c r="P1286" i="5" s="1"/>
  <c r="L1286" i="5"/>
  <c r="Q1286" i="5" s="1"/>
  <c r="K1285" i="5"/>
  <c r="P1285" i="5" s="1"/>
  <c r="L1285" i="5"/>
  <c r="Q1285" i="5" s="1"/>
  <c r="K1284" i="5"/>
  <c r="P1284" i="5" s="1"/>
  <c r="L1284" i="5"/>
  <c r="Q1284" i="5" s="1"/>
  <c r="K1283" i="5"/>
  <c r="P1283" i="5" s="1"/>
  <c r="L1283" i="5"/>
  <c r="Q1283" i="5" s="1"/>
  <c r="K1282" i="5"/>
  <c r="P1282" i="5" s="1"/>
  <c r="L1282" i="5"/>
  <c r="Q1282" i="5" s="1"/>
  <c r="K1281" i="5"/>
  <c r="P1281" i="5" s="1"/>
  <c r="L1281" i="5"/>
  <c r="Q1281" i="5" s="1"/>
  <c r="K1280" i="5"/>
  <c r="P1280" i="5" s="1"/>
  <c r="L1280" i="5"/>
  <c r="Q1280" i="5" s="1"/>
  <c r="K1279" i="5"/>
  <c r="P1279" i="5" s="1"/>
  <c r="L1279" i="5"/>
  <c r="Q1279" i="5" s="1"/>
  <c r="K1278" i="5"/>
  <c r="P1278" i="5" s="1"/>
  <c r="L1278" i="5"/>
  <c r="Q1278" i="5" s="1"/>
  <c r="K1277" i="5"/>
  <c r="P1277" i="5" s="1"/>
  <c r="L1277" i="5"/>
  <c r="Q1277" i="5" s="1"/>
  <c r="K1276" i="5"/>
  <c r="P1276" i="5" s="1"/>
  <c r="L1276" i="5"/>
  <c r="Q1276" i="5" s="1"/>
  <c r="K1275" i="5"/>
  <c r="P1275" i="5" s="1"/>
  <c r="L1275" i="5"/>
  <c r="Q1275" i="5" s="1"/>
  <c r="K1274" i="5"/>
  <c r="P1274" i="5" s="1"/>
  <c r="L1274" i="5"/>
  <c r="Q1274" i="5" s="1"/>
  <c r="K1273" i="5"/>
  <c r="P1273" i="5" s="1"/>
  <c r="L1273" i="5"/>
  <c r="Q1273" i="5" s="1"/>
  <c r="K1272" i="5"/>
  <c r="P1272" i="5" s="1"/>
  <c r="L1272" i="5"/>
  <c r="Q1272" i="5" s="1"/>
  <c r="K1271" i="5"/>
  <c r="P1271" i="5" s="1"/>
  <c r="L1271" i="5"/>
  <c r="Q1271" i="5" s="1"/>
  <c r="K1270" i="5"/>
  <c r="P1270" i="5" s="1"/>
  <c r="L1270" i="5"/>
  <c r="Q1270" i="5" s="1"/>
  <c r="K1269" i="5"/>
  <c r="P1269" i="5" s="1"/>
  <c r="L1269" i="5"/>
  <c r="Q1269" i="5" s="1"/>
  <c r="K1268" i="5"/>
  <c r="P1268" i="5" s="1"/>
  <c r="L1268" i="5"/>
  <c r="Q1268" i="5" s="1"/>
  <c r="K1267" i="5"/>
  <c r="P1267" i="5" s="1"/>
  <c r="L1267" i="5"/>
  <c r="Q1267" i="5" s="1"/>
  <c r="K1266" i="5"/>
  <c r="P1266" i="5" s="1"/>
  <c r="L1266" i="5"/>
  <c r="Q1266" i="5" s="1"/>
  <c r="K1265" i="5"/>
  <c r="P1265" i="5" s="1"/>
  <c r="L1265" i="5"/>
  <c r="Q1265" i="5" s="1"/>
  <c r="K1264" i="5"/>
  <c r="P1264" i="5" s="1"/>
  <c r="L1264" i="5"/>
  <c r="Q1264" i="5" s="1"/>
  <c r="K1263" i="5"/>
  <c r="P1263" i="5" s="1"/>
  <c r="L1263" i="5"/>
  <c r="Q1263" i="5" s="1"/>
  <c r="K1262" i="5"/>
  <c r="P1262" i="5" s="1"/>
  <c r="L1262" i="5"/>
  <c r="Q1262" i="5" s="1"/>
  <c r="K1261" i="5"/>
  <c r="P1261" i="5" s="1"/>
  <c r="L1261" i="5"/>
  <c r="Q1261" i="5" s="1"/>
  <c r="K1260" i="5"/>
  <c r="P1260" i="5" s="1"/>
  <c r="L1260" i="5"/>
  <c r="Q1260" i="5" s="1"/>
  <c r="K1259" i="5"/>
  <c r="P1259" i="5" s="1"/>
  <c r="L1259" i="5"/>
  <c r="Q1259" i="5" s="1"/>
  <c r="K1258" i="5"/>
  <c r="P1258" i="5" s="1"/>
  <c r="L1258" i="5"/>
  <c r="Q1258" i="5" s="1"/>
  <c r="K1257" i="5"/>
  <c r="P1257" i="5" s="1"/>
  <c r="L1257" i="5"/>
  <c r="Q1257" i="5" s="1"/>
  <c r="K1256" i="5"/>
  <c r="P1256" i="5" s="1"/>
  <c r="L1256" i="5"/>
  <c r="Q1256" i="5" s="1"/>
  <c r="K1255" i="5"/>
  <c r="P1255" i="5" s="1"/>
  <c r="L1255" i="5"/>
  <c r="Q1255" i="5" s="1"/>
  <c r="K1254" i="5"/>
  <c r="P1254" i="5" s="1"/>
  <c r="L1254" i="5"/>
  <c r="Q1254" i="5" s="1"/>
  <c r="K1253" i="5"/>
  <c r="P1253" i="5" s="1"/>
  <c r="L1253" i="5"/>
  <c r="Q1253" i="5" s="1"/>
  <c r="K1252" i="5"/>
  <c r="P1252" i="5" s="1"/>
  <c r="L1252" i="5"/>
  <c r="Q1252" i="5" s="1"/>
  <c r="K1251" i="5"/>
  <c r="P1251" i="5" s="1"/>
  <c r="L1251" i="5"/>
  <c r="Q1251" i="5" s="1"/>
  <c r="K1250" i="5"/>
  <c r="P1250" i="5" s="1"/>
  <c r="L1250" i="5"/>
  <c r="Q1250" i="5" s="1"/>
  <c r="K1249" i="5"/>
  <c r="P1249" i="5" s="1"/>
  <c r="L1249" i="5"/>
  <c r="Q1249" i="5" s="1"/>
  <c r="K1248" i="5"/>
  <c r="P1248" i="5" s="1"/>
  <c r="L1248" i="5"/>
  <c r="Q1248" i="5" s="1"/>
  <c r="K1247" i="5"/>
  <c r="P1247" i="5" s="1"/>
  <c r="L1247" i="5"/>
  <c r="Q1247" i="5" s="1"/>
  <c r="K1246" i="5"/>
  <c r="P1246" i="5" s="1"/>
  <c r="L1246" i="5"/>
  <c r="Q1246" i="5" s="1"/>
  <c r="K1245" i="5"/>
  <c r="P1245" i="5" s="1"/>
  <c r="L1245" i="5"/>
  <c r="Q1245" i="5" s="1"/>
  <c r="K1244" i="5"/>
  <c r="P1244" i="5" s="1"/>
  <c r="L1244" i="5"/>
  <c r="Q1244" i="5" s="1"/>
  <c r="K1243" i="5"/>
  <c r="P1243" i="5" s="1"/>
  <c r="L1243" i="5"/>
  <c r="Q1243" i="5" s="1"/>
  <c r="K1242" i="5"/>
  <c r="P1242" i="5" s="1"/>
  <c r="L1242" i="5"/>
  <c r="Q1242" i="5" s="1"/>
  <c r="K1241" i="5"/>
  <c r="P1241" i="5" s="1"/>
  <c r="L1241" i="5"/>
  <c r="Q1241" i="5" s="1"/>
  <c r="K1240" i="5"/>
  <c r="P1240" i="5" s="1"/>
  <c r="L1240" i="5"/>
  <c r="Q1240" i="5" s="1"/>
  <c r="K1239" i="5"/>
  <c r="P1239" i="5" s="1"/>
  <c r="L1239" i="5"/>
  <c r="Q1239" i="5" s="1"/>
  <c r="K1238" i="5"/>
  <c r="P1238" i="5" s="1"/>
  <c r="L1238" i="5"/>
  <c r="Q1238" i="5" s="1"/>
  <c r="K1237" i="5"/>
  <c r="P1237" i="5" s="1"/>
  <c r="L1237" i="5"/>
  <c r="Q1237" i="5" s="1"/>
  <c r="K1236" i="5"/>
  <c r="P1236" i="5" s="1"/>
  <c r="L1236" i="5"/>
  <c r="Q1236" i="5" s="1"/>
  <c r="K1235" i="5"/>
  <c r="P1235" i="5" s="1"/>
  <c r="L1235" i="5"/>
  <c r="Q1235" i="5" s="1"/>
  <c r="K1234" i="5"/>
  <c r="P1234" i="5" s="1"/>
  <c r="L1234" i="5"/>
  <c r="Q1234" i="5" s="1"/>
  <c r="K1233" i="5"/>
  <c r="P1233" i="5" s="1"/>
  <c r="L1233" i="5"/>
  <c r="Q1233" i="5" s="1"/>
  <c r="K1232" i="5"/>
  <c r="P1232" i="5" s="1"/>
  <c r="L1232" i="5"/>
  <c r="Q1232" i="5" s="1"/>
  <c r="K1231" i="5"/>
  <c r="P1231" i="5" s="1"/>
  <c r="L1231" i="5"/>
  <c r="Q1231" i="5" s="1"/>
  <c r="K1230" i="5"/>
  <c r="P1230" i="5" s="1"/>
  <c r="L1230" i="5"/>
  <c r="Q1230" i="5" s="1"/>
  <c r="K1229" i="5"/>
  <c r="P1229" i="5" s="1"/>
  <c r="L1229" i="5"/>
  <c r="Q1229" i="5" s="1"/>
  <c r="K1228" i="5"/>
  <c r="P1228" i="5" s="1"/>
  <c r="L1228" i="5"/>
  <c r="Q1228" i="5" s="1"/>
  <c r="K1227" i="5"/>
  <c r="P1227" i="5" s="1"/>
  <c r="L1227" i="5"/>
  <c r="Q1227" i="5" s="1"/>
  <c r="K1226" i="5"/>
  <c r="P1226" i="5" s="1"/>
  <c r="L1226" i="5"/>
  <c r="Q1226" i="5" s="1"/>
  <c r="K1225" i="5"/>
  <c r="P1225" i="5" s="1"/>
  <c r="L1225" i="5"/>
  <c r="Q1225" i="5" s="1"/>
  <c r="K1224" i="5"/>
  <c r="P1224" i="5" s="1"/>
  <c r="L1224" i="5"/>
  <c r="Q1224" i="5" s="1"/>
  <c r="K1223" i="5"/>
  <c r="P1223" i="5" s="1"/>
  <c r="L1223" i="5"/>
  <c r="Q1223" i="5" s="1"/>
  <c r="K1222" i="5"/>
  <c r="P1222" i="5" s="1"/>
  <c r="L1222" i="5"/>
  <c r="Q1222" i="5" s="1"/>
  <c r="K1221" i="5"/>
  <c r="P1221" i="5" s="1"/>
  <c r="L1221" i="5"/>
  <c r="Q1221" i="5" s="1"/>
  <c r="K1220" i="5"/>
  <c r="P1220" i="5" s="1"/>
  <c r="L1220" i="5"/>
  <c r="Q1220" i="5" s="1"/>
  <c r="K1219" i="5"/>
  <c r="P1219" i="5" s="1"/>
  <c r="L1219" i="5"/>
  <c r="Q1219" i="5" s="1"/>
  <c r="K1218" i="5"/>
  <c r="P1218" i="5" s="1"/>
  <c r="L1218" i="5"/>
  <c r="Q1218" i="5" s="1"/>
  <c r="K1217" i="5"/>
  <c r="P1217" i="5" s="1"/>
  <c r="L1217" i="5"/>
  <c r="Q1217" i="5" s="1"/>
  <c r="K1216" i="5"/>
  <c r="P1216" i="5" s="1"/>
  <c r="L1216" i="5"/>
  <c r="Q1216" i="5" s="1"/>
  <c r="K1215" i="5"/>
  <c r="P1215" i="5" s="1"/>
  <c r="L1215" i="5"/>
  <c r="Q1215" i="5" s="1"/>
  <c r="K1214" i="5"/>
  <c r="P1214" i="5" s="1"/>
  <c r="L1214" i="5"/>
  <c r="Q1214" i="5" s="1"/>
  <c r="K1213" i="5"/>
  <c r="P1213" i="5" s="1"/>
  <c r="L1213" i="5"/>
  <c r="Q1213" i="5" s="1"/>
  <c r="K1212" i="5"/>
  <c r="P1212" i="5" s="1"/>
  <c r="L1212" i="5"/>
  <c r="Q1212" i="5" s="1"/>
  <c r="K1211" i="5"/>
  <c r="P1211" i="5" s="1"/>
  <c r="L1211" i="5"/>
  <c r="Q1211" i="5" s="1"/>
  <c r="K1210" i="5"/>
  <c r="P1210" i="5" s="1"/>
  <c r="L1210" i="5"/>
  <c r="Q1210" i="5" s="1"/>
  <c r="K1209" i="5"/>
  <c r="P1209" i="5" s="1"/>
  <c r="L1209" i="5"/>
  <c r="Q1209" i="5" s="1"/>
  <c r="K1208" i="5"/>
  <c r="P1208" i="5" s="1"/>
  <c r="L1208" i="5"/>
  <c r="Q1208" i="5" s="1"/>
  <c r="K1207" i="5"/>
  <c r="P1207" i="5" s="1"/>
  <c r="L1207" i="5"/>
  <c r="Q1207" i="5" s="1"/>
  <c r="K1206" i="5"/>
  <c r="P1206" i="5" s="1"/>
  <c r="L1206" i="5"/>
  <c r="Q1206" i="5" s="1"/>
  <c r="K1205" i="5"/>
  <c r="P1205" i="5" s="1"/>
  <c r="L1205" i="5"/>
  <c r="Q1205" i="5" s="1"/>
  <c r="K1204" i="5"/>
  <c r="P1204" i="5" s="1"/>
  <c r="L1204" i="5"/>
  <c r="Q1204" i="5" s="1"/>
  <c r="K1203" i="5"/>
  <c r="P1203" i="5" s="1"/>
  <c r="L1203" i="5"/>
  <c r="Q1203" i="5" s="1"/>
  <c r="K1202" i="5"/>
  <c r="P1202" i="5" s="1"/>
  <c r="L1202" i="5"/>
  <c r="Q1202" i="5" s="1"/>
  <c r="K1201" i="5"/>
  <c r="P1201" i="5" s="1"/>
  <c r="L1201" i="5"/>
  <c r="Q1201" i="5" s="1"/>
  <c r="K1200" i="5"/>
  <c r="P1200" i="5" s="1"/>
  <c r="L1200" i="5"/>
  <c r="Q1200" i="5" s="1"/>
  <c r="K1199" i="5"/>
  <c r="P1199" i="5" s="1"/>
  <c r="L1199" i="5"/>
  <c r="Q1199" i="5" s="1"/>
  <c r="K1198" i="5"/>
  <c r="P1198" i="5" s="1"/>
  <c r="L1198" i="5"/>
  <c r="Q1198" i="5" s="1"/>
  <c r="K1197" i="5"/>
  <c r="P1197" i="5" s="1"/>
  <c r="L1197" i="5"/>
  <c r="Q1197" i="5" s="1"/>
  <c r="K1196" i="5"/>
  <c r="P1196" i="5" s="1"/>
  <c r="L1196" i="5"/>
  <c r="Q1196" i="5" s="1"/>
  <c r="K1195" i="5"/>
  <c r="P1195" i="5" s="1"/>
  <c r="L1195" i="5"/>
  <c r="Q1195" i="5" s="1"/>
  <c r="K1194" i="5"/>
  <c r="P1194" i="5" s="1"/>
  <c r="L1194" i="5"/>
  <c r="Q1194" i="5" s="1"/>
  <c r="K1193" i="5"/>
  <c r="P1193" i="5" s="1"/>
  <c r="L1193" i="5"/>
  <c r="Q1193" i="5" s="1"/>
  <c r="K1192" i="5"/>
  <c r="P1192" i="5" s="1"/>
  <c r="L1192" i="5"/>
  <c r="Q1192" i="5" s="1"/>
  <c r="K1191" i="5"/>
  <c r="P1191" i="5" s="1"/>
  <c r="L1191" i="5"/>
  <c r="Q1191" i="5" s="1"/>
  <c r="K1190" i="5"/>
  <c r="P1190" i="5" s="1"/>
  <c r="L1190" i="5"/>
  <c r="Q1190" i="5" s="1"/>
  <c r="K1189" i="5"/>
  <c r="P1189" i="5" s="1"/>
  <c r="L1189" i="5"/>
  <c r="Q1189" i="5" s="1"/>
  <c r="K1188" i="5"/>
  <c r="P1188" i="5" s="1"/>
  <c r="L1188" i="5"/>
  <c r="Q1188" i="5" s="1"/>
  <c r="K1187" i="5"/>
  <c r="P1187" i="5" s="1"/>
  <c r="L1187" i="5"/>
  <c r="Q1187" i="5" s="1"/>
  <c r="K1186" i="5"/>
  <c r="P1186" i="5" s="1"/>
  <c r="L1186" i="5"/>
  <c r="Q1186" i="5" s="1"/>
  <c r="K1185" i="5"/>
  <c r="P1185" i="5" s="1"/>
  <c r="L1185" i="5"/>
  <c r="Q1185" i="5" s="1"/>
  <c r="K1184" i="5"/>
  <c r="P1184" i="5" s="1"/>
  <c r="L1184" i="5"/>
  <c r="Q1184" i="5" s="1"/>
  <c r="K1183" i="5"/>
  <c r="P1183" i="5" s="1"/>
  <c r="L1183" i="5"/>
  <c r="Q1183" i="5" s="1"/>
  <c r="K1182" i="5"/>
  <c r="P1182" i="5" s="1"/>
  <c r="L1182" i="5"/>
  <c r="Q1182" i="5" s="1"/>
  <c r="K1181" i="5"/>
  <c r="P1181" i="5" s="1"/>
  <c r="L1181" i="5"/>
  <c r="Q1181" i="5" s="1"/>
  <c r="K1180" i="5"/>
  <c r="P1180" i="5" s="1"/>
  <c r="L1180" i="5"/>
  <c r="Q1180" i="5" s="1"/>
  <c r="K1179" i="5"/>
  <c r="P1179" i="5" s="1"/>
  <c r="L1179" i="5"/>
  <c r="Q1179" i="5" s="1"/>
  <c r="K1178" i="5"/>
  <c r="P1178" i="5" s="1"/>
  <c r="L1178" i="5"/>
  <c r="Q1178" i="5" s="1"/>
  <c r="K1177" i="5"/>
  <c r="P1177" i="5" s="1"/>
  <c r="L1177" i="5"/>
  <c r="Q1177" i="5" s="1"/>
  <c r="K1176" i="5"/>
  <c r="P1176" i="5" s="1"/>
  <c r="L1176" i="5"/>
  <c r="Q1176" i="5" s="1"/>
  <c r="K1175" i="5"/>
  <c r="P1175" i="5" s="1"/>
  <c r="L1175" i="5"/>
  <c r="Q1175" i="5" s="1"/>
  <c r="K1174" i="5"/>
  <c r="P1174" i="5" s="1"/>
  <c r="L1174" i="5"/>
  <c r="Q1174" i="5" s="1"/>
  <c r="K1173" i="5"/>
  <c r="P1173" i="5" s="1"/>
  <c r="L1173" i="5"/>
  <c r="Q1173" i="5" s="1"/>
  <c r="K1172" i="5"/>
  <c r="P1172" i="5" s="1"/>
  <c r="L1172" i="5"/>
  <c r="Q1172" i="5" s="1"/>
  <c r="K1171" i="5"/>
  <c r="P1171" i="5" s="1"/>
  <c r="L1171" i="5"/>
  <c r="Q1171" i="5" s="1"/>
  <c r="K1170" i="5"/>
  <c r="P1170" i="5" s="1"/>
  <c r="L1170" i="5"/>
  <c r="Q1170" i="5" s="1"/>
  <c r="K1169" i="5"/>
  <c r="P1169" i="5" s="1"/>
  <c r="L1169" i="5"/>
  <c r="Q1169" i="5" s="1"/>
  <c r="K1168" i="5"/>
  <c r="P1168" i="5" s="1"/>
  <c r="L1168" i="5"/>
  <c r="Q1168" i="5" s="1"/>
  <c r="K1167" i="5"/>
  <c r="P1167" i="5" s="1"/>
  <c r="L1167" i="5"/>
  <c r="Q1167" i="5" s="1"/>
  <c r="K1166" i="5"/>
  <c r="P1166" i="5" s="1"/>
  <c r="L1166" i="5"/>
  <c r="Q1166" i="5" s="1"/>
  <c r="K1165" i="5"/>
  <c r="P1165" i="5" s="1"/>
  <c r="L1165" i="5"/>
  <c r="Q1165" i="5" s="1"/>
  <c r="K1164" i="5"/>
  <c r="P1164" i="5" s="1"/>
  <c r="L1164" i="5"/>
  <c r="Q1164" i="5" s="1"/>
  <c r="K1163" i="5"/>
  <c r="P1163" i="5" s="1"/>
  <c r="L1163" i="5"/>
  <c r="Q1163" i="5" s="1"/>
  <c r="K1162" i="5"/>
  <c r="P1162" i="5" s="1"/>
  <c r="L1162" i="5"/>
  <c r="Q1162" i="5" s="1"/>
  <c r="K1161" i="5"/>
  <c r="P1161" i="5" s="1"/>
  <c r="L1161" i="5"/>
  <c r="Q1161" i="5" s="1"/>
  <c r="K1160" i="5"/>
  <c r="P1160" i="5" s="1"/>
  <c r="L1160" i="5"/>
  <c r="Q1160" i="5" s="1"/>
  <c r="K1159" i="5"/>
  <c r="P1159" i="5" s="1"/>
  <c r="L1159" i="5"/>
  <c r="Q1159" i="5" s="1"/>
  <c r="K1158" i="5"/>
  <c r="P1158" i="5" s="1"/>
  <c r="L1158" i="5"/>
  <c r="Q1158" i="5" s="1"/>
  <c r="K1157" i="5"/>
  <c r="P1157" i="5" s="1"/>
  <c r="L1157" i="5"/>
  <c r="Q1157" i="5" s="1"/>
  <c r="K1156" i="5"/>
  <c r="P1156" i="5" s="1"/>
  <c r="L1156" i="5"/>
  <c r="Q1156" i="5" s="1"/>
  <c r="K1155" i="5"/>
  <c r="P1155" i="5" s="1"/>
  <c r="L1155" i="5"/>
  <c r="Q1155" i="5" s="1"/>
  <c r="K1154" i="5"/>
  <c r="P1154" i="5" s="1"/>
  <c r="L1154" i="5"/>
  <c r="Q1154" i="5" s="1"/>
  <c r="K1153" i="5"/>
  <c r="P1153" i="5" s="1"/>
  <c r="L1153" i="5"/>
  <c r="Q1153" i="5" s="1"/>
  <c r="K1152" i="5"/>
  <c r="P1152" i="5" s="1"/>
  <c r="L1152" i="5"/>
  <c r="Q1152" i="5" s="1"/>
  <c r="K1151" i="5"/>
  <c r="P1151" i="5" s="1"/>
  <c r="L1151" i="5"/>
  <c r="Q1151" i="5" s="1"/>
  <c r="K1150" i="5"/>
  <c r="P1150" i="5" s="1"/>
  <c r="L1150" i="5"/>
  <c r="Q1150" i="5" s="1"/>
  <c r="K1149" i="5"/>
  <c r="P1149" i="5" s="1"/>
  <c r="L1149" i="5"/>
  <c r="Q1149" i="5" s="1"/>
  <c r="K1148" i="5"/>
  <c r="P1148" i="5" s="1"/>
  <c r="L1148" i="5"/>
  <c r="Q1148" i="5" s="1"/>
  <c r="K1147" i="5"/>
  <c r="P1147" i="5" s="1"/>
  <c r="L1147" i="5"/>
  <c r="Q1147" i="5" s="1"/>
  <c r="K1146" i="5"/>
  <c r="P1146" i="5" s="1"/>
  <c r="L1146" i="5"/>
  <c r="Q1146" i="5" s="1"/>
  <c r="K1145" i="5"/>
  <c r="P1145" i="5" s="1"/>
  <c r="L1145" i="5"/>
  <c r="Q1145" i="5" s="1"/>
  <c r="K1144" i="5"/>
  <c r="P1144" i="5" s="1"/>
  <c r="L1144" i="5"/>
  <c r="Q1144" i="5" s="1"/>
  <c r="K1143" i="5"/>
  <c r="P1143" i="5" s="1"/>
  <c r="L1143" i="5"/>
  <c r="Q1143" i="5" s="1"/>
  <c r="K1142" i="5"/>
  <c r="P1142" i="5" s="1"/>
  <c r="L1142" i="5"/>
  <c r="Q1142" i="5" s="1"/>
  <c r="K1141" i="5"/>
  <c r="P1141" i="5" s="1"/>
  <c r="L1141" i="5"/>
  <c r="Q1141" i="5" s="1"/>
  <c r="K1140" i="5"/>
  <c r="P1140" i="5" s="1"/>
  <c r="L1140" i="5"/>
  <c r="Q1140" i="5" s="1"/>
  <c r="K1139" i="5"/>
  <c r="P1139" i="5" s="1"/>
  <c r="L1139" i="5"/>
  <c r="Q1139" i="5" s="1"/>
  <c r="K1138" i="5"/>
  <c r="P1138" i="5" s="1"/>
  <c r="L1138" i="5"/>
  <c r="Q1138" i="5" s="1"/>
  <c r="K1137" i="5"/>
  <c r="P1137" i="5" s="1"/>
  <c r="L1137" i="5"/>
  <c r="Q1137" i="5" s="1"/>
  <c r="K1136" i="5"/>
  <c r="P1136" i="5" s="1"/>
  <c r="L1136" i="5"/>
  <c r="Q1136" i="5" s="1"/>
  <c r="K1135" i="5"/>
  <c r="P1135" i="5" s="1"/>
  <c r="L1135" i="5"/>
  <c r="Q1135" i="5" s="1"/>
  <c r="K1134" i="5"/>
  <c r="P1134" i="5" s="1"/>
  <c r="L1134" i="5"/>
  <c r="Q1134" i="5" s="1"/>
  <c r="K1133" i="5"/>
  <c r="P1133" i="5" s="1"/>
  <c r="L1133" i="5"/>
  <c r="Q1133" i="5" s="1"/>
  <c r="K1132" i="5"/>
  <c r="P1132" i="5" s="1"/>
  <c r="L1132" i="5"/>
  <c r="Q1132" i="5" s="1"/>
  <c r="K1131" i="5"/>
  <c r="P1131" i="5" s="1"/>
  <c r="L1131" i="5"/>
  <c r="Q1131" i="5" s="1"/>
  <c r="K1130" i="5"/>
  <c r="P1130" i="5" s="1"/>
  <c r="L1130" i="5"/>
  <c r="Q1130" i="5" s="1"/>
  <c r="K1129" i="5"/>
  <c r="P1129" i="5" s="1"/>
  <c r="L1129" i="5"/>
  <c r="Q1129" i="5" s="1"/>
  <c r="K1128" i="5"/>
  <c r="P1128" i="5" s="1"/>
  <c r="L1128" i="5"/>
  <c r="Q1128" i="5" s="1"/>
  <c r="K1127" i="5"/>
  <c r="P1127" i="5" s="1"/>
  <c r="L1127" i="5"/>
  <c r="Q1127" i="5" s="1"/>
  <c r="K1126" i="5"/>
  <c r="P1126" i="5" s="1"/>
  <c r="L1126" i="5"/>
  <c r="Q1126" i="5" s="1"/>
  <c r="K1125" i="5"/>
  <c r="P1125" i="5" s="1"/>
  <c r="L1125" i="5"/>
  <c r="Q1125" i="5" s="1"/>
  <c r="K1124" i="5"/>
  <c r="P1124" i="5" s="1"/>
  <c r="L1124" i="5"/>
  <c r="Q1124" i="5" s="1"/>
  <c r="K1123" i="5"/>
  <c r="P1123" i="5" s="1"/>
  <c r="L1123" i="5"/>
  <c r="Q1123" i="5" s="1"/>
  <c r="K1122" i="5"/>
  <c r="P1122" i="5" s="1"/>
  <c r="L1122" i="5"/>
  <c r="Q1122" i="5" s="1"/>
  <c r="K1121" i="5"/>
  <c r="P1121" i="5" s="1"/>
  <c r="L1121" i="5"/>
  <c r="Q1121" i="5" s="1"/>
  <c r="K1120" i="5"/>
  <c r="P1120" i="5" s="1"/>
  <c r="L1120" i="5"/>
  <c r="Q1120" i="5" s="1"/>
  <c r="K1119" i="5"/>
  <c r="P1119" i="5" s="1"/>
  <c r="L1119" i="5"/>
  <c r="Q1119" i="5" s="1"/>
  <c r="K1118" i="5"/>
  <c r="P1118" i="5" s="1"/>
  <c r="L1118" i="5"/>
  <c r="Q1118" i="5" s="1"/>
  <c r="K1117" i="5"/>
  <c r="P1117" i="5" s="1"/>
  <c r="L1117" i="5"/>
  <c r="Q1117" i="5" s="1"/>
  <c r="K1116" i="5"/>
  <c r="P1116" i="5" s="1"/>
  <c r="L1116" i="5"/>
  <c r="Q1116" i="5" s="1"/>
  <c r="K1115" i="5"/>
  <c r="P1115" i="5" s="1"/>
  <c r="L1115" i="5"/>
  <c r="Q1115" i="5" s="1"/>
  <c r="K1114" i="5"/>
  <c r="P1114" i="5" s="1"/>
  <c r="L1114" i="5"/>
  <c r="Q1114" i="5" s="1"/>
  <c r="K1113" i="5"/>
  <c r="P1113" i="5" s="1"/>
  <c r="L1113" i="5"/>
  <c r="Q1113" i="5" s="1"/>
  <c r="K1112" i="5"/>
  <c r="P1112" i="5" s="1"/>
  <c r="L1112" i="5"/>
  <c r="Q1112" i="5" s="1"/>
  <c r="K1111" i="5"/>
  <c r="P1111" i="5" s="1"/>
  <c r="L1111" i="5"/>
  <c r="Q1111" i="5" s="1"/>
  <c r="K1110" i="5"/>
  <c r="P1110" i="5" s="1"/>
  <c r="L1110" i="5"/>
  <c r="Q1110" i="5" s="1"/>
  <c r="K1109" i="5"/>
  <c r="P1109" i="5" s="1"/>
  <c r="L1109" i="5"/>
  <c r="Q1109" i="5" s="1"/>
  <c r="K1108" i="5"/>
  <c r="P1108" i="5" s="1"/>
  <c r="L1108" i="5"/>
  <c r="Q1108" i="5" s="1"/>
  <c r="K1107" i="5"/>
  <c r="P1107" i="5" s="1"/>
  <c r="L1107" i="5"/>
  <c r="Q1107" i="5" s="1"/>
  <c r="K1106" i="5"/>
  <c r="P1106" i="5" s="1"/>
  <c r="L1106" i="5"/>
  <c r="Q1106" i="5" s="1"/>
  <c r="K1105" i="5"/>
  <c r="P1105" i="5" s="1"/>
  <c r="L1105" i="5"/>
  <c r="Q1105" i="5" s="1"/>
  <c r="K1104" i="5"/>
  <c r="P1104" i="5" s="1"/>
  <c r="L1104" i="5"/>
  <c r="Q1104" i="5" s="1"/>
  <c r="K1103" i="5"/>
  <c r="P1103" i="5" s="1"/>
  <c r="L1103" i="5"/>
  <c r="Q1103" i="5" s="1"/>
  <c r="K1102" i="5"/>
  <c r="P1102" i="5" s="1"/>
  <c r="L1102" i="5"/>
  <c r="Q1102" i="5" s="1"/>
  <c r="K1101" i="5"/>
  <c r="P1101" i="5" s="1"/>
  <c r="L1101" i="5"/>
  <c r="Q1101" i="5" s="1"/>
  <c r="K1100" i="5"/>
  <c r="P1100" i="5" s="1"/>
  <c r="L1100" i="5"/>
  <c r="Q1100" i="5" s="1"/>
  <c r="K1099" i="5"/>
  <c r="P1099" i="5" s="1"/>
  <c r="L1099" i="5"/>
  <c r="Q1099" i="5" s="1"/>
  <c r="K1098" i="5"/>
  <c r="P1098" i="5" s="1"/>
  <c r="L1098" i="5"/>
  <c r="Q1098" i="5" s="1"/>
  <c r="K1097" i="5"/>
  <c r="P1097" i="5" s="1"/>
  <c r="L1097" i="5"/>
  <c r="Q1097" i="5" s="1"/>
  <c r="K1096" i="5"/>
  <c r="P1096" i="5" s="1"/>
  <c r="L1096" i="5"/>
  <c r="Q1096" i="5" s="1"/>
  <c r="K1095" i="5"/>
  <c r="P1095" i="5" s="1"/>
  <c r="L1095" i="5"/>
  <c r="Q1095" i="5" s="1"/>
  <c r="K1094" i="5"/>
  <c r="P1094" i="5" s="1"/>
  <c r="L1094" i="5"/>
  <c r="Q1094" i="5" s="1"/>
  <c r="K1093" i="5"/>
  <c r="P1093" i="5" s="1"/>
  <c r="L1093" i="5"/>
  <c r="Q1093" i="5" s="1"/>
  <c r="K1092" i="5"/>
  <c r="P1092" i="5" s="1"/>
  <c r="L1092" i="5"/>
  <c r="Q1092" i="5" s="1"/>
  <c r="K1091" i="5"/>
  <c r="P1091" i="5" s="1"/>
  <c r="L1091" i="5"/>
  <c r="Q1091" i="5" s="1"/>
  <c r="K1090" i="5"/>
  <c r="P1090" i="5" s="1"/>
  <c r="L1090" i="5"/>
  <c r="Q1090" i="5" s="1"/>
  <c r="K1089" i="5"/>
  <c r="P1089" i="5" s="1"/>
  <c r="L1089" i="5"/>
  <c r="Q1089" i="5" s="1"/>
  <c r="K1088" i="5"/>
  <c r="P1088" i="5" s="1"/>
  <c r="L1088" i="5"/>
  <c r="Q1088" i="5" s="1"/>
  <c r="K1087" i="5"/>
  <c r="P1087" i="5" s="1"/>
  <c r="L1087" i="5"/>
  <c r="Q1087" i="5" s="1"/>
  <c r="K1086" i="5"/>
  <c r="P1086" i="5" s="1"/>
  <c r="L1086" i="5"/>
  <c r="Q1086" i="5" s="1"/>
  <c r="L1085" i="5"/>
  <c r="Q1085" i="5" s="1"/>
  <c r="K1085" i="5"/>
  <c r="P1085" i="5" s="1"/>
  <c r="K1084" i="5"/>
  <c r="P1084" i="5" s="1"/>
  <c r="L1084" i="5"/>
  <c r="Q1084" i="5" s="1"/>
  <c r="K1083" i="5"/>
  <c r="P1083" i="5" s="1"/>
  <c r="L1083" i="5"/>
  <c r="Q1083" i="5" s="1"/>
  <c r="K1082" i="5"/>
  <c r="P1082" i="5" s="1"/>
  <c r="L1082" i="5"/>
  <c r="Q1082" i="5" s="1"/>
  <c r="K1081" i="5"/>
  <c r="P1081" i="5" s="1"/>
  <c r="L1081" i="5"/>
  <c r="Q1081" i="5" s="1"/>
  <c r="K1080" i="5"/>
  <c r="P1080" i="5" s="1"/>
  <c r="L1080" i="5"/>
  <c r="Q1080" i="5" s="1"/>
  <c r="K1079" i="5"/>
  <c r="P1079" i="5" s="1"/>
  <c r="L1079" i="5"/>
  <c r="Q1079" i="5" s="1"/>
  <c r="K1078" i="5"/>
  <c r="P1078" i="5" s="1"/>
  <c r="L1078" i="5"/>
  <c r="Q1078" i="5" s="1"/>
  <c r="K1077" i="5"/>
  <c r="P1077" i="5" s="1"/>
  <c r="L1077" i="5"/>
  <c r="Q1077" i="5" s="1"/>
  <c r="K1076" i="5"/>
  <c r="P1076" i="5" s="1"/>
  <c r="L1076" i="5"/>
  <c r="Q1076" i="5" s="1"/>
  <c r="K1075" i="5"/>
  <c r="P1075" i="5" s="1"/>
  <c r="L1075" i="5"/>
  <c r="Q1075" i="5" s="1"/>
  <c r="K1074" i="5"/>
  <c r="P1074" i="5" s="1"/>
  <c r="L1074" i="5"/>
  <c r="Q1074" i="5" s="1"/>
  <c r="K1073" i="5"/>
  <c r="P1073" i="5" s="1"/>
  <c r="L1073" i="5"/>
  <c r="Q1073" i="5" s="1"/>
  <c r="K1072" i="5"/>
  <c r="P1072" i="5" s="1"/>
  <c r="L1072" i="5"/>
  <c r="Q1072" i="5" s="1"/>
  <c r="K1071" i="5"/>
  <c r="P1071" i="5" s="1"/>
  <c r="L1071" i="5"/>
  <c r="Q1071" i="5" s="1"/>
  <c r="K1070" i="5"/>
  <c r="P1070" i="5" s="1"/>
  <c r="L1070" i="5"/>
  <c r="Q1070" i="5" s="1"/>
  <c r="K1069" i="5"/>
  <c r="P1069" i="5" s="1"/>
  <c r="L1069" i="5"/>
  <c r="Q1069" i="5" s="1"/>
  <c r="K1068" i="5"/>
  <c r="P1068" i="5" s="1"/>
  <c r="L1068" i="5"/>
  <c r="Q1068" i="5" s="1"/>
  <c r="K1067" i="5"/>
  <c r="P1067" i="5" s="1"/>
  <c r="L1067" i="5"/>
  <c r="Q1067" i="5" s="1"/>
  <c r="K1066" i="5"/>
  <c r="P1066" i="5" s="1"/>
  <c r="L1066" i="5"/>
  <c r="Q1066" i="5" s="1"/>
  <c r="K1065" i="5"/>
  <c r="P1065" i="5" s="1"/>
  <c r="L1065" i="5"/>
  <c r="Q1065" i="5" s="1"/>
  <c r="K1064" i="5"/>
  <c r="P1064" i="5" s="1"/>
  <c r="L1064" i="5"/>
  <c r="Q1064" i="5" s="1"/>
  <c r="K1063" i="5"/>
  <c r="P1063" i="5" s="1"/>
  <c r="L1063" i="5"/>
  <c r="Q1063" i="5" s="1"/>
  <c r="K1062" i="5"/>
  <c r="P1062" i="5" s="1"/>
  <c r="L1062" i="5"/>
  <c r="Q1062" i="5" s="1"/>
  <c r="K1061" i="5"/>
  <c r="P1061" i="5" s="1"/>
  <c r="L1061" i="5"/>
  <c r="Q1061" i="5" s="1"/>
  <c r="K1060" i="5"/>
  <c r="P1060" i="5" s="1"/>
  <c r="L1060" i="5"/>
  <c r="Q1060" i="5" s="1"/>
  <c r="K1059" i="5"/>
  <c r="P1059" i="5" s="1"/>
  <c r="L1059" i="5"/>
  <c r="Q1059" i="5" s="1"/>
  <c r="K1058" i="5"/>
  <c r="P1058" i="5" s="1"/>
  <c r="L1058" i="5"/>
  <c r="Q1058" i="5" s="1"/>
  <c r="K1057" i="5"/>
  <c r="P1057" i="5" s="1"/>
  <c r="L1057" i="5"/>
  <c r="Q1057" i="5" s="1"/>
  <c r="K1056" i="5"/>
  <c r="P1056" i="5" s="1"/>
  <c r="L1056" i="5"/>
  <c r="Q1056" i="5" s="1"/>
  <c r="K1055" i="5"/>
  <c r="P1055" i="5" s="1"/>
  <c r="L1055" i="5"/>
  <c r="Q1055" i="5" s="1"/>
  <c r="K1054" i="5"/>
  <c r="P1054" i="5" s="1"/>
  <c r="L1054" i="5"/>
  <c r="Q1054" i="5" s="1"/>
  <c r="K1053" i="5"/>
  <c r="P1053" i="5" s="1"/>
  <c r="L1053" i="5"/>
  <c r="Q1053" i="5" s="1"/>
  <c r="K1052" i="5"/>
  <c r="P1052" i="5" s="1"/>
  <c r="L1052" i="5"/>
  <c r="Q1052" i="5" s="1"/>
  <c r="K1051" i="5"/>
  <c r="P1051" i="5" s="1"/>
  <c r="L1051" i="5"/>
  <c r="Q1051" i="5" s="1"/>
  <c r="K1050" i="5"/>
  <c r="P1050" i="5" s="1"/>
  <c r="L1050" i="5"/>
  <c r="Q1050" i="5" s="1"/>
  <c r="K1049" i="5"/>
  <c r="P1049" i="5" s="1"/>
  <c r="L1049" i="5"/>
  <c r="Q1049" i="5" s="1"/>
  <c r="K1048" i="5"/>
  <c r="P1048" i="5" s="1"/>
  <c r="L1048" i="5"/>
  <c r="Q1048" i="5" s="1"/>
  <c r="K1047" i="5"/>
  <c r="P1047" i="5" s="1"/>
  <c r="L1047" i="5"/>
  <c r="Q1047" i="5" s="1"/>
  <c r="K1046" i="5"/>
  <c r="P1046" i="5" s="1"/>
  <c r="L1046" i="5"/>
  <c r="Q1046" i="5" s="1"/>
  <c r="K1045" i="5"/>
  <c r="P1045" i="5" s="1"/>
  <c r="L1045" i="5"/>
  <c r="Q1045" i="5" s="1"/>
  <c r="K1044" i="5"/>
  <c r="P1044" i="5" s="1"/>
  <c r="L1044" i="5"/>
  <c r="Q1044" i="5" s="1"/>
  <c r="K1043" i="5"/>
  <c r="P1043" i="5" s="1"/>
  <c r="L1043" i="5"/>
  <c r="Q1043" i="5" s="1"/>
  <c r="K1042" i="5"/>
  <c r="P1042" i="5" s="1"/>
  <c r="L1042" i="5"/>
  <c r="Q1042" i="5" s="1"/>
  <c r="K1041" i="5"/>
  <c r="P1041" i="5" s="1"/>
  <c r="L1041" i="5"/>
  <c r="Q1041" i="5" s="1"/>
  <c r="K1040" i="5"/>
  <c r="P1040" i="5" s="1"/>
  <c r="L1040" i="5"/>
  <c r="Q1040" i="5" s="1"/>
  <c r="K1039" i="5"/>
  <c r="P1039" i="5" s="1"/>
  <c r="L1039" i="5"/>
  <c r="Q1039" i="5" s="1"/>
  <c r="K1038" i="5"/>
  <c r="P1038" i="5" s="1"/>
  <c r="L1038" i="5"/>
  <c r="Q1038" i="5" s="1"/>
  <c r="K1037" i="5"/>
  <c r="P1037" i="5" s="1"/>
  <c r="L1037" i="5"/>
  <c r="Q1037" i="5" s="1"/>
  <c r="K1036" i="5"/>
  <c r="P1036" i="5" s="1"/>
  <c r="L1036" i="5"/>
  <c r="Q1036" i="5" s="1"/>
  <c r="K1035" i="5"/>
  <c r="P1035" i="5" s="1"/>
  <c r="L1035" i="5"/>
  <c r="Q1035" i="5" s="1"/>
  <c r="K1034" i="5"/>
  <c r="P1034" i="5" s="1"/>
  <c r="L1034" i="5"/>
  <c r="Q1034" i="5" s="1"/>
  <c r="K1033" i="5"/>
  <c r="P1033" i="5" s="1"/>
  <c r="L1033" i="5"/>
  <c r="Q1033" i="5" s="1"/>
  <c r="K1032" i="5"/>
  <c r="P1032" i="5" s="1"/>
  <c r="L1032" i="5"/>
  <c r="Q1032" i="5" s="1"/>
  <c r="K1031" i="5"/>
  <c r="P1031" i="5" s="1"/>
  <c r="L1031" i="5"/>
  <c r="Q1031" i="5" s="1"/>
  <c r="K1030" i="5"/>
  <c r="P1030" i="5" s="1"/>
  <c r="L1030" i="5"/>
  <c r="Q1030" i="5" s="1"/>
  <c r="K1029" i="5"/>
  <c r="P1029" i="5" s="1"/>
  <c r="L1029" i="5"/>
  <c r="Q1029" i="5" s="1"/>
  <c r="K1028" i="5"/>
  <c r="P1028" i="5" s="1"/>
  <c r="L1028" i="5"/>
  <c r="Q1028" i="5" s="1"/>
  <c r="K1027" i="5"/>
  <c r="P1027" i="5" s="1"/>
  <c r="L1027" i="5"/>
  <c r="Q1027" i="5" s="1"/>
  <c r="K1026" i="5"/>
  <c r="P1026" i="5" s="1"/>
  <c r="L1026" i="5"/>
  <c r="Q1026" i="5" s="1"/>
  <c r="K1025" i="5"/>
  <c r="P1025" i="5" s="1"/>
  <c r="L1025" i="5"/>
  <c r="Q1025" i="5" s="1"/>
  <c r="K1024" i="5"/>
  <c r="P1024" i="5" s="1"/>
  <c r="L1024" i="5"/>
  <c r="Q1024" i="5" s="1"/>
  <c r="K1023" i="5"/>
  <c r="P1023" i="5" s="1"/>
  <c r="L1023" i="5"/>
  <c r="Q1023" i="5" s="1"/>
  <c r="K1022" i="5"/>
  <c r="P1022" i="5" s="1"/>
  <c r="L1022" i="5"/>
  <c r="Q1022" i="5" s="1"/>
  <c r="K1021" i="5"/>
  <c r="P1021" i="5" s="1"/>
  <c r="L1021" i="5"/>
  <c r="Q1021" i="5" s="1"/>
  <c r="K1020" i="5"/>
  <c r="P1020" i="5" s="1"/>
  <c r="L1020" i="5"/>
  <c r="Q1020" i="5" s="1"/>
  <c r="K1019" i="5"/>
  <c r="P1019" i="5" s="1"/>
  <c r="L1019" i="5"/>
  <c r="Q1019" i="5" s="1"/>
  <c r="K1018" i="5"/>
  <c r="P1018" i="5" s="1"/>
  <c r="L1018" i="5"/>
  <c r="Q1018" i="5" s="1"/>
  <c r="K1017" i="5"/>
  <c r="P1017" i="5" s="1"/>
  <c r="L1017" i="5"/>
  <c r="Q1017" i="5" s="1"/>
  <c r="K1016" i="5"/>
  <c r="P1016" i="5" s="1"/>
  <c r="L1016" i="5"/>
  <c r="Q1016" i="5" s="1"/>
  <c r="K1015" i="5"/>
  <c r="P1015" i="5" s="1"/>
  <c r="L1015" i="5"/>
  <c r="Q1015" i="5" s="1"/>
  <c r="K1014" i="5"/>
  <c r="P1014" i="5" s="1"/>
  <c r="L1014" i="5"/>
  <c r="Q1014" i="5" s="1"/>
  <c r="K1013" i="5"/>
  <c r="P1013" i="5" s="1"/>
  <c r="L1013" i="5"/>
  <c r="Q1013" i="5" s="1"/>
  <c r="K1012" i="5"/>
  <c r="P1012" i="5" s="1"/>
  <c r="L1012" i="5"/>
  <c r="Q1012" i="5" s="1"/>
  <c r="K1011" i="5"/>
  <c r="P1011" i="5" s="1"/>
  <c r="L1011" i="5"/>
  <c r="Q1011" i="5" s="1"/>
  <c r="K1010" i="5"/>
  <c r="P1010" i="5" s="1"/>
  <c r="L1010" i="5"/>
  <c r="Q1010" i="5" s="1"/>
  <c r="K1009" i="5"/>
  <c r="P1009" i="5" s="1"/>
  <c r="L1009" i="5"/>
  <c r="Q1009" i="5" s="1"/>
  <c r="K1008" i="5"/>
  <c r="P1008" i="5" s="1"/>
  <c r="L1008" i="5"/>
  <c r="Q1008" i="5" s="1"/>
  <c r="K1007" i="5"/>
  <c r="P1007" i="5" s="1"/>
  <c r="L1007" i="5"/>
  <c r="Q1007" i="5" s="1"/>
  <c r="K1006" i="5"/>
  <c r="P1006" i="5" s="1"/>
  <c r="L1006" i="5"/>
  <c r="Q1006" i="5" s="1"/>
  <c r="K1005" i="5"/>
  <c r="P1005" i="5" s="1"/>
  <c r="L1005" i="5"/>
  <c r="Q1005" i="5" s="1"/>
  <c r="K1004" i="5"/>
  <c r="P1004" i="5" s="1"/>
  <c r="L1004" i="5"/>
  <c r="Q1004" i="5" s="1"/>
  <c r="K1003" i="5"/>
  <c r="P1003" i="5" s="1"/>
  <c r="L1003" i="5"/>
  <c r="Q1003" i="5" s="1"/>
  <c r="K1002" i="5"/>
  <c r="P1002" i="5" s="1"/>
  <c r="L1002" i="5"/>
  <c r="Q1002" i="5" s="1"/>
  <c r="K1001" i="5"/>
  <c r="P1001" i="5" s="1"/>
  <c r="L1001" i="5"/>
  <c r="Q1001" i="5" s="1"/>
  <c r="K1000" i="5"/>
  <c r="P1000" i="5" s="1"/>
  <c r="L1000" i="5"/>
  <c r="Q1000" i="5" s="1"/>
  <c r="K999" i="5"/>
  <c r="P999" i="5" s="1"/>
  <c r="L999" i="5"/>
  <c r="Q999" i="5" s="1"/>
  <c r="K998" i="5"/>
  <c r="P998" i="5" s="1"/>
  <c r="L998" i="5"/>
  <c r="Q998" i="5" s="1"/>
  <c r="K997" i="5"/>
  <c r="P997" i="5" s="1"/>
  <c r="L997" i="5"/>
  <c r="Q997" i="5" s="1"/>
  <c r="K996" i="5"/>
  <c r="P996" i="5" s="1"/>
  <c r="L996" i="5"/>
  <c r="Q996" i="5" s="1"/>
  <c r="K995" i="5"/>
  <c r="P995" i="5" s="1"/>
  <c r="L995" i="5"/>
  <c r="Q995" i="5" s="1"/>
  <c r="K994" i="5"/>
  <c r="P994" i="5" s="1"/>
  <c r="L994" i="5"/>
  <c r="Q994" i="5" s="1"/>
  <c r="K993" i="5"/>
  <c r="P993" i="5" s="1"/>
  <c r="L993" i="5"/>
  <c r="Q993" i="5" s="1"/>
  <c r="K992" i="5"/>
  <c r="P992" i="5" s="1"/>
  <c r="L992" i="5"/>
  <c r="Q992" i="5" s="1"/>
  <c r="K991" i="5"/>
  <c r="P991" i="5" s="1"/>
  <c r="L991" i="5"/>
  <c r="Q991" i="5" s="1"/>
  <c r="K990" i="5"/>
  <c r="P990" i="5" s="1"/>
  <c r="L990" i="5"/>
  <c r="Q990" i="5" s="1"/>
  <c r="K989" i="5"/>
  <c r="P989" i="5" s="1"/>
  <c r="L989" i="5"/>
  <c r="Q989" i="5" s="1"/>
  <c r="K988" i="5"/>
  <c r="P988" i="5" s="1"/>
  <c r="L988" i="5"/>
  <c r="Q988" i="5" s="1"/>
  <c r="K987" i="5"/>
  <c r="P987" i="5" s="1"/>
  <c r="L987" i="5"/>
  <c r="Q987" i="5" s="1"/>
  <c r="K986" i="5"/>
  <c r="P986" i="5" s="1"/>
  <c r="L986" i="5"/>
  <c r="Q986" i="5" s="1"/>
  <c r="K985" i="5"/>
  <c r="P985" i="5" s="1"/>
  <c r="L985" i="5"/>
  <c r="Q985" i="5" s="1"/>
  <c r="K984" i="5"/>
  <c r="P984" i="5" s="1"/>
  <c r="L984" i="5"/>
  <c r="Q984" i="5" s="1"/>
  <c r="K983" i="5"/>
  <c r="P983" i="5" s="1"/>
  <c r="L983" i="5"/>
  <c r="Q983" i="5" s="1"/>
  <c r="K982" i="5"/>
  <c r="P982" i="5" s="1"/>
  <c r="L982" i="5"/>
  <c r="Q982" i="5" s="1"/>
  <c r="K981" i="5"/>
  <c r="P981" i="5" s="1"/>
  <c r="L981" i="5"/>
  <c r="Q981" i="5" s="1"/>
  <c r="K980" i="5"/>
  <c r="P980" i="5" s="1"/>
  <c r="L980" i="5"/>
  <c r="Q980" i="5" s="1"/>
  <c r="K979" i="5"/>
  <c r="P979" i="5" s="1"/>
  <c r="L979" i="5"/>
  <c r="Q979" i="5" s="1"/>
  <c r="K978" i="5"/>
  <c r="P978" i="5" s="1"/>
  <c r="L978" i="5"/>
  <c r="Q978" i="5" s="1"/>
  <c r="K977" i="5"/>
  <c r="P977" i="5" s="1"/>
  <c r="L977" i="5"/>
  <c r="Q977" i="5" s="1"/>
  <c r="K976" i="5"/>
  <c r="P976" i="5" s="1"/>
  <c r="L976" i="5"/>
  <c r="Q976" i="5" s="1"/>
  <c r="K975" i="5"/>
  <c r="P975" i="5" s="1"/>
  <c r="L975" i="5"/>
  <c r="Q975" i="5" s="1"/>
  <c r="K974" i="5"/>
  <c r="P974" i="5" s="1"/>
  <c r="L974" i="5"/>
  <c r="Q974" i="5" s="1"/>
  <c r="K973" i="5"/>
  <c r="P973" i="5" s="1"/>
  <c r="L973" i="5"/>
  <c r="Q973" i="5" s="1"/>
  <c r="K972" i="5"/>
  <c r="P972" i="5" s="1"/>
  <c r="L972" i="5"/>
  <c r="Q972" i="5" s="1"/>
  <c r="K971" i="5"/>
  <c r="P971" i="5" s="1"/>
  <c r="L971" i="5"/>
  <c r="Q971" i="5" s="1"/>
  <c r="K970" i="5"/>
  <c r="P970" i="5" s="1"/>
  <c r="L970" i="5"/>
  <c r="Q970" i="5" s="1"/>
  <c r="K969" i="5"/>
  <c r="P969" i="5" s="1"/>
  <c r="L969" i="5"/>
  <c r="Q969" i="5" s="1"/>
  <c r="K968" i="5"/>
  <c r="P968" i="5" s="1"/>
  <c r="L968" i="5"/>
  <c r="Q968" i="5" s="1"/>
  <c r="K967" i="5"/>
  <c r="P967" i="5" s="1"/>
  <c r="L967" i="5"/>
  <c r="Q967" i="5" s="1"/>
  <c r="K966" i="5"/>
  <c r="P966" i="5" s="1"/>
  <c r="L966" i="5"/>
  <c r="Q966" i="5" s="1"/>
  <c r="K965" i="5"/>
  <c r="P965" i="5" s="1"/>
  <c r="L965" i="5"/>
  <c r="Q965" i="5" s="1"/>
  <c r="K964" i="5"/>
  <c r="P964" i="5" s="1"/>
  <c r="L964" i="5"/>
  <c r="Q964" i="5" s="1"/>
  <c r="K963" i="5"/>
  <c r="P963" i="5" s="1"/>
  <c r="L963" i="5"/>
  <c r="Q963" i="5" s="1"/>
  <c r="K962" i="5"/>
  <c r="P962" i="5" s="1"/>
  <c r="L962" i="5"/>
  <c r="Q962" i="5" s="1"/>
  <c r="K961" i="5"/>
  <c r="P961" i="5" s="1"/>
  <c r="L961" i="5"/>
  <c r="Q961" i="5" s="1"/>
  <c r="K960" i="5"/>
  <c r="P960" i="5" s="1"/>
  <c r="L960" i="5"/>
  <c r="Q960" i="5" s="1"/>
  <c r="K959" i="5"/>
  <c r="P959" i="5" s="1"/>
  <c r="L959" i="5"/>
  <c r="Q959" i="5" s="1"/>
  <c r="K958" i="5"/>
  <c r="P958" i="5" s="1"/>
  <c r="L958" i="5"/>
  <c r="Q958" i="5" s="1"/>
  <c r="K957" i="5"/>
  <c r="P957" i="5" s="1"/>
  <c r="L957" i="5"/>
  <c r="Q957" i="5" s="1"/>
  <c r="K956" i="5"/>
  <c r="P956" i="5" s="1"/>
  <c r="L956" i="5"/>
  <c r="Q956" i="5" s="1"/>
  <c r="K955" i="5"/>
  <c r="P955" i="5" s="1"/>
  <c r="L955" i="5"/>
  <c r="Q955" i="5" s="1"/>
  <c r="K954" i="5"/>
  <c r="P954" i="5" s="1"/>
  <c r="L954" i="5"/>
  <c r="Q954" i="5" s="1"/>
  <c r="K953" i="5"/>
  <c r="P953" i="5" s="1"/>
  <c r="L953" i="5"/>
  <c r="Q953" i="5" s="1"/>
  <c r="K952" i="5"/>
  <c r="P952" i="5" s="1"/>
  <c r="L952" i="5"/>
  <c r="Q952" i="5" s="1"/>
  <c r="K951" i="5"/>
  <c r="P951" i="5" s="1"/>
  <c r="L951" i="5"/>
  <c r="Q951" i="5" s="1"/>
  <c r="K950" i="5"/>
  <c r="P950" i="5" s="1"/>
  <c r="L950" i="5"/>
  <c r="Q950" i="5" s="1"/>
  <c r="K949" i="5"/>
  <c r="P949" i="5" s="1"/>
  <c r="L949" i="5"/>
  <c r="Q949" i="5" s="1"/>
  <c r="K948" i="5"/>
  <c r="P948" i="5" s="1"/>
  <c r="L948" i="5"/>
  <c r="Q948" i="5" s="1"/>
  <c r="K947" i="5"/>
  <c r="P947" i="5" s="1"/>
  <c r="L947" i="5"/>
  <c r="Q947" i="5" s="1"/>
  <c r="K946" i="5"/>
  <c r="P946" i="5" s="1"/>
  <c r="L946" i="5"/>
  <c r="Q946" i="5" s="1"/>
  <c r="K945" i="5"/>
  <c r="P945" i="5" s="1"/>
  <c r="L945" i="5"/>
  <c r="Q945" i="5" s="1"/>
  <c r="K944" i="5"/>
  <c r="P944" i="5" s="1"/>
  <c r="L944" i="5"/>
  <c r="Q944" i="5" s="1"/>
  <c r="K943" i="5"/>
  <c r="P943" i="5" s="1"/>
  <c r="L943" i="5"/>
  <c r="Q943" i="5" s="1"/>
  <c r="K942" i="5"/>
  <c r="P942" i="5" s="1"/>
  <c r="L942" i="5"/>
  <c r="Q942" i="5" s="1"/>
  <c r="K941" i="5"/>
  <c r="P941" i="5" s="1"/>
  <c r="L941" i="5"/>
  <c r="Q941" i="5" s="1"/>
  <c r="K940" i="5"/>
  <c r="P940" i="5" s="1"/>
  <c r="L940" i="5"/>
  <c r="Q940" i="5" s="1"/>
  <c r="K939" i="5"/>
  <c r="P939" i="5" s="1"/>
  <c r="L939" i="5"/>
  <c r="Q939" i="5" s="1"/>
  <c r="K938" i="5"/>
  <c r="P938" i="5" s="1"/>
  <c r="L938" i="5"/>
  <c r="Q938" i="5" s="1"/>
  <c r="K937" i="5"/>
  <c r="P937" i="5" s="1"/>
  <c r="L937" i="5"/>
  <c r="Q937" i="5" s="1"/>
  <c r="K936" i="5"/>
  <c r="P936" i="5" s="1"/>
  <c r="L936" i="5"/>
  <c r="Q936" i="5" s="1"/>
  <c r="K935" i="5"/>
  <c r="P935" i="5" s="1"/>
  <c r="L935" i="5"/>
  <c r="Q935" i="5" s="1"/>
  <c r="K934" i="5"/>
  <c r="P934" i="5" s="1"/>
  <c r="L934" i="5"/>
  <c r="Q934" i="5" s="1"/>
  <c r="K933" i="5"/>
  <c r="P933" i="5" s="1"/>
  <c r="L933" i="5"/>
  <c r="Q933" i="5" s="1"/>
  <c r="K932" i="5"/>
  <c r="P932" i="5" s="1"/>
  <c r="L932" i="5"/>
  <c r="Q932" i="5" s="1"/>
  <c r="K931" i="5"/>
  <c r="P931" i="5" s="1"/>
  <c r="L931" i="5"/>
  <c r="Q931" i="5" s="1"/>
  <c r="K930" i="5"/>
  <c r="P930" i="5" s="1"/>
  <c r="L930" i="5"/>
  <c r="Q930" i="5" s="1"/>
  <c r="K929" i="5"/>
  <c r="P929" i="5" s="1"/>
  <c r="L929" i="5"/>
  <c r="Q929" i="5" s="1"/>
  <c r="K928" i="5"/>
  <c r="P928" i="5" s="1"/>
  <c r="L928" i="5"/>
  <c r="Q928" i="5" s="1"/>
  <c r="K927" i="5"/>
  <c r="P927" i="5" s="1"/>
  <c r="L927" i="5"/>
  <c r="Q927" i="5" s="1"/>
  <c r="K926" i="5"/>
  <c r="P926" i="5" s="1"/>
  <c r="L926" i="5"/>
  <c r="Q926" i="5" s="1"/>
  <c r="K925" i="5"/>
  <c r="P925" i="5" s="1"/>
  <c r="L925" i="5"/>
  <c r="Q925" i="5" s="1"/>
  <c r="K924" i="5"/>
  <c r="P924" i="5" s="1"/>
  <c r="L924" i="5"/>
  <c r="Q924" i="5" s="1"/>
  <c r="K923" i="5"/>
  <c r="P923" i="5" s="1"/>
  <c r="L923" i="5"/>
  <c r="Q923" i="5" s="1"/>
  <c r="K922" i="5"/>
  <c r="P922" i="5" s="1"/>
  <c r="L922" i="5"/>
  <c r="Q922" i="5" s="1"/>
  <c r="K921" i="5"/>
  <c r="P921" i="5" s="1"/>
  <c r="L921" i="5"/>
  <c r="Q921" i="5" s="1"/>
  <c r="K920" i="5"/>
  <c r="P920" i="5" s="1"/>
  <c r="L920" i="5"/>
  <c r="Q920" i="5" s="1"/>
  <c r="K919" i="5"/>
  <c r="P919" i="5" s="1"/>
  <c r="L919" i="5"/>
  <c r="Q919" i="5" s="1"/>
  <c r="K918" i="5"/>
  <c r="P918" i="5" s="1"/>
  <c r="L918" i="5"/>
  <c r="Q918" i="5" s="1"/>
  <c r="K917" i="5"/>
  <c r="P917" i="5" s="1"/>
  <c r="L917" i="5"/>
  <c r="Q917" i="5" s="1"/>
  <c r="K916" i="5"/>
  <c r="P916" i="5" s="1"/>
  <c r="L916" i="5"/>
  <c r="Q916" i="5" s="1"/>
  <c r="K915" i="5"/>
  <c r="P915" i="5" s="1"/>
  <c r="L915" i="5"/>
  <c r="Q915" i="5" s="1"/>
  <c r="K914" i="5"/>
  <c r="P914" i="5" s="1"/>
  <c r="L914" i="5"/>
  <c r="Q914" i="5" s="1"/>
  <c r="K913" i="5"/>
  <c r="P913" i="5" s="1"/>
  <c r="L913" i="5"/>
  <c r="Q913" i="5" s="1"/>
  <c r="K912" i="5"/>
  <c r="P912" i="5" s="1"/>
  <c r="L912" i="5"/>
  <c r="Q912" i="5" s="1"/>
  <c r="K911" i="5"/>
  <c r="P911" i="5" s="1"/>
  <c r="L911" i="5"/>
  <c r="Q911" i="5" s="1"/>
  <c r="K910" i="5"/>
  <c r="P910" i="5" s="1"/>
  <c r="L910" i="5"/>
  <c r="Q910" i="5" s="1"/>
  <c r="K909" i="5"/>
  <c r="P909" i="5" s="1"/>
  <c r="L909" i="5"/>
  <c r="Q909" i="5" s="1"/>
  <c r="K908" i="5"/>
  <c r="P908" i="5" s="1"/>
  <c r="L908" i="5"/>
  <c r="Q908" i="5" s="1"/>
  <c r="K907" i="5"/>
  <c r="P907" i="5" s="1"/>
  <c r="L907" i="5"/>
  <c r="Q907" i="5" s="1"/>
  <c r="K906" i="5"/>
  <c r="P906" i="5" s="1"/>
  <c r="L906" i="5"/>
  <c r="Q906" i="5" s="1"/>
  <c r="K905" i="5"/>
  <c r="P905" i="5" s="1"/>
  <c r="L905" i="5"/>
  <c r="Q905" i="5" s="1"/>
  <c r="K904" i="5"/>
  <c r="P904" i="5" s="1"/>
  <c r="L904" i="5"/>
  <c r="Q904" i="5" s="1"/>
  <c r="K903" i="5"/>
  <c r="P903" i="5" s="1"/>
  <c r="L903" i="5"/>
  <c r="Q903" i="5" s="1"/>
  <c r="K902" i="5"/>
  <c r="P902" i="5" s="1"/>
  <c r="L902" i="5"/>
  <c r="Q902" i="5" s="1"/>
  <c r="K901" i="5"/>
  <c r="P901" i="5" s="1"/>
  <c r="L901" i="5"/>
  <c r="Q901" i="5" s="1"/>
  <c r="K900" i="5"/>
  <c r="P900" i="5" s="1"/>
  <c r="L900" i="5"/>
  <c r="Q900" i="5" s="1"/>
  <c r="K899" i="5"/>
  <c r="P899" i="5" s="1"/>
  <c r="L899" i="5"/>
  <c r="Q899" i="5" s="1"/>
  <c r="K898" i="5"/>
  <c r="P898" i="5" s="1"/>
  <c r="L898" i="5"/>
  <c r="Q898" i="5" s="1"/>
  <c r="K897" i="5"/>
  <c r="P897" i="5" s="1"/>
  <c r="L897" i="5"/>
  <c r="Q897" i="5" s="1"/>
  <c r="K896" i="5"/>
  <c r="P896" i="5" s="1"/>
  <c r="L896" i="5"/>
  <c r="Q896" i="5" s="1"/>
  <c r="K895" i="5"/>
  <c r="P895" i="5" s="1"/>
  <c r="L895" i="5"/>
  <c r="Q895" i="5" s="1"/>
  <c r="K894" i="5"/>
  <c r="P894" i="5" s="1"/>
  <c r="L894" i="5"/>
  <c r="Q894" i="5" s="1"/>
  <c r="K893" i="5"/>
  <c r="P893" i="5" s="1"/>
  <c r="L893" i="5"/>
  <c r="Q893" i="5" s="1"/>
  <c r="K892" i="5"/>
  <c r="P892" i="5" s="1"/>
  <c r="L892" i="5"/>
  <c r="Q892" i="5" s="1"/>
  <c r="K891" i="5"/>
  <c r="P891" i="5" s="1"/>
  <c r="L891" i="5"/>
  <c r="Q891" i="5" s="1"/>
  <c r="K890" i="5"/>
  <c r="P890" i="5" s="1"/>
  <c r="L890" i="5"/>
  <c r="Q890" i="5" s="1"/>
  <c r="K889" i="5"/>
  <c r="P889" i="5" s="1"/>
  <c r="L889" i="5"/>
  <c r="Q889" i="5" s="1"/>
  <c r="K888" i="5"/>
  <c r="P888" i="5" s="1"/>
  <c r="L888" i="5"/>
  <c r="Q888" i="5" s="1"/>
  <c r="K887" i="5"/>
  <c r="P887" i="5" s="1"/>
  <c r="L887" i="5"/>
  <c r="Q887" i="5" s="1"/>
  <c r="K886" i="5"/>
  <c r="P886" i="5" s="1"/>
  <c r="L886" i="5"/>
  <c r="Q886" i="5" s="1"/>
  <c r="K885" i="5"/>
  <c r="P885" i="5" s="1"/>
  <c r="L885" i="5"/>
  <c r="Q885" i="5" s="1"/>
  <c r="K884" i="5"/>
  <c r="P884" i="5" s="1"/>
  <c r="L884" i="5"/>
  <c r="Q884" i="5" s="1"/>
  <c r="K883" i="5"/>
  <c r="P883" i="5" s="1"/>
  <c r="L883" i="5"/>
  <c r="Q883" i="5" s="1"/>
  <c r="K882" i="5"/>
  <c r="P882" i="5" s="1"/>
  <c r="L882" i="5"/>
  <c r="Q882" i="5" s="1"/>
  <c r="K881" i="5"/>
  <c r="P881" i="5" s="1"/>
  <c r="L881" i="5"/>
  <c r="Q881" i="5" s="1"/>
  <c r="K880" i="5"/>
  <c r="P880" i="5" s="1"/>
  <c r="L880" i="5"/>
  <c r="Q880" i="5" s="1"/>
  <c r="K879" i="5"/>
  <c r="P879" i="5" s="1"/>
  <c r="L879" i="5"/>
  <c r="Q879" i="5" s="1"/>
  <c r="K878" i="5"/>
  <c r="P878" i="5" s="1"/>
  <c r="L878" i="5"/>
  <c r="Q878" i="5" s="1"/>
  <c r="K877" i="5"/>
  <c r="P877" i="5" s="1"/>
  <c r="L877" i="5"/>
  <c r="Q877" i="5" s="1"/>
  <c r="K876" i="5"/>
  <c r="P876" i="5" s="1"/>
  <c r="L876" i="5"/>
  <c r="Q876" i="5" s="1"/>
  <c r="K875" i="5"/>
  <c r="P875" i="5" s="1"/>
  <c r="L875" i="5"/>
  <c r="Q875" i="5" s="1"/>
  <c r="K874" i="5"/>
  <c r="P874" i="5" s="1"/>
  <c r="L874" i="5"/>
  <c r="Q874" i="5" s="1"/>
  <c r="K873" i="5"/>
  <c r="P873" i="5" s="1"/>
  <c r="L873" i="5"/>
  <c r="Q873" i="5" s="1"/>
  <c r="K872" i="5"/>
  <c r="P872" i="5" s="1"/>
  <c r="L872" i="5"/>
  <c r="Q872" i="5" s="1"/>
  <c r="K871" i="5"/>
  <c r="P871" i="5" s="1"/>
  <c r="L871" i="5"/>
  <c r="Q871" i="5" s="1"/>
  <c r="K870" i="5"/>
  <c r="P870" i="5" s="1"/>
  <c r="L870" i="5"/>
  <c r="Q870" i="5" s="1"/>
  <c r="K869" i="5"/>
  <c r="P869" i="5" s="1"/>
  <c r="L869" i="5"/>
  <c r="Q869" i="5" s="1"/>
  <c r="K868" i="5"/>
  <c r="P868" i="5" s="1"/>
  <c r="L868" i="5"/>
  <c r="Q868" i="5" s="1"/>
  <c r="K867" i="5"/>
  <c r="P867" i="5" s="1"/>
  <c r="L867" i="5"/>
  <c r="Q867" i="5" s="1"/>
  <c r="K866" i="5"/>
  <c r="P866" i="5" s="1"/>
  <c r="L866" i="5"/>
  <c r="Q866" i="5" s="1"/>
  <c r="K865" i="5"/>
  <c r="P865" i="5" s="1"/>
  <c r="L865" i="5"/>
  <c r="Q865" i="5" s="1"/>
  <c r="K864" i="5"/>
  <c r="P864" i="5" s="1"/>
  <c r="L864" i="5"/>
  <c r="Q864" i="5" s="1"/>
  <c r="K863" i="5"/>
  <c r="P863" i="5" s="1"/>
  <c r="L863" i="5"/>
  <c r="Q863" i="5" s="1"/>
  <c r="K862" i="5"/>
  <c r="P862" i="5" s="1"/>
  <c r="L862" i="5"/>
  <c r="Q862" i="5" s="1"/>
  <c r="K861" i="5"/>
  <c r="P861" i="5" s="1"/>
  <c r="L861" i="5"/>
  <c r="Q861" i="5" s="1"/>
  <c r="K860" i="5"/>
  <c r="P860" i="5" s="1"/>
  <c r="L860" i="5"/>
  <c r="Q860" i="5" s="1"/>
  <c r="K859" i="5"/>
  <c r="P859" i="5" s="1"/>
  <c r="L859" i="5"/>
  <c r="Q859" i="5" s="1"/>
  <c r="K858" i="5"/>
  <c r="P858" i="5" s="1"/>
  <c r="L858" i="5"/>
  <c r="Q858" i="5" s="1"/>
  <c r="K857" i="5"/>
  <c r="P857" i="5" s="1"/>
  <c r="L857" i="5"/>
  <c r="Q857" i="5" s="1"/>
  <c r="K856" i="5"/>
  <c r="P856" i="5" s="1"/>
  <c r="L856" i="5"/>
  <c r="Q856" i="5" s="1"/>
  <c r="K855" i="5"/>
  <c r="P855" i="5" s="1"/>
  <c r="L855" i="5"/>
  <c r="Q855" i="5" s="1"/>
  <c r="K854" i="5"/>
  <c r="P854" i="5" s="1"/>
  <c r="L854" i="5"/>
  <c r="Q854" i="5" s="1"/>
  <c r="K853" i="5"/>
  <c r="P853" i="5" s="1"/>
  <c r="L853" i="5"/>
  <c r="Q853" i="5" s="1"/>
  <c r="K852" i="5"/>
  <c r="P852" i="5" s="1"/>
  <c r="L852" i="5"/>
  <c r="Q852" i="5" s="1"/>
  <c r="K851" i="5"/>
  <c r="P851" i="5" s="1"/>
  <c r="L851" i="5"/>
  <c r="Q851" i="5" s="1"/>
  <c r="K850" i="5"/>
  <c r="P850" i="5" s="1"/>
  <c r="L850" i="5"/>
  <c r="Q850" i="5" s="1"/>
  <c r="K849" i="5"/>
  <c r="P849" i="5" s="1"/>
  <c r="L849" i="5"/>
  <c r="Q849" i="5" s="1"/>
  <c r="K848" i="5"/>
  <c r="P848" i="5" s="1"/>
  <c r="L848" i="5"/>
  <c r="Q848" i="5" s="1"/>
  <c r="K847" i="5"/>
  <c r="P847" i="5" s="1"/>
  <c r="L847" i="5"/>
  <c r="Q847" i="5" s="1"/>
  <c r="K846" i="5"/>
  <c r="P846" i="5" s="1"/>
  <c r="L846" i="5"/>
  <c r="Q846" i="5" s="1"/>
  <c r="K845" i="5"/>
  <c r="P845" i="5" s="1"/>
  <c r="L845" i="5"/>
  <c r="Q845" i="5" s="1"/>
  <c r="K844" i="5"/>
  <c r="P844" i="5" s="1"/>
  <c r="L844" i="5"/>
  <c r="Q844" i="5" s="1"/>
  <c r="K843" i="5"/>
  <c r="P843" i="5" s="1"/>
  <c r="L843" i="5"/>
  <c r="Q843" i="5" s="1"/>
  <c r="K842" i="5"/>
  <c r="P842" i="5" s="1"/>
  <c r="L842" i="5"/>
  <c r="Q842" i="5" s="1"/>
  <c r="K841" i="5"/>
  <c r="P841" i="5" s="1"/>
  <c r="L841" i="5"/>
  <c r="Q841" i="5" s="1"/>
  <c r="K840" i="5"/>
  <c r="P840" i="5" s="1"/>
  <c r="L840" i="5"/>
  <c r="Q840" i="5" s="1"/>
  <c r="K839" i="5"/>
  <c r="P839" i="5" s="1"/>
  <c r="L839" i="5"/>
  <c r="Q839" i="5" s="1"/>
  <c r="K838" i="5"/>
  <c r="P838" i="5" s="1"/>
  <c r="L838" i="5"/>
  <c r="Q838" i="5" s="1"/>
  <c r="K837" i="5"/>
  <c r="P837" i="5" s="1"/>
  <c r="L837" i="5"/>
  <c r="Q837" i="5" s="1"/>
  <c r="K836" i="5"/>
  <c r="P836" i="5" s="1"/>
  <c r="L836" i="5"/>
  <c r="Q836" i="5" s="1"/>
  <c r="K835" i="5"/>
  <c r="P835" i="5" s="1"/>
  <c r="L835" i="5"/>
  <c r="Q835" i="5" s="1"/>
  <c r="K834" i="5"/>
  <c r="P834" i="5" s="1"/>
  <c r="L834" i="5"/>
  <c r="Q834" i="5" s="1"/>
  <c r="K833" i="5"/>
  <c r="P833" i="5" s="1"/>
  <c r="L833" i="5"/>
  <c r="Q833" i="5" s="1"/>
  <c r="K832" i="5"/>
  <c r="P832" i="5" s="1"/>
  <c r="L832" i="5"/>
  <c r="Q832" i="5" s="1"/>
  <c r="K831" i="5"/>
  <c r="P831" i="5" s="1"/>
  <c r="L831" i="5"/>
  <c r="Q831" i="5" s="1"/>
  <c r="K830" i="5"/>
  <c r="P830" i="5" s="1"/>
  <c r="L830" i="5"/>
  <c r="Q830" i="5" s="1"/>
  <c r="K829" i="5"/>
  <c r="P829" i="5" s="1"/>
  <c r="L829" i="5"/>
  <c r="Q829" i="5" s="1"/>
  <c r="K828" i="5"/>
  <c r="P828" i="5" s="1"/>
  <c r="L828" i="5"/>
  <c r="Q828" i="5" s="1"/>
  <c r="K827" i="5"/>
  <c r="P827" i="5" s="1"/>
  <c r="L827" i="5"/>
  <c r="Q827" i="5" s="1"/>
  <c r="K826" i="5"/>
  <c r="P826" i="5" s="1"/>
  <c r="L826" i="5"/>
  <c r="Q826" i="5" s="1"/>
  <c r="K825" i="5"/>
  <c r="P825" i="5" s="1"/>
  <c r="L825" i="5"/>
  <c r="Q825" i="5" s="1"/>
  <c r="K824" i="5"/>
  <c r="P824" i="5" s="1"/>
  <c r="L824" i="5"/>
  <c r="Q824" i="5" s="1"/>
  <c r="K823" i="5"/>
  <c r="P823" i="5" s="1"/>
  <c r="L823" i="5"/>
  <c r="Q823" i="5" s="1"/>
  <c r="K822" i="5"/>
  <c r="P822" i="5" s="1"/>
  <c r="L822" i="5"/>
  <c r="Q822" i="5" s="1"/>
  <c r="K821" i="5"/>
  <c r="P821" i="5" s="1"/>
  <c r="L821" i="5"/>
  <c r="Q821" i="5" s="1"/>
  <c r="K820" i="5"/>
  <c r="P820" i="5" s="1"/>
  <c r="L820" i="5"/>
  <c r="Q820" i="5" s="1"/>
  <c r="K819" i="5"/>
  <c r="P819" i="5" s="1"/>
  <c r="L819" i="5"/>
  <c r="Q819" i="5" s="1"/>
  <c r="K818" i="5"/>
  <c r="P818" i="5" s="1"/>
  <c r="L818" i="5"/>
  <c r="Q818" i="5" s="1"/>
  <c r="K817" i="5"/>
  <c r="P817" i="5" s="1"/>
  <c r="L817" i="5"/>
  <c r="Q817" i="5" s="1"/>
  <c r="K816" i="5"/>
  <c r="P816" i="5" s="1"/>
  <c r="L816" i="5"/>
  <c r="Q816" i="5" s="1"/>
  <c r="K815" i="5"/>
  <c r="P815" i="5" s="1"/>
  <c r="L815" i="5"/>
  <c r="Q815" i="5" s="1"/>
  <c r="K814" i="5"/>
  <c r="P814" i="5" s="1"/>
  <c r="L814" i="5"/>
  <c r="Q814" i="5" s="1"/>
  <c r="K813" i="5"/>
  <c r="P813" i="5" s="1"/>
  <c r="L813" i="5"/>
  <c r="Q813" i="5" s="1"/>
  <c r="K812" i="5"/>
  <c r="P812" i="5" s="1"/>
  <c r="L812" i="5"/>
  <c r="Q812" i="5" s="1"/>
  <c r="K811" i="5"/>
  <c r="P811" i="5" s="1"/>
  <c r="L811" i="5"/>
  <c r="Q811" i="5" s="1"/>
  <c r="K810" i="5"/>
  <c r="P810" i="5" s="1"/>
  <c r="L810" i="5"/>
  <c r="Q810" i="5" s="1"/>
  <c r="K809" i="5"/>
  <c r="P809" i="5" s="1"/>
  <c r="L809" i="5"/>
  <c r="Q809" i="5" s="1"/>
  <c r="K808" i="5"/>
  <c r="P808" i="5" s="1"/>
  <c r="L808" i="5"/>
  <c r="Q808" i="5" s="1"/>
  <c r="K807" i="5"/>
  <c r="P807" i="5" s="1"/>
  <c r="L807" i="5"/>
  <c r="Q807" i="5" s="1"/>
  <c r="K806" i="5"/>
  <c r="P806" i="5" s="1"/>
  <c r="L806" i="5"/>
  <c r="Q806" i="5" s="1"/>
  <c r="K805" i="5"/>
  <c r="P805" i="5" s="1"/>
  <c r="L805" i="5"/>
  <c r="Q805" i="5" s="1"/>
  <c r="K804" i="5"/>
  <c r="P804" i="5" s="1"/>
  <c r="L804" i="5"/>
  <c r="Q804" i="5" s="1"/>
  <c r="K803" i="5"/>
  <c r="P803" i="5" s="1"/>
  <c r="L803" i="5"/>
  <c r="Q803" i="5" s="1"/>
  <c r="K802" i="5"/>
  <c r="P802" i="5" s="1"/>
  <c r="L802" i="5"/>
  <c r="Q802" i="5" s="1"/>
  <c r="K801" i="5"/>
  <c r="P801" i="5" s="1"/>
  <c r="L801" i="5"/>
  <c r="Q801" i="5" s="1"/>
  <c r="K800" i="5"/>
  <c r="P800" i="5" s="1"/>
  <c r="L800" i="5"/>
  <c r="Q800" i="5" s="1"/>
  <c r="K799" i="5"/>
  <c r="P799" i="5" s="1"/>
  <c r="L799" i="5"/>
  <c r="Q799" i="5" s="1"/>
  <c r="K798" i="5"/>
  <c r="P798" i="5" s="1"/>
  <c r="L798" i="5"/>
  <c r="Q798" i="5" s="1"/>
  <c r="K797" i="5"/>
  <c r="P797" i="5" s="1"/>
  <c r="L797" i="5"/>
  <c r="Q797" i="5" s="1"/>
  <c r="K796" i="5"/>
  <c r="P796" i="5" s="1"/>
  <c r="L796" i="5"/>
  <c r="Q796" i="5" s="1"/>
  <c r="K795" i="5"/>
  <c r="P795" i="5" s="1"/>
  <c r="L795" i="5"/>
  <c r="Q795" i="5" s="1"/>
  <c r="K794" i="5"/>
  <c r="P794" i="5" s="1"/>
  <c r="L794" i="5"/>
  <c r="Q794" i="5" s="1"/>
  <c r="K793" i="5"/>
  <c r="P793" i="5" s="1"/>
  <c r="L793" i="5"/>
  <c r="Q793" i="5" s="1"/>
  <c r="K792" i="5"/>
  <c r="P792" i="5" s="1"/>
  <c r="L792" i="5"/>
  <c r="Q792" i="5" s="1"/>
  <c r="K791" i="5"/>
  <c r="P791" i="5" s="1"/>
  <c r="L791" i="5"/>
  <c r="Q791" i="5" s="1"/>
  <c r="K790" i="5"/>
  <c r="P790" i="5" s="1"/>
  <c r="L790" i="5"/>
  <c r="Q790" i="5" s="1"/>
  <c r="K789" i="5"/>
  <c r="P789" i="5" s="1"/>
  <c r="L789" i="5"/>
  <c r="Q789" i="5" s="1"/>
  <c r="K788" i="5"/>
  <c r="P788" i="5" s="1"/>
  <c r="L788" i="5"/>
  <c r="Q788" i="5" s="1"/>
  <c r="K787" i="5"/>
  <c r="P787" i="5" s="1"/>
  <c r="L787" i="5"/>
  <c r="Q787" i="5" s="1"/>
  <c r="K786" i="5"/>
  <c r="P786" i="5" s="1"/>
  <c r="L786" i="5"/>
  <c r="Q786" i="5" s="1"/>
  <c r="K785" i="5"/>
  <c r="P785" i="5" s="1"/>
  <c r="L785" i="5"/>
  <c r="Q785" i="5" s="1"/>
  <c r="K784" i="5"/>
  <c r="P784" i="5" s="1"/>
  <c r="L784" i="5"/>
  <c r="Q784" i="5" s="1"/>
  <c r="K783" i="5"/>
  <c r="P783" i="5" s="1"/>
  <c r="L783" i="5"/>
  <c r="Q783" i="5" s="1"/>
  <c r="K782" i="5"/>
  <c r="P782" i="5" s="1"/>
  <c r="L782" i="5"/>
  <c r="Q782" i="5" s="1"/>
  <c r="K781" i="5"/>
  <c r="P781" i="5" s="1"/>
  <c r="L781" i="5"/>
  <c r="Q781" i="5" s="1"/>
  <c r="K780" i="5"/>
  <c r="P780" i="5" s="1"/>
  <c r="L780" i="5"/>
  <c r="Q780" i="5" s="1"/>
  <c r="K779" i="5"/>
  <c r="P779" i="5" s="1"/>
  <c r="L779" i="5"/>
  <c r="Q779" i="5" s="1"/>
  <c r="K778" i="5"/>
  <c r="P778" i="5" s="1"/>
  <c r="L778" i="5"/>
  <c r="Q778" i="5" s="1"/>
  <c r="K777" i="5"/>
  <c r="P777" i="5" s="1"/>
  <c r="L777" i="5"/>
  <c r="Q777" i="5" s="1"/>
  <c r="K776" i="5"/>
  <c r="P776" i="5" s="1"/>
  <c r="L776" i="5"/>
  <c r="Q776" i="5" s="1"/>
  <c r="K775" i="5"/>
  <c r="P775" i="5" s="1"/>
  <c r="L775" i="5"/>
  <c r="Q775" i="5" s="1"/>
  <c r="K774" i="5"/>
  <c r="P774" i="5" s="1"/>
  <c r="L774" i="5"/>
  <c r="Q774" i="5" s="1"/>
  <c r="K773" i="5"/>
  <c r="P773" i="5" s="1"/>
  <c r="L773" i="5"/>
  <c r="Q773" i="5" s="1"/>
  <c r="K772" i="5"/>
  <c r="P772" i="5" s="1"/>
  <c r="L772" i="5"/>
  <c r="Q772" i="5" s="1"/>
  <c r="K771" i="5"/>
  <c r="P771" i="5" s="1"/>
  <c r="L771" i="5"/>
  <c r="Q771" i="5" s="1"/>
  <c r="K770" i="5"/>
  <c r="P770" i="5" s="1"/>
  <c r="L770" i="5"/>
  <c r="Q770" i="5" s="1"/>
  <c r="K769" i="5"/>
  <c r="P769" i="5" s="1"/>
  <c r="L769" i="5"/>
  <c r="Q769" i="5" s="1"/>
  <c r="K768" i="5"/>
  <c r="P768" i="5" s="1"/>
  <c r="L768" i="5"/>
  <c r="Q768" i="5" s="1"/>
  <c r="K767" i="5"/>
  <c r="P767" i="5" s="1"/>
  <c r="L767" i="5"/>
  <c r="Q767" i="5" s="1"/>
  <c r="K766" i="5"/>
  <c r="P766" i="5" s="1"/>
  <c r="L766" i="5"/>
  <c r="Q766" i="5" s="1"/>
  <c r="K765" i="5"/>
  <c r="P765" i="5" s="1"/>
  <c r="L765" i="5"/>
  <c r="Q765" i="5" s="1"/>
  <c r="K764" i="5"/>
  <c r="P764" i="5" s="1"/>
  <c r="L764" i="5"/>
  <c r="Q764" i="5" s="1"/>
  <c r="K763" i="5"/>
  <c r="P763" i="5" s="1"/>
  <c r="L763" i="5"/>
  <c r="Q763" i="5" s="1"/>
  <c r="K762" i="5"/>
  <c r="P762" i="5" s="1"/>
  <c r="L762" i="5"/>
  <c r="Q762" i="5" s="1"/>
  <c r="K761" i="5"/>
  <c r="P761" i="5" s="1"/>
  <c r="L761" i="5"/>
  <c r="Q761" i="5" s="1"/>
  <c r="K760" i="5"/>
  <c r="P760" i="5" s="1"/>
  <c r="L760" i="5"/>
  <c r="Q760" i="5" s="1"/>
  <c r="K759" i="5"/>
  <c r="P759" i="5" s="1"/>
  <c r="L759" i="5"/>
  <c r="Q759" i="5" s="1"/>
  <c r="K758" i="5"/>
  <c r="P758" i="5" s="1"/>
  <c r="L758" i="5"/>
  <c r="Q758" i="5" s="1"/>
  <c r="K757" i="5"/>
  <c r="P757" i="5" s="1"/>
  <c r="L757" i="5"/>
  <c r="Q757" i="5" s="1"/>
  <c r="K756" i="5"/>
  <c r="P756" i="5" s="1"/>
  <c r="L756" i="5"/>
  <c r="Q756" i="5" s="1"/>
  <c r="K755" i="5"/>
  <c r="P755" i="5" s="1"/>
  <c r="L755" i="5"/>
  <c r="Q755" i="5" s="1"/>
  <c r="K754" i="5"/>
  <c r="P754" i="5" s="1"/>
  <c r="L754" i="5"/>
  <c r="Q754" i="5" s="1"/>
  <c r="K753" i="5"/>
  <c r="P753" i="5" s="1"/>
  <c r="L753" i="5"/>
  <c r="Q753" i="5" s="1"/>
  <c r="K752" i="5"/>
  <c r="P752" i="5" s="1"/>
  <c r="L752" i="5"/>
  <c r="Q752" i="5" s="1"/>
  <c r="K751" i="5"/>
  <c r="P751" i="5" s="1"/>
  <c r="L751" i="5"/>
  <c r="Q751" i="5" s="1"/>
  <c r="K750" i="5"/>
  <c r="P750" i="5" s="1"/>
  <c r="L750" i="5"/>
  <c r="Q750" i="5" s="1"/>
  <c r="K749" i="5"/>
  <c r="P749" i="5" s="1"/>
  <c r="L749" i="5"/>
  <c r="Q749" i="5" s="1"/>
  <c r="K748" i="5"/>
  <c r="P748" i="5" s="1"/>
  <c r="L748" i="5"/>
  <c r="Q748" i="5" s="1"/>
  <c r="K747" i="5"/>
  <c r="P747" i="5" s="1"/>
  <c r="L747" i="5"/>
  <c r="Q747" i="5" s="1"/>
  <c r="K746" i="5"/>
  <c r="P746" i="5" s="1"/>
  <c r="L746" i="5"/>
  <c r="Q746" i="5" s="1"/>
  <c r="K745" i="5"/>
  <c r="P745" i="5" s="1"/>
  <c r="L745" i="5"/>
  <c r="Q745" i="5" s="1"/>
  <c r="K744" i="5"/>
  <c r="P744" i="5" s="1"/>
  <c r="L744" i="5"/>
  <c r="Q744" i="5" s="1"/>
  <c r="K743" i="5"/>
  <c r="P743" i="5" s="1"/>
  <c r="L743" i="5"/>
  <c r="Q743" i="5" s="1"/>
  <c r="K742" i="5"/>
  <c r="P742" i="5" s="1"/>
  <c r="L742" i="5"/>
  <c r="Q742" i="5" s="1"/>
  <c r="K741" i="5"/>
  <c r="P741" i="5" s="1"/>
  <c r="L741" i="5"/>
  <c r="Q741" i="5" s="1"/>
  <c r="K740" i="5"/>
  <c r="P740" i="5" s="1"/>
  <c r="L740" i="5"/>
  <c r="Q740" i="5" s="1"/>
  <c r="K739" i="5"/>
  <c r="P739" i="5" s="1"/>
  <c r="L739" i="5"/>
  <c r="Q739" i="5" s="1"/>
  <c r="K738" i="5"/>
  <c r="P738" i="5" s="1"/>
  <c r="L738" i="5"/>
  <c r="Q738" i="5" s="1"/>
  <c r="K737" i="5"/>
  <c r="P737" i="5" s="1"/>
  <c r="L737" i="5"/>
  <c r="Q737" i="5" s="1"/>
  <c r="K736" i="5"/>
  <c r="P736" i="5" s="1"/>
  <c r="L736" i="5"/>
  <c r="Q736" i="5" s="1"/>
  <c r="K735" i="5"/>
  <c r="P735" i="5" s="1"/>
  <c r="L735" i="5"/>
  <c r="Q735" i="5" s="1"/>
  <c r="K734" i="5"/>
  <c r="P734" i="5" s="1"/>
  <c r="L734" i="5"/>
  <c r="Q734" i="5" s="1"/>
  <c r="K733" i="5"/>
  <c r="P733" i="5" s="1"/>
  <c r="L733" i="5"/>
  <c r="Q733" i="5" s="1"/>
  <c r="K732" i="5"/>
  <c r="P732" i="5" s="1"/>
  <c r="L732" i="5"/>
  <c r="Q732" i="5" s="1"/>
  <c r="K731" i="5"/>
  <c r="P731" i="5" s="1"/>
  <c r="L731" i="5"/>
  <c r="Q731" i="5" s="1"/>
  <c r="K730" i="5"/>
  <c r="P730" i="5" s="1"/>
  <c r="L730" i="5"/>
  <c r="Q730" i="5" s="1"/>
  <c r="K729" i="5"/>
  <c r="P729" i="5" s="1"/>
  <c r="L729" i="5"/>
  <c r="Q729" i="5" s="1"/>
  <c r="K728" i="5"/>
  <c r="P728" i="5" s="1"/>
  <c r="L728" i="5"/>
  <c r="Q728" i="5" s="1"/>
  <c r="K727" i="5"/>
  <c r="P727" i="5" s="1"/>
  <c r="L727" i="5"/>
  <c r="Q727" i="5" s="1"/>
  <c r="K726" i="5"/>
  <c r="P726" i="5" s="1"/>
  <c r="L726" i="5"/>
  <c r="Q726" i="5" s="1"/>
  <c r="K725" i="5"/>
  <c r="P725" i="5" s="1"/>
  <c r="L725" i="5"/>
  <c r="Q725" i="5" s="1"/>
  <c r="K724" i="5"/>
  <c r="P724" i="5" s="1"/>
  <c r="L724" i="5"/>
  <c r="Q724" i="5" s="1"/>
  <c r="K723" i="5"/>
  <c r="P723" i="5" s="1"/>
  <c r="L723" i="5"/>
  <c r="Q723" i="5" s="1"/>
  <c r="K722" i="5"/>
  <c r="P722" i="5" s="1"/>
  <c r="L722" i="5"/>
  <c r="Q722" i="5" s="1"/>
  <c r="K721" i="5"/>
  <c r="P721" i="5" s="1"/>
  <c r="L721" i="5"/>
  <c r="Q721" i="5" s="1"/>
  <c r="K720" i="5"/>
  <c r="P720" i="5" s="1"/>
  <c r="L720" i="5"/>
  <c r="Q720" i="5" s="1"/>
  <c r="K719" i="5"/>
  <c r="P719" i="5" s="1"/>
  <c r="L719" i="5"/>
  <c r="Q719" i="5" s="1"/>
  <c r="K718" i="5"/>
  <c r="P718" i="5" s="1"/>
  <c r="L718" i="5"/>
  <c r="Q718" i="5" s="1"/>
  <c r="K717" i="5"/>
  <c r="P717" i="5" s="1"/>
  <c r="L717" i="5"/>
  <c r="Q717" i="5" s="1"/>
  <c r="K716" i="5"/>
  <c r="P716" i="5" s="1"/>
  <c r="L716" i="5"/>
  <c r="Q716" i="5" s="1"/>
  <c r="K715" i="5"/>
  <c r="P715" i="5" s="1"/>
  <c r="L715" i="5"/>
  <c r="Q715" i="5" s="1"/>
  <c r="K714" i="5"/>
  <c r="P714" i="5" s="1"/>
  <c r="L714" i="5"/>
  <c r="Q714" i="5" s="1"/>
  <c r="K713" i="5"/>
  <c r="P713" i="5" s="1"/>
  <c r="L713" i="5"/>
  <c r="Q713" i="5" s="1"/>
  <c r="K712" i="5"/>
  <c r="P712" i="5" s="1"/>
  <c r="L712" i="5"/>
  <c r="Q712" i="5" s="1"/>
  <c r="K711" i="5"/>
  <c r="P711" i="5" s="1"/>
  <c r="L711" i="5"/>
  <c r="Q711" i="5" s="1"/>
  <c r="K710" i="5"/>
  <c r="P710" i="5" s="1"/>
  <c r="L710" i="5"/>
  <c r="Q710" i="5" s="1"/>
  <c r="K709" i="5"/>
  <c r="P709" i="5" s="1"/>
  <c r="L709" i="5"/>
  <c r="Q709" i="5" s="1"/>
  <c r="K708" i="5"/>
  <c r="P708" i="5" s="1"/>
  <c r="L708" i="5"/>
  <c r="Q708" i="5" s="1"/>
  <c r="K707" i="5"/>
  <c r="P707" i="5" s="1"/>
  <c r="L707" i="5"/>
  <c r="Q707" i="5" s="1"/>
  <c r="K706" i="5"/>
  <c r="P706" i="5" s="1"/>
  <c r="L706" i="5"/>
  <c r="Q706" i="5" s="1"/>
  <c r="K705" i="5"/>
  <c r="P705" i="5" s="1"/>
  <c r="L705" i="5"/>
  <c r="Q705" i="5" s="1"/>
  <c r="K704" i="5"/>
  <c r="P704" i="5" s="1"/>
  <c r="L704" i="5"/>
  <c r="Q704" i="5" s="1"/>
  <c r="K703" i="5"/>
  <c r="P703" i="5" s="1"/>
  <c r="L703" i="5"/>
  <c r="Q703" i="5" s="1"/>
  <c r="K702" i="5"/>
  <c r="P702" i="5" s="1"/>
  <c r="L702" i="5"/>
  <c r="Q702" i="5" s="1"/>
  <c r="K701" i="5"/>
  <c r="P701" i="5" s="1"/>
  <c r="L701" i="5"/>
  <c r="Q701" i="5" s="1"/>
  <c r="K700" i="5"/>
  <c r="P700" i="5" s="1"/>
  <c r="L700" i="5"/>
  <c r="Q700" i="5" s="1"/>
  <c r="K699" i="5"/>
  <c r="P699" i="5" s="1"/>
  <c r="L699" i="5"/>
  <c r="Q699" i="5" s="1"/>
  <c r="K698" i="5"/>
  <c r="P698" i="5" s="1"/>
  <c r="L698" i="5"/>
  <c r="Q698" i="5" s="1"/>
  <c r="K697" i="5"/>
  <c r="P697" i="5" s="1"/>
  <c r="L697" i="5"/>
  <c r="Q697" i="5" s="1"/>
  <c r="K696" i="5"/>
  <c r="P696" i="5" s="1"/>
  <c r="L696" i="5"/>
  <c r="Q696" i="5" s="1"/>
  <c r="K695" i="5"/>
  <c r="P695" i="5" s="1"/>
  <c r="L695" i="5"/>
  <c r="Q695" i="5" s="1"/>
  <c r="K694" i="5"/>
  <c r="P694" i="5" s="1"/>
  <c r="L694" i="5"/>
  <c r="Q694" i="5" s="1"/>
  <c r="K693" i="5"/>
  <c r="P693" i="5" s="1"/>
  <c r="L693" i="5"/>
  <c r="Q693" i="5" s="1"/>
  <c r="K692" i="5"/>
  <c r="P692" i="5" s="1"/>
  <c r="L692" i="5"/>
  <c r="Q692" i="5" s="1"/>
  <c r="K691" i="5"/>
  <c r="P691" i="5" s="1"/>
  <c r="L691" i="5"/>
  <c r="Q691" i="5" s="1"/>
  <c r="K690" i="5"/>
  <c r="P690" i="5" s="1"/>
  <c r="L690" i="5"/>
  <c r="Q690" i="5" s="1"/>
  <c r="K689" i="5"/>
  <c r="P689" i="5" s="1"/>
  <c r="L689" i="5"/>
  <c r="Q689" i="5" s="1"/>
  <c r="K688" i="5"/>
  <c r="P688" i="5" s="1"/>
  <c r="L688" i="5"/>
  <c r="Q688" i="5" s="1"/>
  <c r="K687" i="5"/>
  <c r="P687" i="5" s="1"/>
  <c r="L687" i="5"/>
  <c r="Q687" i="5" s="1"/>
  <c r="K686" i="5"/>
  <c r="P686" i="5" s="1"/>
  <c r="L686" i="5"/>
  <c r="Q686" i="5" s="1"/>
  <c r="K685" i="5"/>
  <c r="P685" i="5" s="1"/>
  <c r="L685" i="5"/>
  <c r="Q685" i="5" s="1"/>
  <c r="K684" i="5"/>
  <c r="P684" i="5" s="1"/>
  <c r="L684" i="5"/>
  <c r="Q684" i="5" s="1"/>
  <c r="K683" i="5"/>
  <c r="P683" i="5" s="1"/>
  <c r="L683" i="5"/>
  <c r="Q683" i="5" s="1"/>
  <c r="K682" i="5"/>
  <c r="P682" i="5" s="1"/>
  <c r="L682" i="5"/>
  <c r="Q682" i="5" s="1"/>
  <c r="K681" i="5"/>
  <c r="P681" i="5" s="1"/>
  <c r="L681" i="5"/>
  <c r="Q681" i="5" s="1"/>
  <c r="K680" i="5"/>
  <c r="P680" i="5" s="1"/>
  <c r="L680" i="5"/>
  <c r="Q680" i="5" s="1"/>
  <c r="K679" i="5"/>
  <c r="P679" i="5" s="1"/>
  <c r="L679" i="5"/>
  <c r="Q679" i="5" s="1"/>
  <c r="K678" i="5"/>
  <c r="P678" i="5" s="1"/>
  <c r="L678" i="5"/>
  <c r="Q678" i="5" s="1"/>
  <c r="K677" i="5"/>
  <c r="P677" i="5" s="1"/>
  <c r="L677" i="5"/>
  <c r="Q677" i="5" s="1"/>
  <c r="K676" i="5"/>
  <c r="P676" i="5" s="1"/>
  <c r="L676" i="5"/>
  <c r="Q676" i="5" s="1"/>
  <c r="K675" i="5"/>
  <c r="P675" i="5" s="1"/>
  <c r="L675" i="5"/>
  <c r="Q675" i="5" s="1"/>
  <c r="K674" i="5"/>
  <c r="P674" i="5" s="1"/>
  <c r="L674" i="5"/>
  <c r="Q674" i="5" s="1"/>
  <c r="K673" i="5"/>
  <c r="P673" i="5" s="1"/>
  <c r="L673" i="5"/>
  <c r="Q673" i="5" s="1"/>
  <c r="K672" i="5"/>
  <c r="P672" i="5" s="1"/>
  <c r="L672" i="5"/>
  <c r="Q672" i="5" s="1"/>
  <c r="K671" i="5"/>
  <c r="P671" i="5" s="1"/>
  <c r="L671" i="5"/>
  <c r="Q671" i="5" s="1"/>
  <c r="K670" i="5"/>
  <c r="P670" i="5" s="1"/>
  <c r="L670" i="5"/>
  <c r="Q670" i="5" s="1"/>
  <c r="K669" i="5"/>
  <c r="P669" i="5" s="1"/>
  <c r="L669" i="5"/>
  <c r="Q669" i="5" s="1"/>
  <c r="K668" i="5"/>
  <c r="P668" i="5" s="1"/>
  <c r="L668" i="5"/>
  <c r="Q668" i="5" s="1"/>
  <c r="K667" i="5"/>
  <c r="P667" i="5" s="1"/>
  <c r="L667" i="5"/>
  <c r="Q667" i="5" s="1"/>
  <c r="K666" i="5"/>
  <c r="P666" i="5" s="1"/>
  <c r="L666" i="5"/>
  <c r="Q666" i="5" s="1"/>
  <c r="K665" i="5"/>
  <c r="P665" i="5" s="1"/>
  <c r="L665" i="5"/>
  <c r="Q665" i="5" s="1"/>
  <c r="K664" i="5"/>
  <c r="P664" i="5" s="1"/>
  <c r="L664" i="5"/>
  <c r="Q664" i="5" s="1"/>
  <c r="K663" i="5"/>
  <c r="P663" i="5" s="1"/>
  <c r="L663" i="5"/>
  <c r="Q663" i="5" s="1"/>
  <c r="K662" i="5"/>
  <c r="P662" i="5" s="1"/>
  <c r="L662" i="5"/>
  <c r="Q662" i="5" s="1"/>
  <c r="K661" i="5"/>
  <c r="P661" i="5" s="1"/>
  <c r="L661" i="5"/>
  <c r="Q661" i="5" s="1"/>
  <c r="K660" i="5"/>
  <c r="P660" i="5" s="1"/>
  <c r="L660" i="5"/>
  <c r="Q660" i="5" s="1"/>
  <c r="K659" i="5"/>
  <c r="P659" i="5" s="1"/>
  <c r="L659" i="5"/>
  <c r="Q659" i="5" s="1"/>
  <c r="K658" i="5"/>
  <c r="P658" i="5" s="1"/>
  <c r="L658" i="5"/>
  <c r="Q658" i="5" s="1"/>
  <c r="K657" i="5"/>
  <c r="P657" i="5" s="1"/>
  <c r="L657" i="5"/>
  <c r="Q657" i="5" s="1"/>
  <c r="K656" i="5"/>
  <c r="P656" i="5" s="1"/>
  <c r="L656" i="5"/>
  <c r="Q656" i="5" s="1"/>
  <c r="K655" i="5"/>
  <c r="P655" i="5" s="1"/>
  <c r="L655" i="5"/>
  <c r="Q655" i="5" s="1"/>
  <c r="K654" i="5"/>
  <c r="P654" i="5" s="1"/>
  <c r="L654" i="5"/>
  <c r="Q654" i="5" s="1"/>
  <c r="K653" i="5"/>
  <c r="P653" i="5" s="1"/>
  <c r="L653" i="5"/>
  <c r="Q653" i="5" s="1"/>
  <c r="K652" i="5"/>
  <c r="P652" i="5" s="1"/>
  <c r="L652" i="5"/>
  <c r="Q652" i="5" s="1"/>
  <c r="K651" i="5"/>
  <c r="P651" i="5" s="1"/>
  <c r="L651" i="5"/>
  <c r="Q651" i="5" s="1"/>
  <c r="K650" i="5"/>
  <c r="P650" i="5" s="1"/>
  <c r="L650" i="5"/>
  <c r="Q650" i="5" s="1"/>
  <c r="K649" i="5"/>
  <c r="P649" i="5" s="1"/>
  <c r="L649" i="5"/>
  <c r="Q649" i="5" s="1"/>
  <c r="K648" i="5"/>
  <c r="P648" i="5" s="1"/>
  <c r="L648" i="5"/>
  <c r="Q648" i="5" s="1"/>
  <c r="K647" i="5"/>
  <c r="P647" i="5" s="1"/>
  <c r="L647" i="5"/>
  <c r="Q647" i="5" s="1"/>
  <c r="K646" i="5"/>
  <c r="P646" i="5" s="1"/>
  <c r="L646" i="5"/>
  <c r="Q646" i="5" s="1"/>
  <c r="K645" i="5"/>
  <c r="P645" i="5" s="1"/>
  <c r="L645" i="5"/>
  <c r="Q645" i="5" s="1"/>
  <c r="K644" i="5"/>
  <c r="P644" i="5" s="1"/>
  <c r="L644" i="5"/>
  <c r="Q644" i="5" s="1"/>
  <c r="K643" i="5"/>
  <c r="P643" i="5" s="1"/>
  <c r="L643" i="5"/>
  <c r="Q643" i="5" s="1"/>
  <c r="K642" i="5"/>
  <c r="P642" i="5" s="1"/>
  <c r="L642" i="5"/>
  <c r="Q642" i="5" s="1"/>
  <c r="K641" i="5"/>
  <c r="P641" i="5" s="1"/>
  <c r="L641" i="5"/>
  <c r="Q641" i="5" s="1"/>
  <c r="K640" i="5"/>
  <c r="P640" i="5" s="1"/>
  <c r="L640" i="5"/>
  <c r="Q640" i="5" s="1"/>
  <c r="K639" i="5"/>
  <c r="P639" i="5" s="1"/>
  <c r="L639" i="5"/>
  <c r="Q639" i="5" s="1"/>
  <c r="K638" i="5"/>
  <c r="P638" i="5" s="1"/>
  <c r="L638" i="5"/>
  <c r="Q638" i="5" s="1"/>
  <c r="K637" i="5"/>
  <c r="P637" i="5" s="1"/>
  <c r="L637" i="5"/>
  <c r="Q637" i="5" s="1"/>
  <c r="K636" i="5"/>
  <c r="P636" i="5" s="1"/>
  <c r="L636" i="5"/>
  <c r="Q636" i="5" s="1"/>
  <c r="K635" i="5"/>
  <c r="P635" i="5" s="1"/>
  <c r="L635" i="5"/>
  <c r="Q635" i="5" s="1"/>
  <c r="K634" i="5"/>
  <c r="P634" i="5" s="1"/>
  <c r="L634" i="5"/>
  <c r="Q634" i="5" s="1"/>
  <c r="K633" i="5"/>
  <c r="P633" i="5" s="1"/>
  <c r="L633" i="5"/>
  <c r="Q633" i="5" s="1"/>
  <c r="K632" i="5"/>
  <c r="P632" i="5" s="1"/>
  <c r="L632" i="5"/>
  <c r="Q632" i="5" s="1"/>
  <c r="K631" i="5"/>
  <c r="P631" i="5" s="1"/>
  <c r="L631" i="5"/>
  <c r="Q631" i="5" s="1"/>
  <c r="K630" i="5"/>
  <c r="P630" i="5" s="1"/>
  <c r="L630" i="5"/>
  <c r="Q630" i="5" s="1"/>
  <c r="K629" i="5"/>
  <c r="P629" i="5" s="1"/>
  <c r="L629" i="5"/>
  <c r="Q629" i="5" s="1"/>
  <c r="K628" i="5"/>
  <c r="P628" i="5" s="1"/>
  <c r="L628" i="5"/>
  <c r="Q628" i="5" s="1"/>
  <c r="K627" i="5"/>
  <c r="P627" i="5" s="1"/>
  <c r="L627" i="5"/>
  <c r="Q627" i="5" s="1"/>
  <c r="K626" i="5"/>
  <c r="P626" i="5" s="1"/>
  <c r="L626" i="5"/>
  <c r="Q626" i="5" s="1"/>
  <c r="K625" i="5"/>
  <c r="P625" i="5" s="1"/>
  <c r="L625" i="5"/>
  <c r="Q625" i="5" s="1"/>
  <c r="K624" i="5"/>
  <c r="P624" i="5" s="1"/>
  <c r="L624" i="5"/>
  <c r="Q624" i="5" s="1"/>
  <c r="K623" i="5"/>
  <c r="P623" i="5" s="1"/>
  <c r="L623" i="5"/>
  <c r="Q623" i="5" s="1"/>
  <c r="K622" i="5"/>
  <c r="P622" i="5" s="1"/>
  <c r="L622" i="5"/>
  <c r="Q622" i="5" s="1"/>
  <c r="K621" i="5"/>
  <c r="P621" i="5" s="1"/>
  <c r="L621" i="5"/>
  <c r="Q621" i="5" s="1"/>
  <c r="K620" i="5"/>
  <c r="P620" i="5" s="1"/>
  <c r="L620" i="5"/>
  <c r="Q620" i="5" s="1"/>
  <c r="K619" i="5"/>
  <c r="P619" i="5" s="1"/>
  <c r="L619" i="5"/>
  <c r="Q619" i="5" s="1"/>
  <c r="K618" i="5"/>
  <c r="P618" i="5" s="1"/>
  <c r="L618" i="5"/>
  <c r="Q618" i="5" s="1"/>
  <c r="K617" i="5"/>
  <c r="P617" i="5" s="1"/>
  <c r="L617" i="5"/>
  <c r="Q617" i="5" s="1"/>
  <c r="K616" i="5"/>
  <c r="P616" i="5" s="1"/>
  <c r="L616" i="5"/>
  <c r="Q616" i="5" s="1"/>
  <c r="K615" i="5"/>
  <c r="P615" i="5" s="1"/>
  <c r="L615" i="5"/>
  <c r="Q615" i="5" s="1"/>
  <c r="K614" i="5"/>
  <c r="P614" i="5" s="1"/>
  <c r="L614" i="5"/>
  <c r="Q614" i="5" s="1"/>
  <c r="K613" i="5"/>
  <c r="P613" i="5" s="1"/>
  <c r="L613" i="5"/>
  <c r="Q613" i="5" s="1"/>
  <c r="K612" i="5"/>
  <c r="P612" i="5" s="1"/>
  <c r="L612" i="5"/>
  <c r="Q612" i="5" s="1"/>
  <c r="K611" i="5"/>
  <c r="P611" i="5" s="1"/>
  <c r="L611" i="5"/>
  <c r="Q611" i="5" s="1"/>
  <c r="K610" i="5"/>
  <c r="P610" i="5" s="1"/>
  <c r="L610" i="5"/>
  <c r="Q610" i="5" s="1"/>
  <c r="K609" i="5"/>
  <c r="P609" i="5" s="1"/>
  <c r="L609" i="5"/>
  <c r="Q609" i="5" s="1"/>
  <c r="K608" i="5"/>
  <c r="P608" i="5" s="1"/>
  <c r="L608" i="5"/>
  <c r="Q608" i="5" s="1"/>
  <c r="K607" i="5"/>
  <c r="P607" i="5" s="1"/>
  <c r="L607" i="5"/>
  <c r="Q607" i="5" s="1"/>
  <c r="K606" i="5"/>
  <c r="P606" i="5" s="1"/>
  <c r="L606" i="5"/>
  <c r="Q606" i="5" s="1"/>
  <c r="K605" i="5"/>
  <c r="P605" i="5" s="1"/>
  <c r="L605" i="5"/>
  <c r="Q605" i="5" s="1"/>
  <c r="K604" i="5"/>
  <c r="P604" i="5" s="1"/>
  <c r="L604" i="5"/>
  <c r="Q604" i="5" s="1"/>
  <c r="K603" i="5"/>
  <c r="P603" i="5" s="1"/>
  <c r="L603" i="5"/>
  <c r="Q603" i="5" s="1"/>
  <c r="K602" i="5"/>
  <c r="P602" i="5" s="1"/>
  <c r="L602" i="5"/>
  <c r="Q602" i="5" s="1"/>
  <c r="K601" i="5"/>
  <c r="P601" i="5" s="1"/>
  <c r="L601" i="5"/>
  <c r="Q601" i="5" s="1"/>
  <c r="K600" i="5"/>
  <c r="P600" i="5" s="1"/>
  <c r="L600" i="5"/>
  <c r="Q600" i="5" s="1"/>
  <c r="K599" i="5"/>
  <c r="P599" i="5" s="1"/>
  <c r="L599" i="5"/>
  <c r="Q599" i="5" s="1"/>
  <c r="K598" i="5"/>
  <c r="P598" i="5" s="1"/>
  <c r="L598" i="5"/>
  <c r="Q598" i="5" s="1"/>
  <c r="K597" i="5"/>
  <c r="P597" i="5" s="1"/>
  <c r="L597" i="5"/>
  <c r="Q597" i="5" s="1"/>
  <c r="K596" i="5"/>
  <c r="P596" i="5" s="1"/>
  <c r="L596" i="5"/>
  <c r="Q596" i="5" s="1"/>
  <c r="K595" i="5"/>
  <c r="P595" i="5" s="1"/>
  <c r="L595" i="5"/>
  <c r="Q595" i="5" s="1"/>
  <c r="K594" i="5"/>
  <c r="P594" i="5" s="1"/>
  <c r="L594" i="5"/>
  <c r="Q594" i="5" s="1"/>
  <c r="K593" i="5"/>
  <c r="P593" i="5" s="1"/>
  <c r="L593" i="5"/>
  <c r="Q593" i="5" s="1"/>
  <c r="K592" i="5"/>
  <c r="P592" i="5" s="1"/>
  <c r="L592" i="5"/>
  <c r="Q592" i="5" s="1"/>
  <c r="K591" i="5"/>
  <c r="P591" i="5" s="1"/>
  <c r="L591" i="5"/>
  <c r="Q591" i="5" s="1"/>
  <c r="K590" i="5"/>
  <c r="P590" i="5" s="1"/>
  <c r="L590" i="5"/>
  <c r="Q590" i="5" s="1"/>
  <c r="K589" i="5"/>
  <c r="P589" i="5" s="1"/>
  <c r="L589" i="5"/>
  <c r="Q589" i="5" s="1"/>
  <c r="K588" i="5"/>
  <c r="P588" i="5" s="1"/>
  <c r="L588" i="5"/>
  <c r="Q588" i="5" s="1"/>
  <c r="K587" i="5"/>
  <c r="P587" i="5" s="1"/>
  <c r="L587" i="5"/>
  <c r="Q587" i="5" s="1"/>
  <c r="K586" i="5"/>
  <c r="P586" i="5" s="1"/>
  <c r="L586" i="5"/>
  <c r="Q586" i="5" s="1"/>
  <c r="K585" i="5"/>
  <c r="P585" i="5" s="1"/>
  <c r="L585" i="5"/>
  <c r="Q585" i="5" s="1"/>
  <c r="K584" i="5"/>
  <c r="P584" i="5" s="1"/>
  <c r="L584" i="5"/>
  <c r="Q584" i="5" s="1"/>
  <c r="K583" i="5"/>
  <c r="P583" i="5" s="1"/>
  <c r="L583" i="5"/>
  <c r="Q583" i="5" s="1"/>
  <c r="K582" i="5"/>
  <c r="P582" i="5" s="1"/>
  <c r="L582" i="5"/>
  <c r="Q582" i="5" s="1"/>
  <c r="K581" i="5"/>
  <c r="P581" i="5" s="1"/>
  <c r="L581" i="5"/>
  <c r="Q581" i="5" s="1"/>
  <c r="K580" i="5"/>
  <c r="P580" i="5" s="1"/>
  <c r="L580" i="5"/>
  <c r="Q580" i="5" s="1"/>
  <c r="K579" i="5"/>
  <c r="P579" i="5" s="1"/>
  <c r="L579" i="5"/>
  <c r="Q579" i="5" s="1"/>
  <c r="K578" i="5"/>
  <c r="P578" i="5" s="1"/>
  <c r="L578" i="5"/>
  <c r="Q578" i="5" s="1"/>
  <c r="K577" i="5"/>
  <c r="P577" i="5" s="1"/>
  <c r="L577" i="5"/>
  <c r="Q577" i="5" s="1"/>
  <c r="K576" i="5"/>
  <c r="P576" i="5" s="1"/>
  <c r="L576" i="5"/>
  <c r="Q576" i="5" s="1"/>
  <c r="K575" i="5"/>
  <c r="P575" i="5" s="1"/>
  <c r="L575" i="5"/>
  <c r="Q575" i="5" s="1"/>
  <c r="K574" i="5"/>
  <c r="P574" i="5" s="1"/>
  <c r="L574" i="5"/>
  <c r="Q574" i="5" s="1"/>
  <c r="K573" i="5"/>
  <c r="P573" i="5" s="1"/>
  <c r="L573" i="5"/>
  <c r="Q573" i="5" s="1"/>
  <c r="K572" i="5"/>
  <c r="P572" i="5" s="1"/>
  <c r="L572" i="5"/>
  <c r="Q572" i="5" s="1"/>
  <c r="K571" i="5"/>
  <c r="P571" i="5" s="1"/>
  <c r="L571" i="5"/>
  <c r="Q571" i="5" s="1"/>
  <c r="K570" i="5"/>
  <c r="P570" i="5" s="1"/>
  <c r="L570" i="5"/>
  <c r="Q570" i="5" s="1"/>
  <c r="K569" i="5"/>
  <c r="P569" i="5" s="1"/>
  <c r="L569" i="5"/>
  <c r="Q569" i="5" s="1"/>
  <c r="K568" i="5"/>
  <c r="P568" i="5" s="1"/>
  <c r="L568" i="5"/>
  <c r="Q568" i="5" s="1"/>
  <c r="K567" i="5"/>
  <c r="P567" i="5" s="1"/>
  <c r="L567" i="5"/>
  <c r="Q567" i="5" s="1"/>
  <c r="K566" i="5"/>
  <c r="P566" i="5" s="1"/>
  <c r="L566" i="5"/>
  <c r="Q566" i="5" s="1"/>
  <c r="K565" i="5"/>
  <c r="P565" i="5" s="1"/>
  <c r="L565" i="5"/>
  <c r="Q565" i="5" s="1"/>
  <c r="K564" i="5"/>
  <c r="P564" i="5" s="1"/>
  <c r="L564" i="5"/>
  <c r="Q564" i="5" s="1"/>
  <c r="K563" i="5"/>
  <c r="P563" i="5" s="1"/>
  <c r="L563" i="5"/>
  <c r="Q563" i="5" s="1"/>
  <c r="K562" i="5"/>
  <c r="P562" i="5" s="1"/>
  <c r="L562" i="5"/>
  <c r="Q562" i="5" s="1"/>
  <c r="K561" i="5"/>
  <c r="P561" i="5" s="1"/>
  <c r="L561" i="5"/>
  <c r="Q561" i="5" s="1"/>
  <c r="K560" i="5"/>
  <c r="P560" i="5" s="1"/>
  <c r="L560" i="5"/>
  <c r="Q560" i="5" s="1"/>
  <c r="K559" i="5"/>
  <c r="P559" i="5" s="1"/>
  <c r="L559" i="5"/>
  <c r="Q559" i="5" s="1"/>
  <c r="K558" i="5"/>
  <c r="P558" i="5" s="1"/>
  <c r="L558" i="5"/>
  <c r="Q558" i="5" s="1"/>
  <c r="K557" i="5"/>
  <c r="P557" i="5" s="1"/>
  <c r="L557" i="5"/>
  <c r="Q557" i="5" s="1"/>
  <c r="K556" i="5"/>
  <c r="P556" i="5" s="1"/>
  <c r="L556" i="5"/>
  <c r="Q556" i="5" s="1"/>
  <c r="K555" i="5"/>
  <c r="P555" i="5" s="1"/>
  <c r="L555" i="5"/>
  <c r="Q555" i="5" s="1"/>
  <c r="K554" i="5"/>
  <c r="P554" i="5" s="1"/>
  <c r="L554" i="5"/>
  <c r="Q554" i="5" s="1"/>
  <c r="K553" i="5"/>
  <c r="P553" i="5" s="1"/>
  <c r="L553" i="5"/>
  <c r="Q553" i="5" s="1"/>
  <c r="K552" i="5"/>
  <c r="P552" i="5" s="1"/>
  <c r="L552" i="5"/>
  <c r="Q552" i="5" s="1"/>
  <c r="K551" i="5"/>
  <c r="P551" i="5" s="1"/>
  <c r="L551" i="5"/>
  <c r="Q551" i="5" s="1"/>
  <c r="K550" i="5"/>
  <c r="P550" i="5" s="1"/>
  <c r="L550" i="5"/>
  <c r="Q550" i="5" s="1"/>
  <c r="K549" i="5"/>
  <c r="P549" i="5" s="1"/>
  <c r="L549" i="5"/>
  <c r="Q549" i="5" s="1"/>
  <c r="K548" i="5"/>
  <c r="P548" i="5" s="1"/>
  <c r="L548" i="5"/>
  <c r="Q548" i="5" s="1"/>
  <c r="K547" i="5"/>
  <c r="P547" i="5" s="1"/>
  <c r="L547" i="5"/>
  <c r="Q547" i="5" s="1"/>
  <c r="K546" i="5"/>
  <c r="P546" i="5" s="1"/>
  <c r="L546" i="5"/>
  <c r="Q546" i="5" s="1"/>
  <c r="K545" i="5"/>
  <c r="P545" i="5" s="1"/>
  <c r="L545" i="5"/>
  <c r="Q545" i="5" s="1"/>
  <c r="K544" i="5"/>
  <c r="P544" i="5" s="1"/>
  <c r="L544" i="5"/>
  <c r="Q544" i="5" s="1"/>
  <c r="K543" i="5"/>
  <c r="P543" i="5" s="1"/>
  <c r="L543" i="5"/>
  <c r="Q543" i="5" s="1"/>
  <c r="K542" i="5"/>
  <c r="P542" i="5" s="1"/>
  <c r="L542" i="5"/>
  <c r="Q542" i="5" s="1"/>
  <c r="K541" i="5"/>
  <c r="P541" i="5" s="1"/>
  <c r="L541" i="5"/>
  <c r="Q541" i="5" s="1"/>
  <c r="K540" i="5"/>
  <c r="P540" i="5" s="1"/>
  <c r="L540" i="5"/>
  <c r="Q540" i="5" s="1"/>
  <c r="K539" i="5"/>
  <c r="P539" i="5" s="1"/>
  <c r="L539" i="5"/>
  <c r="Q539" i="5" s="1"/>
  <c r="K538" i="5"/>
  <c r="P538" i="5" s="1"/>
  <c r="L538" i="5"/>
  <c r="Q538" i="5" s="1"/>
  <c r="K537" i="5"/>
  <c r="P537" i="5" s="1"/>
  <c r="L537" i="5"/>
  <c r="Q537" i="5" s="1"/>
  <c r="K536" i="5"/>
  <c r="P536" i="5" s="1"/>
  <c r="L536" i="5"/>
  <c r="Q536" i="5" s="1"/>
  <c r="K535" i="5"/>
  <c r="P535" i="5" s="1"/>
  <c r="L535" i="5"/>
  <c r="Q535" i="5" s="1"/>
  <c r="K534" i="5"/>
  <c r="P534" i="5" s="1"/>
  <c r="L534" i="5"/>
  <c r="Q534" i="5" s="1"/>
  <c r="K533" i="5"/>
  <c r="P533" i="5" s="1"/>
  <c r="L533" i="5"/>
  <c r="Q533" i="5" s="1"/>
  <c r="K532" i="5"/>
  <c r="P532" i="5" s="1"/>
  <c r="L532" i="5"/>
  <c r="Q532" i="5" s="1"/>
  <c r="K531" i="5"/>
  <c r="P531" i="5" s="1"/>
  <c r="L531" i="5"/>
  <c r="Q531" i="5" s="1"/>
  <c r="K530" i="5"/>
  <c r="P530" i="5" s="1"/>
  <c r="L530" i="5"/>
  <c r="Q530" i="5" s="1"/>
  <c r="K529" i="5"/>
  <c r="P529" i="5" s="1"/>
  <c r="L529" i="5"/>
  <c r="Q529" i="5" s="1"/>
  <c r="K528" i="5"/>
  <c r="P528" i="5" s="1"/>
  <c r="L528" i="5"/>
  <c r="Q528" i="5" s="1"/>
  <c r="K527" i="5"/>
  <c r="P527" i="5" s="1"/>
  <c r="L527" i="5"/>
  <c r="Q527" i="5" s="1"/>
  <c r="K526" i="5"/>
  <c r="P526" i="5" s="1"/>
  <c r="L526" i="5"/>
  <c r="Q526" i="5" s="1"/>
  <c r="K525" i="5"/>
  <c r="P525" i="5" s="1"/>
  <c r="L525" i="5"/>
  <c r="Q525" i="5" s="1"/>
  <c r="K524" i="5"/>
  <c r="P524" i="5" s="1"/>
  <c r="L524" i="5"/>
  <c r="Q524" i="5" s="1"/>
  <c r="K523" i="5"/>
  <c r="P523" i="5" s="1"/>
  <c r="L523" i="5"/>
  <c r="Q523" i="5" s="1"/>
  <c r="K522" i="5"/>
  <c r="P522" i="5" s="1"/>
  <c r="L522" i="5"/>
  <c r="Q522" i="5" s="1"/>
  <c r="K521" i="5"/>
  <c r="P521" i="5" s="1"/>
  <c r="L521" i="5"/>
  <c r="Q521" i="5" s="1"/>
  <c r="K520" i="5"/>
  <c r="P520" i="5" s="1"/>
  <c r="L520" i="5"/>
  <c r="Q520" i="5" s="1"/>
  <c r="K519" i="5"/>
  <c r="P519" i="5" s="1"/>
  <c r="L519" i="5"/>
  <c r="Q519" i="5" s="1"/>
  <c r="K518" i="5"/>
  <c r="P518" i="5" s="1"/>
  <c r="L518" i="5"/>
  <c r="Q518" i="5" s="1"/>
  <c r="K517" i="5"/>
  <c r="P517" i="5" s="1"/>
  <c r="L517" i="5"/>
  <c r="Q517" i="5" s="1"/>
  <c r="K516" i="5"/>
  <c r="P516" i="5" s="1"/>
  <c r="L516" i="5"/>
  <c r="Q516" i="5" s="1"/>
  <c r="K515" i="5"/>
  <c r="P515" i="5" s="1"/>
  <c r="L515" i="5"/>
  <c r="Q515" i="5" s="1"/>
  <c r="K514" i="5"/>
  <c r="P514" i="5" s="1"/>
  <c r="L514" i="5"/>
  <c r="Q514" i="5" s="1"/>
  <c r="K513" i="5"/>
  <c r="P513" i="5" s="1"/>
  <c r="L513" i="5"/>
  <c r="Q513" i="5" s="1"/>
  <c r="K512" i="5"/>
  <c r="P512" i="5" s="1"/>
  <c r="L512" i="5"/>
  <c r="Q512" i="5" s="1"/>
  <c r="K511" i="5"/>
  <c r="P511" i="5" s="1"/>
  <c r="L511" i="5"/>
  <c r="Q511" i="5" s="1"/>
  <c r="K510" i="5"/>
  <c r="P510" i="5" s="1"/>
  <c r="L510" i="5"/>
  <c r="Q510" i="5" s="1"/>
  <c r="K509" i="5"/>
  <c r="P509" i="5" s="1"/>
  <c r="L509" i="5"/>
  <c r="Q509" i="5" s="1"/>
  <c r="K508" i="5"/>
  <c r="P508" i="5" s="1"/>
  <c r="L508" i="5"/>
  <c r="Q508" i="5" s="1"/>
  <c r="K507" i="5"/>
  <c r="P507" i="5" s="1"/>
  <c r="L507" i="5"/>
  <c r="Q507" i="5" s="1"/>
  <c r="K506" i="5"/>
  <c r="P506" i="5" s="1"/>
  <c r="L506" i="5"/>
  <c r="Q506" i="5" s="1"/>
  <c r="K505" i="5"/>
  <c r="P505" i="5" s="1"/>
  <c r="L505" i="5"/>
  <c r="Q505" i="5" s="1"/>
  <c r="K504" i="5"/>
  <c r="P504" i="5" s="1"/>
  <c r="L504" i="5"/>
  <c r="Q504" i="5" s="1"/>
  <c r="K503" i="5"/>
  <c r="P503" i="5" s="1"/>
  <c r="L503" i="5"/>
  <c r="Q503" i="5" s="1"/>
  <c r="K502" i="5"/>
  <c r="P502" i="5" s="1"/>
  <c r="L502" i="5"/>
  <c r="Q502" i="5" s="1"/>
  <c r="K501" i="5"/>
  <c r="P501" i="5" s="1"/>
  <c r="L501" i="5"/>
  <c r="Q501" i="5" s="1"/>
  <c r="L500" i="5"/>
  <c r="Q500" i="5" s="1"/>
  <c r="K500" i="5"/>
  <c r="P500" i="5" s="1"/>
  <c r="K499" i="5"/>
  <c r="P499" i="5" s="1"/>
  <c r="L499" i="5"/>
  <c r="Q499" i="5" s="1"/>
  <c r="K498" i="5"/>
  <c r="P498" i="5" s="1"/>
  <c r="L498" i="5"/>
  <c r="Q498" i="5" s="1"/>
  <c r="K497" i="5"/>
  <c r="P497" i="5" s="1"/>
  <c r="L497" i="5"/>
  <c r="Q497" i="5" s="1"/>
  <c r="K496" i="5"/>
  <c r="P496" i="5" s="1"/>
  <c r="L496" i="5"/>
  <c r="Q496" i="5" s="1"/>
  <c r="K495" i="5"/>
  <c r="P495" i="5" s="1"/>
  <c r="L495" i="5"/>
  <c r="Q495" i="5" s="1"/>
  <c r="K494" i="5"/>
  <c r="P494" i="5" s="1"/>
  <c r="L494" i="5"/>
  <c r="Q494" i="5" s="1"/>
  <c r="K493" i="5"/>
  <c r="P493" i="5" s="1"/>
  <c r="L493" i="5"/>
  <c r="Q493" i="5" s="1"/>
  <c r="K492" i="5"/>
  <c r="P492" i="5" s="1"/>
  <c r="L492" i="5"/>
  <c r="Q492" i="5" s="1"/>
  <c r="K491" i="5"/>
  <c r="P491" i="5" s="1"/>
  <c r="L491" i="5"/>
  <c r="Q491" i="5" s="1"/>
  <c r="K490" i="5"/>
  <c r="P490" i="5" s="1"/>
  <c r="L490" i="5"/>
  <c r="Q490" i="5" s="1"/>
  <c r="K489" i="5"/>
  <c r="P489" i="5" s="1"/>
  <c r="L489" i="5"/>
  <c r="Q489" i="5" s="1"/>
  <c r="K488" i="5"/>
  <c r="P488" i="5" s="1"/>
  <c r="L488" i="5"/>
  <c r="Q488" i="5" s="1"/>
  <c r="K487" i="5"/>
  <c r="P487" i="5" s="1"/>
  <c r="L487" i="5"/>
  <c r="Q487" i="5" s="1"/>
  <c r="K486" i="5"/>
  <c r="P486" i="5" s="1"/>
  <c r="L486" i="5"/>
  <c r="Q486" i="5" s="1"/>
  <c r="K485" i="5"/>
  <c r="P485" i="5" s="1"/>
  <c r="L485" i="5"/>
  <c r="Q485" i="5" s="1"/>
  <c r="K484" i="5"/>
  <c r="P484" i="5" s="1"/>
  <c r="L484" i="5"/>
  <c r="Q484" i="5" s="1"/>
  <c r="K483" i="5"/>
  <c r="P483" i="5" s="1"/>
  <c r="L483" i="5"/>
  <c r="Q483" i="5" s="1"/>
  <c r="K482" i="5"/>
  <c r="P482" i="5" s="1"/>
  <c r="L482" i="5"/>
  <c r="Q482" i="5" s="1"/>
  <c r="K481" i="5"/>
  <c r="P481" i="5" s="1"/>
  <c r="L481" i="5"/>
  <c r="Q481" i="5" s="1"/>
  <c r="K480" i="5"/>
  <c r="P480" i="5" s="1"/>
  <c r="L480" i="5"/>
  <c r="Q480" i="5" s="1"/>
  <c r="K479" i="5"/>
  <c r="P479" i="5" s="1"/>
  <c r="L479" i="5"/>
  <c r="Q479" i="5" s="1"/>
  <c r="K478" i="5"/>
  <c r="P478" i="5" s="1"/>
  <c r="L478" i="5"/>
  <c r="Q478" i="5" s="1"/>
  <c r="K477" i="5"/>
  <c r="P477" i="5" s="1"/>
  <c r="L477" i="5"/>
  <c r="Q477" i="5" s="1"/>
  <c r="K476" i="5"/>
  <c r="P476" i="5" s="1"/>
  <c r="L476" i="5"/>
  <c r="Q476" i="5" s="1"/>
  <c r="K475" i="5"/>
  <c r="P475" i="5" s="1"/>
  <c r="L475" i="5"/>
  <c r="Q475" i="5" s="1"/>
  <c r="K474" i="5"/>
  <c r="P474" i="5" s="1"/>
  <c r="L474" i="5"/>
  <c r="Q474" i="5" s="1"/>
  <c r="K473" i="5"/>
  <c r="P473" i="5" s="1"/>
  <c r="L473" i="5"/>
  <c r="Q473" i="5" s="1"/>
  <c r="K472" i="5"/>
  <c r="P472" i="5" s="1"/>
  <c r="L472" i="5"/>
  <c r="Q472" i="5" s="1"/>
  <c r="K471" i="5"/>
  <c r="P471" i="5" s="1"/>
  <c r="L471" i="5"/>
  <c r="Q471" i="5" s="1"/>
  <c r="K470" i="5"/>
  <c r="P470" i="5" s="1"/>
  <c r="L470" i="5"/>
  <c r="Q470" i="5" s="1"/>
  <c r="K469" i="5"/>
  <c r="P469" i="5" s="1"/>
  <c r="L469" i="5"/>
  <c r="Q469" i="5" s="1"/>
  <c r="K468" i="5"/>
  <c r="P468" i="5" s="1"/>
  <c r="L468" i="5"/>
  <c r="Q468" i="5" s="1"/>
  <c r="K467" i="5"/>
  <c r="P467" i="5" s="1"/>
  <c r="L467" i="5"/>
  <c r="Q467" i="5" s="1"/>
  <c r="K466" i="5"/>
  <c r="P466" i="5" s="1"/>
  <c r="L466" i="5"/>
  <c r="Q466" i="5" s="1"/>
  <c r="K465" i="5"/>
  <c r="P465" i="5" s="1"/>
  <c r="L465" i="5"/>
  <c r="Q465" i="5" s="1"/>
  <c r="K464" i="5"/>
  <c r="P464" i="5" s="1"/>
  <c r="L464" i="5"/>
  <c r="Q464" i="5" s="1"/>
  <c r="K463" i="5"/>
  <c r="P463" i="5" s="1"/>
  <c r="L463" i="5"/>
  <c r="Q463" i="5" s="1"/>
  <c r="K462" i="5"/>
  <c r="P462" i="5" s="1"/>
  <c r="L462" i="5"/>
  <c r="Q462" i="5" s="1"/>
  <c r="K461" i="5"/>
  <c r="P461" i="5" s="1"/>
  <c r="L461" i="5"/>
  <c r="Q461" i="5" s="1"/>
  <c r="K460" i="5"/>
  <c r="P460" i="5" s="1"/>
  <c r="L460" i="5"/>
  <c r="Q460" i="5" s="1"/>
  <c r="K459" i="5"/>
  <c r="P459" i="5" s="1"/>
  <c r="L459" i="5"/>
  <c r="Q459" i="5" s="1"/>
  <c r="K458" i="5"/>
  <c r="P458" i="5" s="1"/>
  <c r="L458" i="5"/>
  <c r="Q458" i="5" s="1"/>
  <c r="K457" i="5"/>
  <c r="P457" i="5" s="1"/>
  <c r="L457" i="5"/>
  <c r="Q457" i="5" s="1"/>
  <c r="K456" i="5"/>
  <c r="P456" i="5" s="1"/>
  <c r="L456" i="5"/>
  <c r="Q456" i="5" s="1"/>
  <c r="K455" i="5"/>
  <c r="P455" i="5" s="1"/>
  <c r="L455" i="5"/>
  <c r="Q455" i="5" s="1"/>
  <c r="K454" i="5"/>
  <c r="P454" i="5" s="1"/>
  <c r="L454" i="5"/>
  <c r="Q454" i="5" s="1"/>
  <c r="K453" i="5"/>
  <c r="P453" i="5" s="1"/>
  <c r="L453" i="5"/>
  <c r="Q453" i="5" s="1"/>
  <c r="K452" i="5"/>
  <c r="P452" i="5" s="1"/>
  <c r="L452" i="5"/>
  <c r="Q452" i="5" s="1"/>
  <c r="K451" i="5"/>
  <c r="P451" i="5" s="1"/>
  <c r="L451" i="5"/>
  <c r="Q451" i="5" s="1"/>
  <c r="K450" i="5"/>
  <c r="P450" i="5" s="1"/>
  <c r="L450" i="5"/>
  <c r="Q450" i="5" s="1"/>
  <c r="K449" i="5"/>
  <c r="P449" i="5" s="1"/>
  <c r="L449" i="5"/>
  <c r="Q449" i="5" s="1"/>
  <c r="K448" i="5"/>
  <c r="P448" i="5" s="1"/>
  <c r="L448" i="5"/>
  <c r="Q448" i="5" s="1"/>
  <c r="K447" i="5"/>
  <c r="P447" i="5" s="1"/>
  <c r="L447" i="5"/>
  <c r="Q447" i="5" s="1"/>
  <c r="K446" i="5"/>
  <c r="P446" i="5" s="1"/>
  <c r="L446" i="5"/>
  <c r="Q446" i="5" s="1"/>
  <c r="K445" i="5"/>
  <c r="P445" i="5" s="1"/>
  <c r="L445" i="5"/>
  <c r="Q445" i="5" s="1"/>
  <c r="K444" i="5"/>
  <c r="P444" i="5" s="1"/>
  <c r="L444" i="5"/>
  <c r="Q444" i="5" s="1"/>
  <c r="K443" i="5"/>
  <c r="P443" i="5" s="1"/>
  <c r="L443" i="5"/>
  <c r="Q443" i="5" s="1"/>
  <c r="K442" i="5"/>
  <c r="P442" i="5" s="1"/>
  <c r="L442" i="5"/>
  <c r="Q442" i="5" s="1"/>
  <c r="K441" i="5"/>
  <c r="P441" i="5" s="1"/>
  <c r="L441" i="5"/>
  <c r="Q441" i="5" s="1"/>
  <c r="K440" i="5"/>
  <c r="P440" i="5" s="1"/>
  <c r="L440" i="5"/>
  <c r="Q440" i="5" s="1"/>
  <c r="K439" i="5"/>
  <c r="P439" i="5" s="1"/>
  <c r="L439" i="5"/>
  <c r="Q439" i="5" s="1"/>
  <c r="K438" i="5"/>
  <c r="P438" i="5" s="1"/>
  <c r="L438" i="5"/>
  <c r="Q438" i="5" s="1"/>
  <c r="K437" i="5"/>
  <c r="P437" i="5" s="1"/>
  <c r="L437" i="5"/>
  <c r="Q437" i="5" s="1"/>
  <c r="K436" i="5"/>
  <c r="P436" i="5" s="1"/>
  <c r="L436" i="5"/>
  <c r="Q436" i="5" s="1"/>
  <c r="K435" i="5"/>
  <c r="P435" i="5" s="1"/>
  <c r="L435" i="5"/>
  <c r="Q435" i="5" s="1"/>
  <c r="K434" i="5"/>
  <c r="P434" i="5" s="1"/>
  <c r="L434" i="5"/>
  <c r="Q434" i="5" s="1"/>
  <c r="K433" i="5"/>
  <c r="P433" i="5" s="1"/>
  <c r="L433" i="5"/>
  <c r="Q433" i="5" s="1"/>
  <c r="K432" i="5"/>
  <c r="P432" i="5" s="1"/>
  <c r="L432" i="5"/>
  <c r="Q432" i="5" s="1"/>
  <c r="K431" i="5"/>
  <c r="P431" i="5" s="1"/>
  <c r="L431" i="5"/>
  <c r="Q431" i="5" s="1"/>
  <c r="K430" i="5"/>
  <c r="P430" i="5" s="1"/>
  <c r="L430" i="5"/>
  <c r="Q430" i="5" s="1"/>
  <c r="K429" i="5"/>
  <c r="P429" i="5" s="1"/>
  <c r="L429" i="5"/>
  <c r="Q429" i="5" s="1"/>
  <c r="K428" i="5"/>
  <c r="P428" i="5" s="1"/>
  <c r="L428" i="5"/>
  <c r="Q428" i="5" s="1"/>
  <c r="K427" i="5"/>
  <c r="P427" i="5" s="1"/>
  <c r="L427" i="5"/>
  <c r="Q427" i="5" s="1"/>
  <c r="K426" i="5"/>
  <c r="P426" i="5" s="1"/>
  <c r="L426" i="5"/>
  <c r="Q426" i="5" s="1"/>
  <c r="K425" i="5"/>
  <c r="P425" i="5" s="1"/>
  <c r="L425" i="5"/>
  <c r="Q425" i="5" s="1"/>
  <c r="K424" i="5"/>
  <c r="P424" i="5" s="1"/>
  <c r="L424" i="5"/>
  <c r="Q424" i="5" s="1"/>
  <c r="K423" i="5"/>
  <c r="P423" i="5" s="1"/>
  <c r="L423" i="5"/>
  <c r="Q423" i="5" s="1"/>
  <c r="K422" i="5"/>
  <c r="P422" i="5" s="1"/>
  <c r="L422" i="5"/>
  <c r="Q422" i="5" s="1"/>
  <c r="K421" i="5"/>
  <c r="P421" i="5" s="1"/>
  <c r="L421" i="5"/>
  <c r="Q421" i="5" s="1"/>
  <c r="K420" i="5"/>
  <c r="P420" i="5" s="1"/>
  <c r="L420" i="5"/>
  <c r="Q420" i="5" s="1"/>
  <c r="K419" i="5"/>
  <c r="P419" i="5" s="1"/>
  <c r="L419" i="5"/>
  <c r="Q419" i="5" s="1"/>
  <c r="K418" i="5"/>
  <c r="P418" i="5" s="1"/>
  <c r="L418" i="5"/>
  <c r="Q418" i="5" s="1"/>
  <c r="K417" i="5"/>
  <c r="P417" i="5" s="1"/>
  <c r="L417" i="5"/>
  <c r="Q417" i="5" s="1"/>
  <c r="K416" i="5"/>
  <c r="P416" i="5" s="1"/>
  <c r="L416" i="5"/>
  <c r="Q416" i="5" s="1"/>
  <c r="K415" i="5"/>
  <c r="P415" i="5" s="1"/>
  <c r="L415" i="5"/>
  <c r="Q415" i="5" s="1"/>
  <c r="K414" i="5"/>
  <c r="P414" i="5" s="1"/>
  <c r="L414" i="5"/>
  <c r="Q414" i="5" s="1"/>
  <c r="K413" i="5"/>
  <c r="P413" i="5" s="1"/>
  <c r="L413" i="5"/>
  <c r="Q413" i="5" s="1"/>
  <c r="K412" i="5"/>
  <c r="P412" i="5" s="1"/>
  <c r="L412" i="5"/>
  <c r="Q412" i="5" s="1"/>
  <c r="K411" i="5"/>
  <c r="P411" i="5" s="1"/>
  <c r="L411" i="5"/>
  <c r="Q411" i="5" s="1"/>
  <c r="K410" i="5"/>
  <c r="P410" i="5" s="1"/>
  <c r="L410" i="5"/>
  <c r="Q410" i="5" s="1"/>
  <c r="K409" i="5"/>
  <c r="P409" i="5" s="1"/>
  <c r="L409" i="5"/>
  <c r="Q409" i="5" s="1"/>
  <c r="K408" i="5"/>
  <c r="P408" i="5" s="1"/>
  <c r="L408" i="5"/>
  <c r="Q408" i="5" s="1"/>
  <c r="K407" i="5"/>
  <c r="P407" i="5" s="1"/>
  <c r="L407" i="5"/>
  <c r="Q407" i="5" s="1"/>
  <c r="K406" i="5"/>
  <c r="P406" i="5" s="1"/>
  <c r="L406" i="5"/>
  <c r="Q406" i="5" s="1"/>
  <c r="K405" i="5"/>
  <c r="P405" i="5" s="1"/>
  <c r="L405" i="5"/>
  <c r="Q405" i="5" s="1"/>
  <c r="K404" i="5"/>
  <c r="P404" i="5" s="1"/>
  <c r="L404" i="5"/>
  <c r="Q404" i="5" s="1"/>
  <c r="K403" i="5"/>
  <c r="P403" i="5" s="1"/>
  <c r="L403" i="5"/>
  <c r="Q403" i="5" s="1"/>
  <c r="K402" i="5"/>
  <c r="P402" i="5" s="1"/>
  <c r="L402" i="5"/>
  <c r="Q402" i="5" s="1"/>
  <c r="K401" i="5"/>
  <c r="P401" i="5" s="1"/>
  <c r="L401" i="5"/>
  <c r="Q401" i="5" s="1"/>
  <c r="K400" i="5"/>
  <c r="P400" i="5" s="1"/>
  <c r="L400" i="5"/>
  <c r="Q400" i="5" s="1"/>
  <c r="K399" i="5"/>
  <c r="P399" i="5" s="1"/>
  <c r="L399" i="5"/>
  <c r="Q399" i="5" s="1"/>
  <c r="K398" i="5"/>
  <c r="P398" i="5" s="1"/>
  <c r="L398" i="5"/>
  <c r="Q398" i="5" s="1"/>
  <c r="K397" i="5"/>
  <c r="P397" i="5" s="1"/>
  <c r="L397" i="5"/>
  <c r="Q397" i="5" s="1"/>
  <c r="K396" i="5"/>
  <c r="P396" i="5" s="1"/>
  <c r="L396" i="5"/>
  <c r="Q396" i="5" s="1"/>
  <c r="K395" i="5"/>
  <c r="P395" i="5" s="1"/>
  <c r="L395" i="5"/>
  <c r="Q395" i="5" s="1"/>
  <c r="K394" i="5"/>
  <c r="P394" i="5" s="1"/>
  <c r="L394" i="5"/>
  <c r="Q394" i="5" s="1"/>
  <c r="K393" i="5"/>
  <c r="P393" i="5" s="1"/>
  <c r="L393" i="5"/>
  <c r="Q393" i="5" s="1"/>
  <c r="K392" i="5"/>
  <c r="P392" i="5" s="1"/>
  <c r="L392" i="5"/>
  <c r="Q392" i="5" s="1"/>
  <c r="K391" i="5"/>
  <c r="P391" i="5" s="1"/>
  <c r="L391" i="5"/>
  <c r="Q391" i="5" s="1"/>
  <c r="K390" i="5"/>
  <c r="P390" i="5" s="1"/>
  <c r="L390" i="5"/>
  <c r="Q390" i="5" s="1"/>
  <c r="K389" i="5"/>
  <c r="P389" i="5" s="1"/>
  <c r="L389" i="5"/>
  <c r="Q389" i="5" s="1"/>
  <c r="K388" i="5"/>
  <c r="P388" i="5" s="1"/>
  <c r="L388" i="5"/>
  <c r="Q388" i="5" s="1"/>
  <c r="K387" i="5"/>
  <c r="P387" i="5" s="1"/>
  <c r="L387" i="5"/>
  <c r="Q387" i="5" s="1"/>
  <c r="K386" i="5"/>
  <c r="P386" i="5" s="1"/>
  <c r="L386" i="5"/>
  <c r="Q386" i="5" s="1"/>
  <c r="K385" i="5"/>
  <c r="P385" i="5" s="1"/>
  <c r="L385" i="5"/>
  <c r="Q385" i="5" s="1"/>
  <c r="K384" i="5"/>
  <c r="P384" i="5" s="1"/>
  <c r="L384" i="5"/>
  <c r="Q384" i="5" s="1"/>
  <c r="K383" i="5"/>
  <c r="P383" i="5" s="1"/>
  <c r="L383" i="5"/>
  <c r="Q383" i="5" s="1"/>
  <c r="K382" i="5"/>
  <c r="P382" i="5" s="1"/>
  <c r="L382" i="5"/>
  <c r="Q382" i="5" s="1"/>
  <c r="K381" i="5"/>
  <c r="P381" i="5" s="1"/>
  <c r="L381" i="5"/>
  <c r="Q381" i="5" s="1"/>
  <c r="K380" i="5"/>
  <c r="P380" i="5" s="1"/>
  <c r="L380" i="5"/>
  <c r="Q380" i="5" s="1"/>
  <c r="K379" i="5"/>
  <c r="P379" i="5" s="1"/>
  <c r="L379" i="5"/>
  <c r="Q379" i="5" s="1"/>
  <c r="K378" i="5"/>
  <c r="P378" i="5" s="1"/>
  <c r="L378" i="5"/>
  <c r="Q378" i="5" s="1"/>
  <c r="K377" i="5"/>
  <c r="P377" i="5" s="1"/>
  <c r="L377" i="5"/>
  <c r="Q377" i="5" s="1"/>
  <c r="K376" i="5"/>
  <c r="P376" i="5" s="1"/>
  <c r="L376" i="5"/>
  <c r="Q376" i="5" s="1"/>
  <c r="K375" i="5"/>
  <c r="P375" i="5" s="1"/>
  <c r="L375" i="5"/>
  <c r="Q375" i="5" s="1"/>
  <c r="K374" i="5"/>
  <c r="P374" i="5" s="1"/>
  <c r="L374" i="5"/>
  <c r="Q374" i="5" s="1"/>
  <c r="K373" i="5"/>
  <c r="P373" i="5" s="1"/>
  <c r="L373" i="5"/>
  <c r="Q373" i="5" s="1"/>
  <c r="K372" i="5"/>
  <c r="P372" i="5" s="1"/>
  <c r="L372" i="5"/>
  <c r="Q372" i="5" s="1"/>
  <c r="K371" i="5"/>
  <c r="P371" i="5" s="1"/>
  <c r="L371" i="5"/>
  <c r="Q371" i="5" s="1"/>
  <c r="K370" i="5"/>
  <c r="P370" i="5" s="1"/>
  <c r="L370" i="5"/>
  <c r="Q370" i="5" s="1"/>
  <c r="K369" i="5"/>
  <c r="P369" i="5" s="1"/>
  <c r="L369" i="5"/>
  <c r="Q369" i="5" s="1"/>
  <c r="K368" i="5"/>
  <c r="P368" i="5" s="1"/>
  <c r="L368" i="5"/>
  <c r="Q368" i="5" s="1"/>
  <c r="K367" i="5"/>
  <c r="P367" i="5" s="1"/>
  <c r="L367" i="5"/>
  <c r="Q367" i="5" s="1"/>
  <c r="K366" i="5"/>
  <c r="P366" i="5" s="1"/>
  <c r="L366" i="5"/>
  <c r="Q366" i="5" s="1"/>
  <c r="K365" i="5"/>
  <c r="P365" i="5" s="1"/>
  <c r="L365" i="5"/>
  <c r="Q365" i="5" s="1"/>
  <c r="K364" i="5"/>
  <c r="P364" i="5" s="1"/>
  <c r="L364" i="5"/>
  <c r="Q364" i="5" s="1"/>
  <c r="K363" i="5"/>
  <c r="P363" i="5" s="1"/>
  <c r="L363" i="5"/>
  <c r="Q363" i="5" s="1"/>
  <c r="K362" i="5"/>
  <c r="P362" i="5" s="1"/>
  <c r="L362" i="5"/>
  <c r="Q362" i="5" s="1"/>
  <c r="K361" i="5"/>
  <c r="P361" i="5" s="1"/>
  <c r="L361" i="5"/>
  <c r="Q361" i="5" s="1"/>
  <c r="K360" i="5"/>
  <c r="P360" i="5" s="1"/>
  <c r="L360" i="5"/>
  <c r="Q360" i="5" s="1"/>
  <c r="K359" i="5"/>
  <c r="P359" i="5" s="1"/>
  <c r="L359" i="5"/>
  <c r="Q359" i="5" s="1"/>
  <c r="K358" i="5"/>
  <c r="P358" i="5" s="1"/>
  <c r="L358" i="5"/>
  <c r="Q358" i="5" s="1"/>
  <c r="K357" i="5"/>
  <c r="P357" i="5" s="1"/>
  <c r="L357" i="5"/>
  <c r="Q357" i="5" s="1"/>
  <c r="K356" i="5"/>
  <c r="P356" i="5" s="1"/>
  <c r="L356" i="5"/>
  <c r="Q356" i="5" s="1"/>
  <c r="K355" i="5"/>
  <c r="P355" i="5" s="1"/>
  <c r="L355" i="5"/>
  <c r="Q355" i="5" s="1"/>
  <c r="K354" i="5"/>
  <c r="P354" i="5" s="1"/>
  <c r="L354" i="5"/>
  <c r="Q354" i="5" s="1"/>
  <c r="K353" i="5"/>
  <c r="P353" i="5" s="1"/>
  <c r="L353" i="5"/>
  <c r="Q353" i="5" s="1"/>
  <c r="K352" i="5"/>
  <c r="P352" i="5" s="1"/>
  <c r="L352" i="5"/>
  <c r="Q352" i="5" s="1"/>
  <c r="K351" i="5"/>
  <c r="P351" i="5" s="1"/>
  <c r="L351" i="5"/>
  <c r="Q351" i="5" s="1"/>
  <c r="K350" i="5"/>
  <c r="P350" i="5" s="1"/>
  <c r="L350" i="5"/>
  <c r="Q350" i="5" s="1"/>
  <c r="K349" i="5"/>
  <c r="P349" i="5" s="1"/>
  <c r="L349" i="5"/>
  <c r="Q349" i="5" s="1"/>
  <c r="K348" i="5"/>
  <c r="P348" i="5" s="1"/>
  <c r="L348" i="5"/>
  <c r="Q348" i="5" s="1"/>
  <c r="K347" i="5"/>
  <c r="P347" i="5" s="1"/>
  <c r="L347" i="5"/>
  <c r="Q347" i="5" s="1"/>
  <c r="K346" i="5"/>
  <c r="P346" i="5" s="1"/>
  <c r="L346" i="5"/>
  <c r="Q346" i="5" s="1"/>
  <c r="K345" i="5"/>
  <c r="P345" i="5" s="1"/>
  <c r="L345" i="5"/>
  <c r="Q345" i="5" s="1"/>
  <c r="L344" i="5"/>
  <c r="Q344" i="5" s="1"/>
  <c r="K344" i="5"/>
  <c r="P344" i="5" s="1"/>
  <c r="L343" i="5"/>
  <c r="Q343" i="5" s="1"/>
  <c r="K343" i="5"/>
  <c r="P343" i="5" s="1"/>
  <c r="L342" i="5"/>
  <c r="Q342" i="5" s="1"/>
  <c r="K342" i="5"/>
  <c r="P342" i="5" s="1"/>
  <c r="L341" i="5"/>
  <c r="Q341" i="5" s="1"/>
  <c r="K341" i="5"/>
  <c r="P341" i="5" s="1"/>
  <c r="L340" i="5"/>
  <c r="Q340" i="5" s="1"/>
  <c r="K340" i="5"/>
  <c r="P340" i="5" s="1"/>
  <c r="L339" i="5"/>
  <c r="Q339" i="5" s="1"/>
  <c r="K339" i="5"/>
  <c r="P339" i="5" s="1"/>
  <c r="L338" i="5"/>
  <c r="Q338" i="5" s="1"/>
  <c r="K338" i="5"/>
  <c r="P338" i="5" s="1"/>
  <c r="L337" i="5"/>
  <c r="Q337" i="5" s="1"/>
  <c r="K337" i="5"/>
  <c r="P337" i="5" s="1"/>
  <c r="L336" i="5"/>
  <c r="Q336" i="5" s="1"/>
  <c r="K336" i="5"/>
  <c r="P336" i="5" s="1"/>
  <c r="L335" i="5"/>
  <c r="Q335" i="5" s="1"/>
  <c r="K335" i="5"/>
  <c r="P335" i="5" s="1"/>
  <c r="L334" i="5"/>
  <c r="Q334" i="5" s="1"/>
  <c r="K334" i="5"/>
  <c r="P334" i="5" s="1"/>
  <c r="L333" i="5"/>
  <c r="Q333" i="5" s="1"/>
  <c r="K333" i="5"/>
  <c r="P333" i="5" s="1"/>
  <c r="K332" i="5"/>
  <c r="P332" i="5" s="1"/>
  <c r="L332" i="5"/>
  <c r="Q332" i="5" s="1"/>
  <c r="L331" i="5"/>
  <c r="Q331" i="5" s="1"/>
  <c r="K331" i="5"/>
  <c r="P331" i="5" s="1"/>
  <c r="L330" i="5"/>
  <c r="Q330" i="5" s="1"/>
  <c r="K330" i="5"/>
  <c r="P330" i="5" s="1"/>
  <c r="L329" i="5"/>
  <c r="Q329" i="5" s="1"/>
  <c r="K329" i="5"/>
  <c r="P329" i="5" s="1"/>
  <c r="L328" i="5"/>
  <c r="Q328" i="5" s="1"/>
  <c r="K328" i="5"/>
  <c r="P328" i="5" s="1"/>
  <c r="L327" i="5"/>
  <c r="Q327" i="5" s="1"/>
  <c r="K327" i="5"/>
  <c r="P327" i="5" s="1"/>
  <c r="L326" i="5"/>
  <c r="Q326" i="5" s="1"/>
  <c r="K326" i="5"/>
  <c r="P326" i="5" s="1"/>
  <c r="L325" i="5"/>
  <c r="Q325" i="5" s="1"/>
  <c r="K325" i="5"/>
  <c r="P325" i="5" s="1"/>
  <c r="L324" i="5"/>
  <c r="Q324" i="5" s="1"/>
  <c r="K324" i="5"/>
  <c r="P324" i="5" s="1"/>
  <c r="K323" i="5"/>
  <c r="P323" i="5" s="1"/>
  <c r="L323" i="5"/>
  <c r="Q323" i="5" s="1"/>
  <c r="K322" i="5"/>
  <c r="P322" i="5" s="1"/>
  <c r="L322" i="5"/>
  <c r="Q322" i="5" s="1"/>
  <c r="K321" i="5"/>
  <c r="P321" i="5" s="1"/>
  <c r="L321" i="5"/>
  <c r="Q321" i="5" s="1"/>
  <c r="L320" i="5"/>
  <c r="Q320" i="5" s="1"/>
  <c r="K320" i="5"/>
  <c r="P320" i="5" s="1"/>
  <c r="K319" i="5"/>
  <c r="P319" i="5" s="1"/>
  <c r="L319" i="5"/>
  <c r="Q319" i="5" s="1"/>
  <c r="L318" i="5"/>
  <c r="Q318" i="5" s="1"/>
  <c r="K318" i="5"/>
  <c r="P318" i="5" s="1"/>
  <c r="L317" i="5"/>
  <c r="Q317" i="5" s="1"/>
  <c r="K317" i="5"/>
  <c r="P317" i="5" s="1"/>
  <c r="K316" i="5"/>
  <c r="P316" i="5" s="1"/>
  <c r="L316" i="5"/>
  <c r="Q316" i="5" s="1"/>
  <c r="K315" i="5"/>
  <c r="P315" i="5" s="1"/>
  <c r="L315" i="5"/>
  <c r="Q315" i="5" s="1"/>
  <c r="L314" i="5"/>
  <c r="Q314" i="5" s="1"/>
  <c r="K314" i="5"/>
  <c r="P314" i="5" s="1"/>
  <c r="L313" i="5"/>
  <c r="Q313" i="5" s="1"/>
  <c r="K313" i="5"/>
  <c r="P313" i="5" s="1"/>
  <c r="L312" i="5"/>
  <c r="Q312" i="5" s="1"/>
  <c r="K312" i="5"/>
  <c r="P312" i="5" s="1"/>
  <c r="L311" i="5"/>
  <c r="Q311" i="5" s="1"/>
  <c r="K311" i="5"/>
  <c r="P311" i="5" s="1"/>
  <c r="L310" i="5"/>
  <c r="Q310" i="5" s="1"/>
  <c r="K310" i="5"/>
  <c r="P310" i="5" s="1"/>
  <c r="K309" i="5"/>
  <c r="P309" i="5" s="1"/>
  <c r="L309" i="5"/>
  <c r="Q309" i="5" s="1"/>
  <c r="L308" i="5"/>
  <c r="Q308" i="5" s="1"/>
  <c r="K308" i="5"/>
  <c r="P308" i="5" s="1"/>
  <c r="L307" i="5"/>
  <c r="Q307" i="5" s="1"/>
  <c r="K307" i="5"/>
  <c r="P307" i="5" s="1"/>
  <c r="L306" i="5"/>
  <c r="Q306" i="5" s="1"/>
  <c r="K306" i="5"/>
  <c r="P306" i="5" s="1"/>
  <c r="L305" i="5"/>
  <c r="Q305" i="5" s="1"/>
  <c r="K305" i="5"/>
  <c r="P305" i="5" s="1"/>
  <c r="L304" i="5"/>
  <c r="Q304" i="5" s="1"/>
  <c r="K304" i="5"/>
  <c r="P304" i="5" s="1"/>
  <c r="K303" i="5"/>
  <c r="P303" i="5" s="1"/>
  <c r="L303" i="5"/>
  <c r="Q303" i="5" s="1"/>
  <c r="K302" i="5"/>
  <c r="P302" i="5" s="1"/>
  <c r="L302" i="5"/>
  <c r="Q302" i="5" s="1"/>
  <c r="L301" i="5"/>
  <c r="Q301" i="5" s="1"/>
  <c r="K301" i="5"/>
  <c r="P301" i="5" s="1"/>
  <c r="L300" i="5"/>
  <c r="Q300" i="5" s="1"/>
  <c r="K300" i="5"/>
  <c r="P300" i="5" s="1"/>
  <c r="L299" i="5"/>
  <c r="Q299" i="5" s="1"/>
  <c r="K299" i="5"/>
  <c r="P299" i="5" s="1"/>
  <c r="K298" i="5"/>
  <c r="P298" i="5" s="1"/>
  <c r="L298" i="5"/>
  <c r="Q298" i="5" s="1"/>
  <c r="K297" i="5"/>
  <c r="P297" i="5" s="1"/>
  <c r="L297" i="5"/>
  <c r="Q297" i="5" s="1"/>
  <c r="L296" i="5"/>
  <c r="Q296" i="5" s="1"/>
  <c r="K296" i="5"/>
  <c r="P296" i="5" s="1"/>
  <c r="K295" i="5"/>
  <c r="P295" i="5" s="1"/>
  <c r="L295" i="5"/>
  <c r="Q295" i="5" s="1"/>
  <c r="L294" i="5"/>
  <c r="Q294" i="5" s="1"/>
  <c r="K294" i="5"/>
  <c r="P294" i="5" s="1"/>
  <c r="L293" i="5"/>
  <c r="Q293" i="5" s="1"/>
  <c r="K293" i="5"/>
  <c r="P293" i="5" s="1"/>
  <c r="K292" i="5"/>
  <c r="P292" i="5" s="1"/>
  <c r="L292" i="5"/>
  <c r="Q292" i="5" s="1"/>
  <c r="L291" i="5"/>
  <c r="Q291" i="5" s="1"/>
  <c r="K291" i="5"/>
  <c r="P291" i="5" s="1"/>
  <c r="L290" i="5"/>
  <c r="Q290" i="5" s="1"/>
  <c r="K290" i="5"/>
  <c r="P290" i="5" s="1"/>
  <c r="L289" i="5"/>
  <c r="Q289" i="5" s="1"/>
  <c r="K289" i="5"/>
  <c r="P289" i="5" s="1"/>
  <c r="L288" i="5"/>
  <c r="Q288" i="5" s="1"/>
  <c r="K288" i="5"/>
  <c r="P288" i="5" s="1"/>
  <c r="L287" i="5"/>
  <c r="Q287" i="5" s="1"/>
  <c r="K287" i="5"/>
  <c r="P287" i="5" s="1"/>
  <c r="L286" i="5"/>
  <c r="Q286" i="5" s="1"/>
  <c r="K286" i="5"/>
  <c r="P286" i="5" s="1"/>
  <c r="K285" i="5"/>
  <c r="P285" i="5" s="1"/>
  <c r="L285" i="5"/>
  <c r="Q285" i="5" s="1"/>
  <c r="K284" i="5"/>
  <c r="P284" i="5" s="1"/>
  <c r="L284" i="5"/>
  <c r="Q284" i="5" s="1"/>
  <c r="L283" i="5"/>
  <c r="Q283" i="5" s="1"/>
  <c r="K283" i="5"/>
  <c r="P283" i="5" s="1"/>
  <c r="L282" i="5"/>
  <c r="Q282" i="5" s="1"/>
  <c r="K282" i="5"/>
  <c r="P282" i="5" s="1"/>
  <c r="L281" i="5"/>
  <c r="Q281" i="5" s="1"/>
  <c r="K281" i="5"/>
  <c r="P281" i="5" s="1"/>
  <c r="L280" i="5"/>
  <c r="Q280" i="5" s="1"/>
  <c r="K280" i="5"/>
  <c r="P280" i="5" s="1"/>
  <c r="L279" i="5"/>
  <c r="Q279" i="5" s="1"/>
  <c r="K279" i="5"/>
  <c r="P279" i="5" s="1"/>
  <c r="L278" i="5"/>
  <c r="Q278" i="5" s="1"/>
  <c r="K278" i="5"/>
  <c r="P278" i="5" s="1"/>
  <c r="L277" i="5"/>
  <c r="Q277" i="5" s="1"/>
  <c r="K277" i="5"/>
  <c r="P277" i="5" s="1"/>
  <c r="K276" i="5"/>
  <c r="P276" i="5" s="1"/>
  <c r="L276" i="5"/>
  <c r="Q276" i="5" s="1"/>
  <c r="L275" i="5"/>
  <c r="Q275" i="5" s="1"/>
  <c r="K275" i="5"/>
  <c r="P275" i="5" s="1"/>
  <c r="L274" i="5"/>
  <c r="Q274" i="5" s="1"/>
  <c r="K274" i="5"/>
  <c r="P274" i="5" s="1"/>
  <c r="L273" i="5"/>
  <c r="Q273" i="5" s="1"/>
  <c r="K273" i="5"/>
  <c r="P273" i="5" s="1"/>
  <c r="L272" i="5"/>
  <c r="Q272" i="5" s="1"/>
  <c r="K272" i="5"/>
  <c r="P272" i="5" s="1"/>
  <c r="L271" i="5"/>
  <c r="Q271" i="5" s="1"/>
  <c r="K271" i="5"/>
  <c r="P271" i="5" s="1"/>
  <c r="L270" i="5"/>
  <c r="Q270" i="5" s="1"/>
  <c r="K270" i="5"/>
  <c r="P270" i="5" s="1"/>
  <c r="L269" i="5"/>
  <c r="Q269" i="5" s="1"/>
  <c r="K269" i="5"/>
  <c r="P269" i="5" s="1"/>
  <c r="L268" i="5"/>
  <c r="Q268" i="5" s="1"/>
  <c r="K268" i="5"/>
  <c r="P268" i="5" s="1"/>
  <c r="K267" i="5"/>
  <c r="P267" i="5" s="1"/>
  <c r="L267" i="5"/>
  <c r="Q267" i="5" s="1"/>
  <c r="L266" i="5"/>
  <c r="Q266" i="5" s="1"/>
  <c r="K266" i="5"/>
  <c r="P266" i="5" s="1"/>
  <c r="K265" i="5"/>
  <c r="P265" i="5" s="1"/>
  <c r="L265" i="5"/>
  <c r="Q265" i="5" s="1"/>
  <c r="L264" i="5"/>
  <c r="Q264" i="5" s="1"/>
  <c r="K264" i="5"/>
  <c r="P264" i="5" s="1"/>
  <c r="L263" i="5"/>
  <c r="Q263" i="5" s="1"/>
  <c r="K263" i="5"/>
  <c r="P263" i="5" s="1"/>
  <c r="L262" i="5"/>
  <c r="Q262" i="5" s="1"/>
  <c r="K262" i="5"/>
  <c r="P262" i="5" s="1"/>
  <c r="L261" i="5"/>
  <c r="Q261" i="5" s="1"/>
  <c r="K261" i="5"/>
  <c r="P261" i="5" s="1"/>
  <c r="L260" i="5"/>
  <c r="Q260" i="5" s="1"/>
  <c r="K260" i="5"/>
  <c r="P260" i="5" s="1"/>
  <c r="K259" i="5"/>
  <c r="P259" i="5" s="1"/>
  <c r="L259" i="5"/>
  <c r="Q259" i="5" s="1"/>
  <c r="L258" i="5"/>
  <c r="Q258" i="5" s="1"/>
  <c r="K258" i="5"/>
  <c r="P258" i="5" s="1"/>
  <c r="L257" i="5"/>
  <c r="Q257" i="5" s="1"/>
  <c r="K257" i="5"/>
  <c r="P257" i="5" s="1"/>
  <c r="L256" i="5"/>
  <c r="Q256" i="5" s="1"/>
  <c r="K256" i="5"/>
  <c r="P256" i="5" s="1"/>
  <c r="L255" i="5"/>
  <c r="Q255" i="5" s="1"/>
  <c r="K255" i="5"/>
  <c r="P255" i="5" s="1"/>
  <c r="L254" i="5"/>
  <c r="Q254" i="5" s="1"/>
  <c r="K254" i="5"/>
  <c r="P254" i="5" s="1"/>
  <c r="L253" i="5"/>
  <c r="Q253" i="5" s="1"/>
  <c r="K253" i="5"/>
  <c r="P253" i="5" s="1"/>
  <c r="L252" i="5"/>
  <c r="Q252" i="5" s="1"/>
  <c r="K252" i="5"/>
  <c r="P252" i="5" s="1"/>
  <c r="L251" i="5"/>
  <c r="Q251" i="5" s="1"/>
  <c r="K251" i="5"/>
  <c r="P251" i="5" s="1"/>
  <c r="L250" i="5"/>
  <c r="Q250" i="5" s="1"/>
  <c r="K250" i="5"/>
  <c r="P250" i="5" s="1"/>
  <c r="L249" i="5"/>
  <c r="Q249" i="5" s="1"/>
  <c r="K249" i="5"/>
  <c r="P249" i="5" s="1"/>
  <c r="L248" i="5"/>
  <c r="Q248" i="5" s="1"/>
  <c r="K248" i="5"/>
  <c r="P248" i="5" s="1"/>
  <c r="L247" i="5"/>
  <c r="Q247" i="5" s="1"/>
  <c r="K247" i="5"/>
  <c r="P247" i="5" s="1"/>
  <c r="L246" i="5"/>
  <c r="Q246" i="5" s="1"/>
  <c r="K246" i="5"/>
  <c r="P246" i="5" s="1"/>
  <c r="L245" i="5"/>
  <c r="Q245" i="5" s="1"/>
  <c r="K245" i="5"/>
  <c r="P245" i="5" s="1"/>
  <c r="L244" i="5"/>
  <c r="Q244" i="5" s="1"/>
  <c r="K244" i="5"/>
  <c r="P244" i="5" s="1"/>
  <c r="L243" i="5"/>
  <c r="Q243" i="5" s="1"/>
  <c r="K243" i="5"/>
  <c r="P243" i="5" s="1"/>
  <c r="L242" i="5"/>
  <c r="Q242" i="5" s="1"/>
  <c r="K242" i="5"/>
  <c r="P242" i="5" s="1"/>
  <c r="L241" i="5"/>
  <c r="Q241" i="5" s="1"/>
  <c r="K241" i="5"/>
  <c r="P241" i="5" s="1"/>
  <c r="L240" i="5"/>
  <c r="Q240" i="5" s="1"/>
  <c r="K240" i="5"/>
  <c r="P240" i="5" s="1"/>
  <c r="L239" i="5"/>
  <c r="Q239" i="5" s="1"/>
  <c r="K239" i="5"/>
  <c r="P239" i="5" s="1"/>
  <c r="L238" i="5"/>
  <c r="Q238" i="5" s="1"/>
  <c r="K238" i="5"/>
  <c r="P238" i="5" s="1"/>
  <c r="L237" i="5"/>
  <c r="Q237" i="5" s="1"/>
  <c r="K237" i="5"/>
  <c r="P237" i="5" s="1"/>
  <c r="L236" i="5"/>
  <c r="Q236" i="5" s="1"/>
  <c r="K236" i="5"/>
  <c r="P236" i="5" s="1"/>
  <c r="L235" i="5"/>
  <c r="Q235" i="5" s="1"/>
  <c r="K235" i="5"/>
  <c r="P235" i="5" s="1"/>
  <c r="K234" i="5"/>
  <c r="P234" i="5" s="1"/>
  <c r="L234" i="5"/>
  <c r="Q234" i="5" s="1"/>
  <c r="L233" i="5"/>
  <c r="Q233" i="5" s="1"/>
  <c r="K233" i="5"/>
  <c r="P233" i="5" s="1"/>
  <c r="L232" i="5"/>
  <c r="Q232" i="5" s="1"/>
  <c r="K232" i="5"/>
  <c r="P232" i="5" s="1"/>
  <c r="L231" i="5"/>
  <c r="Q231" i="5" s="1"/>
  <c r="K231" i="5"/>
  <c r="P231" i="5" s="1"/>
  <c r="L230" i="5"/>
  <c r="Q230" i="5" s="1"/>
  <c r="K230" i="5"/>
  <c r="P230" i="5" s="1"/>
  <c r="L229" i="5"/>
  <c r="Q229" i="5" s="1"/>
  <c r="K229" i="5"/>
  <c r="P229" i="5" s="1"/>
  <c r="L228" i="5"/>
  <c r="Q228" i="5" s="1"/>
  <c r="K228" i="5"/>
  <c r="P228" i="5" s="1"/>
  <c r="L227" i="5"/>
  <c r="Q227" i="5" s="1"/>
  <c r="K227" i="5"/>
  <c r="P227" i="5" s="1"/>
  <c r="K226" i="5"/>
  <c r="P226" i="5" s="1"/>
  <c r="L226" i="5"/>
  <c r="Q226" i="5" s="1"/>
  <c r="K225" i="5"/>
  <c r="P225" i="5" s="1"/>
  <c r="L225" i="5"/>
  <c r="Q225" i="5" s="1"/>
  <c r="K224" i="5"/>
  <c r="P224" i="5" s="1"/>
  <c r="L224" i="5"/>
  <c r="Q224" i="5" s="1"/>
  <c r="K223" i="5"/>
  <c r="P223" i="5" s="1"/>
  <c r="L223" i="5"/>
  <c r="Q223" i="5" s="1"/>
  <c r="L222" i="5"/>
  <c r="Q222" i="5" s="1"/>
  <c r="K222" i="5"/>
  <c r="P222" i="5" s="1"/>
  <c r="K221" i="5"/>
  <c r="P221" i="5" s="1"/>
  <c r="L221" i="5"/>
  <c r="Q221" i="5" s="1"/>
  <c r="L220" i="5"/>
  <c r="Q220" i="5" s="1"/>
  <c r="K220" i="5"/>
  <c r="P220" i="5" s="1"/>
  <c r="L219" i="5"/>
  <c r="Q219" i="5" s="1"/>
  <c r="K219" i="5"/>
  <c r="P219" i="5" s="1"/>
  <c r="K218" i="5"/>
  <c r="P218" i="5" s="1"/>
  <c r="L218" i="5"/>
  <c r="Q218" i="5" s="1"/>
  <c r="L217" i="5"/>
  <c r="Q217" i="5" s="1"/>
  <c r="K217" i="5"/>
  <c r="P217" i="5" s="1"/>
  <c r="K216" i="5"/>
  <c r="P216" i="5" s="1"/>
  <c r="L216" i="5"/>
  <c r="Q216" i="5" s="1"/>
  <c r="L215" i="5"/>
  <c r="Q215" i="5" s="1"/>
  <c r="K215" i="5"/>
  <c r="P215" i="5" s="1"/>
  <c r="L214" i="5"/>
  <c r="Q214" i="5" s="1"/>
  <c r="K214" i="5"/>
  <c r="P214" i="5" s="1"/>
  <c r="K213" i="5"/>
  <c r="P213" i="5" s="1"/>
  <c r="L213" i="5"/>
  <c r="Q213" i="5" s="1"/>
  <c r="L212" i="5"/>
  <c r="Q212" i="5" s="1"/>
  <c r="K212" i="5"/>
  <c r="P212" i="5" s="1"/>
  <c r="L211" i="5"/>
  <c r="Q211" i="5" s="1"/>
  <c r="K211" i="5"/>
  <c r="P211" i="5" s="1"/>
  <c r="L210" i="5"/>
  <c r="Q210" i="5" s="1"/>
  <c r="K210" i="5"/>
  <c r="P210" i="5" s="1"/>
  <c r="L209" i="5"/>
  <c r="Q209" i="5" s="1"/>
  <c r="K209" i="5"/>
  <c r="P209" i="5" s="1"/>
  <c r="K208" i="5"/>
  <c r="P208" i="5" s="1"/>
  <c r="L208" i="5"/>
  <c r="Q208" i="5" s="1"/>
  <c r="K207" i="5"/>
  <c r="P207" i="5" s="1"/>
  <c r="L207" i="5"/>
  <c r="Q207" i="5" s="1"/>
  <c r="K206" i="5"/>
  <c r="P206" i="5" s="1"/>
  <c r="L206" i="5"/>
  <c r="Q206" i="5" s="1"/>
  <c r="K205" i="5"/>
  <c r="P205" i="5" s="1"/>
  <c r="L205" i="5"/>
  <c r="Q205" i="5" s="1"/>
  <c r="K204" i="5"/>
  <c r="P204" i="5" s="1"/>
  <c r="L204" i="5"/>
  <c r="Q204" i="5" s="1"/>
  <c r="K203" i="5"/>
  <c r="P203" i="5" s="1"/>
  <c r="L203" i="5"/>
  <c r="Q203" i="5" s="1"/>
  <c r="K202" i="5"/>
  <c r="P202" i="5" s="1"/>
  <c r="L202" i="5"/>
  <c r="Q202" i="5" s="1"/>
  <c r="K201" i="5"/>
  <c r="P201" i="5" s="1"/>
  <c r="L201" i="5"/>
  <c r="Q201" i="5" s="1"/>
  <c r="K200" i="5"/>
  <c r="P200" i="5" s="1"/>
  <c r="L200" i="5"/>
  <c r="Q200" i="5" s="1"/>
  <c r="K199" i="5"/>
  <c r="P199" i="5" s="1"/>
  <c r="L199" i="5"/>
  <c r="Q199" i="5" s="1"/>
  <c r="K198" i="5"/>
  <c r="P198" i="5" s="1"/>
  <c r="L198" i="5"/>
  <c r="Q198" i="5" s="1"/>
  <c r="K197" i="5"/>
  <c r="P197" i="5" s="1"/>
  <c r="L197" i="5"/>
  <c r="Q197" i="5" s="1"/>
  <c r="K196" i="5"/>
  <c r="P196" i="5" s="1"/>
  <c r="L196" i="5"/>
  <c r="Q196" i="5" s="1"/>
  <c r="K195" i="5"/>
  <c r="P195" i="5" s="1"/>
  <c r="L195" i="5"/>
  <c r="Q195" i="5" s="1"/>
  <c r="K194" i="5"/>
  <c r="P194" i="5" s="1"/>
  <c r="L194" i="5"/>
  <c r="Q194" i="5" s="1"/>
  <c r="K193" i="5"/>
  <c r="P193" i="5" s="1"/>
  <c r="L193" i="5"/>
  <c r="Q193" i="5" s="1"/>
  <c r="K192" i="5"/>
  <c r="P192" i="5" s="1"/>
  <c r="L192" i="5"/>
  <c r="Q192" i="5" s="1"/>
  <c r="K191" i="5"/>
  <c r="P191" i="5" s="1"/>
  <c r="L191" i="5"/>
  <c r="Q191" i="5" s="1"/>
  <c r="K190" i="5"/>
  <c r="P190" i="5" s="1"/>
  <c r="L190" i="5"/>
  <c r="Q190" i="5" s="1"/>
  <c r="K189" i="5"/>
  <c r="P189" i="5" s="1"/>
  <c r="L189" i="5"/>
  <c r="Q189" i="5" s="1"/>
  <c r="K188" i="5"/>
  <c r="P188" i="5" s="1"/>
  <c r="L188" i="5"/>
  <c r="Q188" i="5" s="1"/>
  <c r="K187" i="5"/>
  <c r="P187" i="5" s="1"/>
  <c r="L187" i="5"/>
  <c r="Q187" i="5" s="1"/>
  <c r="K186" i="5"/>
  <c r="P186" i="5" s="1"/>
  <c r="L186" i="5"/>
  <c r="Q186" i="5" s="1"/>
  <c r="K185" i="5"/>
  <c r="P185" i="5" s="1"/>
  <c r="L185" i="5"/>
  <c r="Q185" i="5" s="1"/>
  <c r="K184" i="5"/>
  <c r="P184" i="5" s="1"/>
  <c r="L184" i="5"/>
  <c r="Q184" i="5" s="1"/>
  <c r="K183" i="5"/>
  <c r="P183" i="5" s="1"/>
  <c r="L183" i="5"/>
  <c r="Q183" i="5" s="1"/>
  <c r="K182" i="5"/>
  <c r="P182" i="5" s="1"/>
  <c r="L182" i="5"/>
  <c r="Q182" i="5" s="1"/>
  <c r="K181" i="5"/>
  <c r="P181" i="5" s="1"/>
  <c r="L181" i="5"/>
  <c r="Q181" i="5" s="1"/>
  <c r="K180" i="5"/>
  <c r="P180" i="5" s="1"/>
  <c r="L180" i="5"/>
  <c r="Q180" i="5" s="1"/>
  <c r="K179" i="5"/>
  <c r="P179" i="5" s="1"/>
  <c r="L179" i="5"/>
  <c r="Q179" i="5" s="1"/>
  <c r="K178" i="5"/>
  <c r="P178" i="5" s="1"/>
  <c r="L178" i="5"/>
  <c r="Q178" i="5" s="1"/>
  <c r="K177" i="5"/>
  <c r="P177" i="5" s="1"/>
  <c r="L177" i="5"/>
  <c r="Q177" i="5" s="1"/>
  <c r="K176" i="5"/>
  <c r="P176" i="5" s="1"/>
  <c r="L176" i="5"/>
  <c r="Q176" i="5" s="1"/>
  <c r="K175" i="5"/>
  <c r="P175" i="5" s="1"/>
  <c r="L175" i="5"/>
  <c r="Q175" i="5" s="1"/>
  <c r="K174" i="5"/>
  <c r="P174" i="5" s="1"/>
  <c r="L174" i="5"/>
  <c r="Q174" i="5" s="1"/>
  <c r="K173" i="5"/>
  <c r="P173" i="5" s="1"/>
  <c r="L173" i="5"/>
  <c r="Q173" i="5" s="1"/>
  <c r="K172" i="5"/>
  <c r="P172" i="5" s="1"/>
  <c r="L172" i="5"/>
  <c r="Q172" i="5" s="1"/>
  <c r="K171" i="5"/>
  <c r="P171" i="5" s="1"/>
  <c r="L171" i="5"/>
  <c r="Q171" i="5" s="1"/>
  <c r="K170" i="5"/>
  <c r="P170" i="5" s="1"/>
  <c r="L170" i="5"/>
  <c r="Q170" i="5" s="1"/>
  <c r="K169" i="5"/>
  <c r="P169" i="5" s="1"/>
  <c r="L169" i="5"/>
  <c r="Q169" i="5" s="1"/>
  <c r="K168" i="5"/>
  <c r="P168" i="5" s="1"/>
  <c r="L168" i="5"/>
  <c r="Q168" i="5" s="1"/>
  <c r="K167" i="5"/>
  <c r="P167" i="5" s="1"/>
  <c r="L167" i="5"/>
  <c r="Q167" i="5" s="1"/>
  <c r="K166" i="5"/>
  <c r="P166" i="5" s="1"/>
  <c r="L166" i="5"/>
  <c r="Q166" i="5" s="1"/>
  <c r="K165" i="5"/>
  <c r="P165" i="5" s="1"/>
  <c r="L165" i="5"/>
  <c r="Q165" i="5" s="1"/>
  <c r="K164" i="5"/>
  <c r="P164" i="5" s="1"/>
  <c r="L164" i="5"/>
  <c r="Q164" i="5" s="1"/>
  <c r="K163" i="5"/>
  <c r="P163" i="5" s="1"/>
  <c r="L163" i="5"/>
  <c r="Q163" i="5" s="1"/>
  <c r="K162" i="5"/>
  <c r="P162" i="5" s="1"/>
  <c r="L162" i="5"/>
  <c r="Q162" i="5" s="1"/>
  <c r="K161" i="5"/>
  <c r="P161" i="5" s="1"/>
  <c r="L161" i="5"/>
  <c r="Q161" i="5" s="1"/>
  <c r="K160" i="5"/>
  <c r="P160" i="5" s="1"/>
  <c r="L160" i="5"/>
  <c r="Q160" i="5" s="1"/>
  <c r="K159" i="5"/>
  <c r="P159" i="5" s="1"/>
  <c r="L159" i="5"/>
  <c r="Q159" i="5" s="1"/>
  <c r="K158" i="5"/>
  <c r="P158" i="5" s="1"/>
  <c r="L158" i="5"/>
  <c r="Q158" i="5" s="1"/>
  <c r="K157" i="5"/>
  <c r="P157" i="5" s="1"/>
  <c r="L157" i="5"/>
  <c r="Q157" i="5" s="1"/>
  <c r="K156" i="5"/>
  <c r="P156" i="5" s="1"/>
  <c r="L156" i="5"/>
  <c r="Q156" i="5" s="1"/>
  <c r="K155" i="5"/>
  <c r="P155" i="5" s="1"/>
  <c r="L155" i="5"/>
  <c r="Q155" i="5" s="1"/>
  <c r="K154" i="5"/>
  <c r="P154" i="5" s="1"/>
  <c r="L154" i="5"/>
  <c r="Q154" i="5" s="1"/>
  <c r="K153" i="5"/>
  <c r="P153" i="5" s="1"/>
  <c r="L153" i="5"/>
  <c r="Q153" i="5" s="1"/>
  <c r="K152" i="5"/>
  <c r="P152" i="5" s="1"/>
  <c r="L152" i="5"/>
  <c r="Q152" i="5" s="1"/>
  <c r="K151" i="5"/>
  <c r="P151" i="5" s="1"/>
  <c r="L151" i="5"/>
  <c r="Q151" i="5" s="1"/>
  <c r="K150" i="5"/>
  <c r="P150" i="5" s="1"/>
  <c r="L150" i="5"/>
  <c r="Q150" i="5" s="1"/>
  <c r="K149" i="5"/>
  <c r="P149" i="5" s="1"/>
  <c r="L149" i="5"/>
  <c r="Q149" i="5" s="1"/>
  <c r="K148" i="5"/>
  <c r="P148" i="5" s="1"/>
  <c r="L148" i="5"/>
  <c r="Q148" i="5" s="1"/>
  <c r="K147" i="5"/>
  <c r="P147" i="5" s="1"/>
  <c r="L147" i="5"/>
  <c r="Q147" i="5" s="1"/>
  <c r="K146" i="5"/>
  <c r="P146" i="5" s="1"/>
  <c r="L146" i="5"/>
  <c r="Q146" i="5" s="1"/>
  <c r="K145" i="5"/>
  <c r="P145" i="5" s="1"/>
  <c r="L145" i="5"/>
  <c r="Q145" i="5" s="1"/>
  <c r="K144" i="5"/>
  <c r="P144" i="5" s="1"/>
  <c r="L144" i="5"/>
  <c r="Q144" i="5" s="1"/>
  <c r="K143" i="5"/>
  <c r="P143" i="5" s="1"/>
  <c r="L143" i="5"/>
  <c r="Q143" i="5" s="1"/>
  <c r="K142" i="5"/>
  <c r="P142" i="5" s="1"/>
  <c r="L142" i="5"/>
  <c r="Q142" i="5" s="1"/>
  <c r="K141" i="5"/>
  <c r="P141" i="5" s="1"/>
  <c r="L141" i="5"/>
  <c r="Q141" i="5" s="1"/>
  <c r="K140" i="5"/>
  <c r="P140" i="5" s="1"/>
  <c r="L140" i="5"/>
  <c r="Q140" i="5" s="1"/>
  <c r="K139" i="5"/>
  <c r="P139" i="5" s="1"/>
  <c r="L139" i="5"/>
  <c r="Q139" i="5" s="1"/>
  <c r="K138" i="5"/>
  <c r="P138" i="5" s="1"/>
  <c r="L138" i="5"/>
  <c r="Q138" i="5" s="1"/>
  <c r="K137" i="5"/>
  <c r="P137" i="5" s="1"/>
  <c r="L137" i="5"/>
  <c r="Q137" i="5" s="1"/>
  <c r="K136" i="5"/>
  <c r="P136" i="5" s="1"/>
  <c r="L136" i="5"/>
  <c r="Q136" i="5" s="1"/>
  <c r="K135" i="5"/>
  <c r="P135" i="5" s="1"/>
  <c r="L135" i="5"/>
  <c r="Q135" i="5" s="1"/>
  <c r="K134" i="5"/>
  <c r="P134" i="5" s="1"/>
  <c r="L134" i="5"/>
  <c r="Q134" i="5" s="1"/>
  <c r="K133" i="5"/>
  <c r="P133" i="5" s="1"/>
  <c r="L133" i="5"/>
  <c r="Q133" i="5" s="1"/>
  <c r="K132" i="5"/>
  <c r="P132" i="5" s="1"/>
  <c r="L132" i="5"/>
  <c r="Q132" i="5" s="1"/>
  <c r="K131" i="5"/>
  <c r="P131" i="5" s="1"/>
  <c r="L131" i="5"/>
  <c r="Q131" i="5" s="1"/>
  <c r="K130" i="5"/>
  <c r="P130" i="5" s="1"/>
  <c r="L130" i="5"/>
  <c r="Q130" i="5" s="1"/>
  <c r="K129" i="5"/>
  <c r="P129" i="5" s="1"/>
  <c r="L129" i="5"/>
  <c r="Q129" i="5" s="1"/>
  <c r="K128" i="5"/>
  <c r="P128" i="5" s="1"/>
  <c r="L128" i="5"/>
  <c r="Q128" i="5" s="1"/>
  <c r="K127" i="5"/>
  <c r="P127" i="5" s="1"/>
  <c r="L127" i="5"/>
  <c r="Q127" i="5" s="1"/>
  <c r="K126" i="5"/>
  <c r="P126" i="5" s="1"/>
  <c r="L126" i="5"/>
  <c r="Q126" i="5" s="1"/>
  <c r="K125" i="5"/>
  <c r="P125" i="5" s="1"/>
  <c r="L125" i="5"/>
  <c r="Q125" i="5" s="1"/>
  <c r="K124" i="5"/>
  <c r="P124" i="5" s="1"/>
  <c r="L124" i="5"/>
  <c r="Q124" i="5" s="1"/>
  <c r="K123" i="5"/>
  <c r="P123" i="5" s="1"/>
  <c r="L123" i="5"/>
  <c r="Q123" i="5" s="1"/>
  <c r="K122" i="5"/>
  <c r="P122" i="5" s="1"/>
  <c r="L122" i="5"/>
  <c r="Q122" i="5" s="1"/>
  <c r="K121" i="5"/>
  <c r="P121" i="5" s="1"/>
  <c r="L121" i="5"/>
  <c r="Q121" i="5" s="1"/>
  <c r="K120" i="5"/>
  <c r="P120" i="5" s="1"/>
  <c r="L120" i="5"/>
  <c r="Q120" i="5" s="1"/>
  <c r="K119" i="5"/>
  <c r="P119" i="5" s="1"/>
  <c r="L119" i="5"/>
  <c r="Q119" i="5" s="1"/>
  <c r="K118" i="5"/>
  <c r="P118" i="5" s="1"/>
  <c r="L118" i="5"/>
  <c r="Q118" i="5" s="1"/>
  <c r="K117" i="5"/>
  <c r="P117" i="5" s="1"/>
  <c r="L117" i="5"/>
  <c r="Q117" i="5" s="1"/>
  <c r="K116" i="5"/>
  <c r="P116" i="5" s="1"/>
  <c r="L116" i="5"/>
  <c r="Q116" i="5" s="1"/>
  <c r="K115" i="5"/>
  <c r="P115" i="5" s="1"/>
  <c r="L115" i="5"/>
  <c r="Q115" i="5" s="1"/>
  <c r="K114" i="5"/>
  <c r="P114" i="5" s="1"/>
  <c r="L114" i="5"/>
  <c r="Q114" i="5" s="1"/>
  <c r="K113" i="5"/>
  <c r="P113" i="5" s="1"/>
  <c r="L113" i="5"/>
  <c r="Q113" i="5" s="1"/>
  <c r="K112" i="5"/>
  <c r="P112" i="5" s="1"/>
  <c r="L112" i="5"/>
  <c r="Q112" i="5" s="1"/>
  <c r="K111" i="5"/>
  <c r="P111" i="5" s="1"/>
  <c r="L111" i="5"/>
  <c r="Q111" i="5" s="1"/>
  <c r="K110" i="5"/>
  <c r="P110" i="5" s="1"/>
  <c r="L110" i="5"/>
  <c r="Q110" i="5" s="1"/>
  <c r="K109" i="5"/>
  <c r="P109" i="5" s="1"/>
  <c r="L109" i="5"/>
  <c r="Q109" i="5" s="1"/>
  <c r="K108" i="5"/>
  <c r="P108" i="5" s="1"/>
  <c r="L108" i="5"/>
  <c r="Q108" i="5" s="1"/>
  <c r="K107" i="5"/>
  <c r="P107" i="5" s="1"/>
  <c r="L107" i="5"/>
  <c r="Q107" i="5" s="1"/>
  <c r="K106" i="5"/>
  <c r="P106" i="5" s="1"/>
  <c r="L106" i="5"/>
  <c r="Q106" i="5" s="1"/>
  <c r="K105" i="5"/>
  <c r="P105" i="5" s="1"/>
  <c r="L105" i="5"/>
  <c r="Q105" i="5" s="1"/>
  <c r="K104" i="5"/>
  <c r="P104" i="5" s="1"/>
  <c r="L104" i="5"/>
  <c r="Q104" i="5" s="1"/>
  <c r="K103" i="5"/>
  <c r="P103" i="5" s="1"/>
  <c r="L103" i="5"/>
  <c r="Q103" i="5" s="1"/>
  <c r="K102" i="5"/>
  <c r="P102" i="5" s="1"/>
  <c r="L102" i="5"/>
  <c r="Q102" i="5" s="1"/>
  <c r="K101" i="5"/>
  <c r="P101" i="5" s="1"/>
  <c r="L101" i="5"/>
  <c r="Q101" i="5" s="1"/>
  <c r="K100" i="5"/>
  <c r="P100" i="5" s="1"/>
  <c r="L100" i="5"/>
  <c r="Q100" i="5" s="1"/>
  <c r="K99" i="5"/>
  <c r="P99" i="5" s="1"/>
  <c r="L99" i="5"/>
  <c r="Q99" i="5" s="1"/>
  <c r="K98" i="5"/>
  <c r="P98" i="5" s="1"/>
  <c r="L98" i="5"/>
  <c r="Q98" i="5" s="1"/>
  <c r="K97" i="5"/>
  <c r="P97" i="5" s="1"/>
  <c r="L97" i="5"/>
  <c r="Q97" i="5" s="1"/>
  <c r="K96" i="5"/>
  <c r="P96" i="5" s="1"/>
  <c r="L96" i="5"/>
  <c r="Q96" i="5" s="1"/>
  <c r="K95" i="5"/>
  <c r="P95" i="5" s="1"/>
  <c r="L95" i="5"/>
  <c r="Q95" i="5" s="1"/>
  <c r="K94" i="5"/>
  <c r="P94" i="5" s="1"/>
  <c r="L94" i="5"/>
  <c r="Q94" i="5" s="1"/>
  <c r="K93" i="5"/>
  <c r="P93" i="5" s="1"/>
  <c r="L93" i="5"/>
  <c r="Q93" i="5" s="1"/>
  <c r="K92" i="5"/>
  <c r="P92" i="5" s="1"/>
  <c r="L92" i="5"/>
  <c r="Q92" i="5" s="1"/>
  <c r="K91" i="5"/>
  <c r="P91" i="5" s="1"/>
  <c r="L91" i="5"/>
  <c r="Q91" i="5" s="1"/>
  <c r="K90" i="5"/>
  <c r="P90" i="5" s="1"/>
  <c r="L90" i="5"/>
  <c r="Q90" i="5" s="1"/>
  <c r="K89" i="5"/>
  <c r="P89" i="5" s="1"/>
  <c r="L89" i="5"/>
  <c r="Q89" i="5" s="1"/>
  <c r="K88" i="5"/>
  <c r="P88" i="5" s="1"/>
  <c r="L88" i="5"/>
  <c r="Q88" i="5" s="1"/>
  <c r="K87" i="5"/>
  <c r="P87" i="5" s="1"/>
  <c r="L87" i="5"/>
  <c r="Q87" i="5" s="1"/>
  <c r="K86" i="5"/>
  <c r="P86" i="5" s="1"/>
  <c r="L86" i="5"/>
  <c r="Q86" i="5" s="1"/>
  <c r="K85" i="5"/>
  <c r="P85" i="5" s="1"/>
  <c r="L85" i="5"/>
  <c r="Q85" i="5" s="1"/>
  <c r="K84" i="5"/>
  <c r="P84" i="5" s="1"/>
  <c r="L84" i="5"/>
  <c r="Q84" i="5" s="1"/>
  <c r="K83" i="5"/>
  <c r="P83" i="5" s="1"/>
  <c r="L83" i="5"/>
  <c r="Q83" i="5" s="1"/>
  <c r="K82" i="5"/>
  <c r="P82" i="5" s="1"/>
  <c r="L82" i="5"/>
  <c r="Q82" i="5" s="1"/>
  <c r="K81" i="5"/>
  <c r="P81" i="5" s="1"/>
  <c r="L81" i="5"/>
  <c r="Q81" i="5" s="1"/>
  <c r="K80" i="5"/>
  <c r="P80" i="5" s="1"/>
  <c r="L80" i="5"/>
  <c r="Q80" i="5" s="1"/>
  <c r="K79" i="5"/>
  <c r="P79" i="5" s="1"/>
  <c r="L79" i="5"/>
  <c r="Q79" i="5" s="1"/>
  <c r="K78" i="5"/>
  <c r="P78" i="5" s="1"/>
  <c r="L78" i="5"/>
  <c r="Q78" i="5" s="1"/>
  <c r="K77" i="5"/>
  <c r="P77" i="5" s="1"/>
  <c r="L77" i="5"/>
  <c r="Q77" i="5" s="1"/>
  <c r="K76" i="5"/>
  <c r="P76" i="5" s="1"/>
  <c r="L76" i="5"/>
  <c r="Q76" i="5" s="1"/>
  <c r="K75" i="5"/>
  <c r="P75" i="5" s="1"/>
  <c r="L75" i="5"/>
  <c r="Q75" i="5" s="1"/>
  <c r="K74" i="5"/>
  <c r="P74" i="5" s="1"/>
  <c r="L74" i="5"/>
  <c r="Q74" i="5" s="1"/>
  <c r="K73" i="5"/>
  <c r="P73" i="5" s="1"/>
  <c r="L73" i="5"/>
  <c r="Q73" i="5" s="1"/>
  <c r="K72" i="5"/>
  <c r="P72" i="5" s="1"/>
  <c r="L72" i="5"/>
  <c r="Q72" i="5" s="1"/>
  <c r="K71" i="5"/>
  <c r="P71" i="5" s="1"/>
  <c r="L71" i="5"/>
  <c r="Q71" i="5" s="1"/>
  <c r="K70" i="5"/>
  <c r="P70" i="5" s="1"/>
  <c r="L70" i="5"/>
  <c r="Q70" i="5" s="1"/>
  <c r="K69" i="5"/>
  <c r="P69" i="5" s="1"/>
  <c r="L69" i="5"/>
  <c r="Q69" i="5" s="1"/>
  <c r="K68" i="5"/>
  <c r="P68" i="5" s="1"/>
  <c r="L68" i="5"/>
  <c r="Q68" i="5" s="1"/>
  <c r="K67" i="5"/>
  <c r="P67" i="5" s="1"/>
  <c r="L67" i="5"/>
  <c r="Q67" i="5" s="1"/>
  <c r="K66" i="5"/>
  <c r="P66" i="5" s="1"/>
  <c r="L66" i="5"/>
  <c r="Q66" i="5" s="1"/>
  <c r="K65" i="5"/>
  <c r="P65" i="5" s="1"/>
  <c r="L65" i="5"/>
  <c r="Q65" i="5" s="1"/>
  <c r="K64" i="5"/>
  <c r="P64" i="5" s="1"/>
  <c r="L64" i="5"/>
  <c r="Q64" i="5" s="1"/>
  <c r="K63" i="5"/>
  <c r="P63" i="5" s="1"/>
  <c r="L63" i="5"/>
  <c r="Q63" i="5" s="1"/>
  <c r="K62" i="5"/>
  <c r="P62" i="5" s="1"/>
  <c r="L62" i="5"/>
  <c r="Q62" i="5" s="1"/>
  <c r="K61" i="5"/>
  <c r="P61" i="5" s="1"/>
  <c r="L61" i="5"/>
  <c r="Q61" i="5" s="1"/>
  <c r="K60" i="5"/>
  <c r="P60" i="5" s="1"/>
  <c r="L60" i="5"/>
  <c r="Q60" i="5" s="1"/>
  <c r="K59" i="5"/>
  <c r="P59" i="5" s="1"/>
  <c r="L59" i="5"/>
  <c r="Q59" i="5" s="1"/>
  <c r="K58" i="5"/>
  <c r="P58" i="5" s="1"/>
  <c r="L58" i="5"/>
  <c r="Q58" i="5" s="1"/>
  <c r="K57" i="5"/>
  <c r="P57" i="5" s="1"/>
  <c r="L57" i="5"/>
  <c r="Q57" i="5" s="1"/>
  <c r="K56" i="5"/>
  <c r="P56" i="5" s="1"/>
  <c r="L56" i="5"/>
  <c r="Q56" i="5" s="1"/>
  <c r="K55" i="5"/>
  <c r="P55" i="5" s="1"/>
  <c r="L55" i="5"/>
  <c r="Q55" i="5" s="1"/>
  <c r="K54" i="5"/>
  <c r="P54" i="5" s="1"/>
  <c r="L54" i="5"/>
  <c r="Q54" i="5" s="1"/>
  <c r="K53" i="5"/>
  <c r="P53" i="5" s="1"/>
  <c r="L53" i="5"/>
  <c r="Q53" i="5" s="1"/>
  <c r="K52" i="5"/>
  <c r="P52" i="5" s="1"/>
  <c r="L52" i="5"/>
  <c r="Q52" i="5" s="1"/>
  <c r="K51" i="5"/>
  <c r="P51" i="5" s="1"/>
  <c r="L51" i="5"/>
  <c r="Q51" i="5" s="1"/>
  <c r="K50" i="5"/>
  <c r="P50" i="5" s="1"/>
  <c r="L50" i="5"/>
  <c r="Q50" i="5" s="1"/>
  <c r="K49" i="5"/>
  <c r="P49" i="5" s="1"/>
  <c r="L49" i="5"/>
  <c r="Q49" i="5" s="1"/>
  <c r="K48" i="5"/>
  <c r="P48" i="5" s="1"/>
  <c r="L48" i="5"/>
  <c r="Q48" i="5" s="1"/>
  <c r="K47" i="5"/>
  <c r="P47" i="5" s="1"/>
  <c r="L47" i="5"/>
  <c r="Q47" i="5" s="1"/>
  <c r="K46" i="5"/>
  <c r="P46" i="5" s="1"/>
  <c r="L46" i="5"/>
  <c r="Q46" i="5" s="1"/>
  <c r="K45" i="5"/>
  <c r="P45" i="5" s="1"/>
  <c r="L45" i="5"/>
  <c r="Q45" i="5" s="1"/>
  <c r="K44" i="5"/>
  <c r="P44" i="5" s="1"/>
  <c r="L44" i="5"/>
  <c r="Q44" i="5" s="1"/>
  <c r="K43" i="5"/>
  <c r="P43" i="5" s="1"/>
  <c r="L43" i="5"/>
  <c r="Q43" i="5" s="1"/>
  <c r="K42" i="5"/>
  <c r="P42" i="5" s="1"/>
  <c r="L42" i="5"/>
  <c r="Q42" i="5" s="1"/>
  <c r="K41" i="5"/>
  <c r="P41" i="5" s="1"/>
  <c r="L41" i="5"/>
  <c r="Q41" i="5" s="1"/>
  <c r="K40" i="5"/>
  <c r="P40" i="5" s="1"/>
  <c r="L40" i="5"/>
  <c r="Q40" i="5" s="1"/>
  <c r="K39" i="5"/>
  <c r="P39" i="5" s="1"/>
  <c r="L39" i="5"/>
  <c r="Q39" i="5" s="1"/>
  <c r="K38" i="5"/>
  <c r="P38" i="5" s="1"/>
  <c r="L38" i="5"/>
  <c r="Q38" i="5" s="1"/>
  <c r="K37" i="5"/>
  <c r="P37" i="5" s="1"/>
  <c r="L37" i="5"/>
  <c r="Q37" i="5" s="1"/>
  <c r="K36" i="5"/>
  <c r="P36" i="5" s="1"/>
  <c r="L36" i="5"/>
  <c r="Q36" i="5" s="1"/>
  <c r="K35" i="5"/>
  <c r="P35" i="5" s="1"/>
  <c r="L35" i="5"/>
  <c r="Q35" i="5" s="1"/>
  <c r="K34" i="5"/>
  <c r="P34" i="5" s="1"/>
  <c r="L34" i="5"/>
  <c r="Q34" i="5" s="1"/>
  <c r="K33" i="5"/>
  <c r="P33" i="5" s="1"/>
  <c r="L33" i="5"/>
  <c r="Q33" i="5" s="1"/>
  <c r="K32" i="5"/>
  <c r="P32" i="5" s="1"/>
  <c r="L32" i="5"/>
  <c r="Q32" i="5" s="1"/>
  <c r="K31" i="5"/>
  <c r="P31" i="5" s="1"/>
  <c r="L31" i="5"/>
  <c r="Q31" i="5" s="1"/>
  <c r="K30" i="5"/>
  <c r="P30" i="5" s="1"/>
  <c r="L30" i="5"/>
  <c r="Q30" i="5" s="1"/>
  <c r="K29" i="5"/>
  <c r="P29" i="5" s="1"/>
  <c r="L29" i="5"/>
  <c r="Q29" i="5" s="1"/>
  <c r="K28" i="5"/>
  <c r="P28" i="5" s="1"/>
  <c r="L28" i="5"/>
  <c r="Q28" i="5" s="1"/>
  <c r="K27" i="5"/>
  <c r="P27" i="5" s="1"/>
  <c r="L27" i="5"/>
  <c r="Q27" i="5" s="1"/>
  <c r="K26" i="5"/>
  <c r="P26" i="5" s="1"/>
  <c r="L26" i="5"/>
  <c r="Q26" i="5" s="1"/>
  <c r="K25" i="5"/>
  <c r="P25" i="5" s="1"/>
  <c r="L25" i="5"/>
  <c r="Q25" i="5" s="1"/>
  <c r="K24" i="5"/>
  <c r="P24" i="5" s="1"/>
  <c r="L24" i="5"/>
  <c r="Q24" i="5" s="1"/>
  <c r="K23" i="5"/>
  <c r="P23" i="5" s="1"/>
  <c r="L23" i="5"/>
  <c r="Q23" i="5" s="1"/>
  <c r="K22" i="5"/>
  <c r="P22" i="5" s="1"/>
  <c r="L22" i="5"/>
  <c r="Q22" i="5" s="1"/>
  <c r="K21" i="5"/>
  <c r="P21" i="5" s="1"/>
  <c r="L21" i="5"/>
  <c r="Q21" i="5" s="1"/>
  <c r="K20" i="5"/>
  <c r="P20" i="5" s="1"/>
  <c r="L20" i="5"/>
  <c r="Q20" i="5" s="1"/>
  <c r="K19" i="5"/>
  <c r="P19" i="5" s="1"/>
  <c r="L19" i="5"/>
  <c r="Q19" i="5" s="1"/>
  <c r="K18" i="5"/>
  <c r="P18" i="5" s="1"/>
  <c r="L18" i="5"/>
  <c r="Q18" i="5" s="1"/>
  <c r="K17" i="5"/>
  <c r="P17" i="5" s="1"/>
  <c r="L17" i="5"/>
  <c r="Q17" i="5" s="1"/>
  <c r="K16" i="5"/>
  <c r="P16" i="5" s="1"/>
  <c r="L16" i="5"/>
  <c r="Q16" i="5" s="1"/>
  <c r="K15" i="5"/>
  <c r="P15" i="5" s="1"/>
  <c r="L15" i="5"/>
  <c r="Q15" i="5" s="1"/>
  <c r="K14" i="5"/>
  <c r="P14" i="5" s="1"/>
  <c r="L14" i="5"/>
  <c r="Q14" i="5" s="1"/>
  <c r="K13" i="5"/>
  <c r="P13" i="5" s="1"/>
  <c r="L13" i="5"/>
  <c r="Q13" i="5" s="1"/>
  <c r="K12" i="5"/>
  <c r="P12" i="5" s="1"/>
  <c r="L12" i="5"/>
  <c r="Q12" i="5" s="1"/>
  <c r="K11" i="5"/>
  <c r="P11" i="5" s="1"/>
  <c r="L11" i="5"/>
  <c r="Q11" i="5" s="1"/>
  <c r="K10" i="5"/>
  <c r="P10" i="5" s="1"/>
  <c r="L10" i="5"/>
  <c r="Q10" i="5" s="1"/>
  <c r="K9" i="5"/>
  <c r="P9" i="5" s="1"/>
  <c r="L9" i="5"/>
  <c r="Q9" i="5" s="1"/>
  <c r="K8" i="5"/>
  <c r="P8" i="5" s="1"/>
  <c r="L8" i="5"/>
  <c r="Q8" i="5" s="1"/>
  <c r="K7" i="5"/>
  <c r="P7" i="5" s="1"/>
  <c r="L7" i="5"/>
  <c r="Q7" i="5" s="1"/>
  <c r="K6" i="5"/>
  <c r="P6" i="5" s="1"/>
  <c r="L6" i="5"/>
  <c r="Q6" i="5" s="1"/>
  <c r="K5" i="5"/>
  <c r="P5" i="5" s="1"/>
  <c r="L5" i="5"/>
  <c r="Q5" i="5" s="1"/>
  <c r="K4" i="5"/>
  <c r="P4" i="5" s="1"/>
  <c r="L4" i="5"/>
  <c r="Q4" i="5" s="1"/>
  <c r="L3" i="5"/>
  <c r="Q3" i="5" s="1"/>
  <c r="K3" i="5"/>
  <c r="P3" i="5" s="1"/>
  <c r="L2" i="5"/>
  <c r="Q2" i="5" s="1"/>
  <c r="K2" i="5"/>
  <c r="P2" i="5" s="1"/>
  <c r="L961" i="4"/>
  <c r="O961" i="4" s="1"/>
  <c r="K961" i="4"/>
  <c r="N961" i="4" s="1"/>
  <c r="L960" i="4"/>
  <c r="O960" i="4" s="1"/>
  <c r="K960" i="4"/>
  <c r="N960" i="4" s="1"/>
  <c r="K959" i="4"/>
  <c r="N959" i="4" s="1"/>
  <c r="L959" i="4"/>
  <c r="O959" i="4" s="1"/>
  <c r="K958" i="4"/>
  <c r="N958" i="4" s="1"/>
  <c r="L958" i="4"/>
  <c r="O958" i="4" s="1"/>
  <c r="K957" i="4"/>
  <c r="N957" i="4" s="1"/>
  <c r="L957" i="4"/>
  <c r="O957" i="4" s="1"/>
  <c r="K956" i="4"/>
  <c r="N956" i="4" s="1"/>
  <c r="L956" i="4"/>
  <c r="O956" i="4" s="1"/>
  <c r="K955" i="4"/>
  <c r="N955" i="4" s="1"/>
  <c r="L955" i="4"/>
  <c r="O955" i="4" s="1"/>
  <c r="K954" i="4"/>
  <c r="N954" i="4" s="1"/>
  <c r="L954" i="4"/>
  <c r="O954" i="4" s="1"/>
  <c r="K953" i="4"/>
  <c r="N953" i="4" s="1"/>
  <c r="L953" i="4"/>
  <c r="O953" i="4" s="1"/>
  <c r="K952" i="4"/>
  <c r="N952" i="4" s="1"/>
  <c r="L952" i="4"/>
  <c r="O952" i="4" s="1"/>
  <c r="K951" i="4"/>
  <c r="N951" i="4" s="1"/>
  <c r="L951" i="4"/>
  <c r="O951" i="4" s="1"/>
  <c r="K950" i="4"/>
  <c r="N950" i="4" s="1"/>
  <c r="L950" i="4"/>
  <c r="O950" i="4" s="1"/>
  <c r="K949" i="4"/>
  <c r="N949" i="4" s="1"/>
  <c r="L949" i="4"/>
  <c r="O949" i="4" s="1"/>
  <c r="K948" i="4"/>
  <c r="N948" i="4" s="1"/>
  <c r="L948" i="4"/>
  <c r="O948" i="4" s="1"/>
  <c r="K947" i="4"/>
  <c r="N947" i="4" s="1"/>
  <c r="L947" i="4"/>
  <c r="O947" i="4" s="1"/>
  <c r="K946" i="4"/>
  <c r="N946" i="4" s="1"/>
  <c r="L946" i="4"/>
  <c r="O946" i="4" s="1"/>
  <c r="K945" i="4"/>
  <c r="N945" i="4" s="1"/>
  <c r="L945" i="4"/>
  <c r="O945" i="4" s="1"/>
  <c r="K944" i="4"/>
  <c r="N944" i="4" s="1"/>
  <c r="L944" i="4"/>
  <c r="O944" i="4" s="1"/>
  <c r="K943" i="4"/>
  <c r="N943" i="4" s="1"/>
  <c r="L943" i="4"/>
  <c r="O943" i="4" s="1"/>
  <c r="K942" i="4"/>
  <c r="N942" i="4" s="1"/>
  <c r="L942" i="4"/>
  <c r="O942" i="4" s="1"/>
  <c r="K941" i="4"/>
  <c r="N941" i="4" s="1"/>
  <c r="L941" i="4"/>
  <c r="O941" i="4" s="1"/>
  <c r="K940" i="4"/>
  <c r="N940" i="4" s="1"/>
  <c r="L940" i="4"/>
  <c r="O940" i="4" s="1"/>
  <c r="K939" i="4"/>
  <c r="N939" i="4" s="1"/>
  <c r="L939" i="4"/>
  <c r="O939" i="4" s="1"/>
  <c r="K938" i="4"/>
  <c r="N938" i="4" s="1"/>
  <c r="L938" i="4"/>
  <c r="O938" i="4" s="1"/>
  <c r="K937" i="4"/>
  <c r="N937" i="4" s="1"/>
  <c r="L937" i="4"/>
  <c r="O937" i="4" s="1"/>
  <c r="K936" i="4"/>
  <c r="N936" i="4" s="1"/>
  <c r="L936" i="4"/>
  <c r="O936" i="4" s="1"/>
  <c r="K935" i="4"/>
  <c r="N935" i="4" s="1"/>
  <c r="L935" i="4"/>
  <c r="O935" i="4" s="1"/>
  <c r="K934" i="4"/>
  <c r="N934" i="4" s="1"/>
  <c r="L934" i="4"/>
  <c r="O934" i="4" s="1"/>
  <c r="K933" i="4"/>
  <c r="N933" i="4" s="1"/>
  <c r="L933" i="4"/>
  <c r="O933" i="4" s="1"/>
  <c r="K932" i="4"/>
  <c r="N932" i="4" s="1"/>
  <c r="L932" i="4"/>
  <c r="O932" i="4" s="1"/>
  <c r="K931" i="4"/>
  <c r="N931" i="4" s="1"/>
  <c r="L931" i="4"/>
  <c r="O931" i="4" s="1"/>
  <c r="K930" i="4"/>
  <c r="N930" i="4" s="1"/>
  <c r="L930" i="4"/>
  <c r="O930" i="4" s="1"/>
  <c r="K929" i="4"/>
  <c r="N929" i="4" s="1"/>
  <c r="L929" i="4"/>
  <c r="O929" i="4" s="1"/>
  <c r="K928" i="4"/>
  <c r="N928" i="4" s="1"/>
  <c r="L928" i="4"/>
  <c r="O928" i="4" s="1"/>
  <c r="K927" i="4"/>
  <c r="N927" i="4" s="1"/>
  <c r="L927" i="4"/>
  <c r="O927" i="4" s="1"/>
  <c r="K926" i="4"/>
  <c r="N926" i="4" s="1"/>
  <c r="L926" i="4"/>
  <c r="O926" i="4" s="1"/>
  <c r="K925" i="4"/>
  <c r="N925" i="4" s="1"/>
  <c r="L925" i="4"/>
  <c r="O925" i="4" s="1"/>
  <c r="K924" i="4"/>
  <c r="N924" i="4" s="1"/>
  <c r="L924" i="4"/>
  <c r="O924" i="4" s="1"/>
  <c r="K923" i="4"/>
  <c r="N923" i="4" s="1"/>
  <c r="L923" i="4"/>
  <c r="O923" i="4" s="1"/>
  <c r="K922" i="4"/>
  <c r="N922" i="4" s="1"/>
  <c r="L922" i="4"/>
  <c r="O922" i="4" s="1"/>
  <c r="K921" i="4"/>
  <c r="N921" i="4" s="1"/>
  <c r="L921" i="4"/>
  <c r="O921" i="4" s="1"/>
  <c r="K920" i="4"/>
  <c r="N920" i="4" s="1"/>
  <c r="L920" i="4"/>
  <c r="O920" i="4" s="1"/>
  <c r="K919" i="4"/>
  <c r="N919" i="4" s="1"/>
  <c r="L919" i="4"/>
  <c r="O919" i="4" s="1"/>
  <c r="K918" i="4"/>
  <c r="N918" i="4" s="1"/>
  <c r="L918" i="4"/>
  <c r="O918" i="4" s="1"/>
  <c r="K917" i="4"/>
  <c r="N917" i="4" s="1"/>
  <c r="L917" i="4"/>
  <c r="O917" i="4" s="1"/>
  <c r="K916" i="4"/>
  <c r="N916" i="4" s="1"/>
  <c r="L916" i="4"/>
  <c r="O916" i="4" s="1"/>
  <c r="K915" i="4"/>
  <c r="N915" i="4" s="1"/>
  <c r="L915" i="4"/>
  <c r="O915" i="4" s="1"/>
  <c r="K914" i="4"/>
  <c r="N914" i="4" s="1"/>
  <c r="L914" i="4"/>
  <c r="O914" i="4" s="1"/>
  <c r="K913" i="4"/>
  <c r="N913" i="4" s="1"/>
  <c r="L913" i="4"/>
  <c r="O913" i="4" s="1"/>
  <c r="K912" i="4"/>
  <c r="N912" i="4" s="1"/>
  <c r="L912" i="4"/>
  <c r="O912" i="4" s="1"/>
  <c r="K911" i="4"/>
  <c r="N911" i="4" s="1"/>
  <c r="L911" i="4"/>
  <c r="O911" i="4" s="1"/>
  <c r="K910" i="4"/>
  <c r="N910" i="4" s="1"/>
  <c r="L910" i="4"/>
  <c r="O910" i="4" s="1"/>
  <c r="K909" i="4"/>
  <c r="N909" i="4" s="1"/>
  <c r="L909" i="4"/>
  <c r="O909" i="4" s="1"/>
  <c r="K908" i="4"/>
  <c r="N908" i="4" s="1"/>
  <c r="L908" i="4"/>
  <c r="O908" i="4" s="1"/>
  <c r="K907" i="4"/>
  <c r="N907" i="4" s="1"/>
  <c r="L907" i="4"/>
  <c r="O907" i="4" s="1"/>
  <c r="K906" i="4"/>
  <c r="N906" i="4" s="1"/>
  <c r="L906" i="4"/>
  <c r="O906" i="4" s="1"/>
  <c r="K905" i="4"/>
  <c r="N905" i="4" s="1"/>
  <c r="L905" i="4"/>
  <c r="O905" i="4" s="1"/>
  <c r="K904" i="4"/>
  <c r="N904" i="4" s="1"/>
  <c r="L904" i="4"/>
  <c r="O904" i="4" s="1"/>
  <c r="K903" i="4"/>
  <c r="N903" i="4" s="1"/>
  <c r="L903" i="4"/>
  <c r="O903" i="4" s="1"/>
  <c r="K902" i="4"/>
  <c r="N902" i="4" s="1"/>
  <c r="L902" i="4"/>
  <c r="O902" i="4" s="1"/>
  <c r="K901" i="4"/>
  <c r="N901" i="4" s="1"/>
  <c r="L901" i="4"/>
  <c r="O901" i="4" s="1"/>
  <c r="K900" i="4"/>
  <c r="N900" i="4" s="1"/>
  <c r="L900" i="4"/>
  <c r="O900" i="4" s="1"/>
  <c r="K899" i="4"/>
  <c r="N899" i="4" s="1"/>
  <c r="L899" i="4"/>
  <c r="O899" i="4" s="1"/>
  <c r="K898" i="4"/>
  <c r="N898" i="4" s="1"/>
  <c r="L898" i="4"/>
  <c r="O898" i="4" s="1"/>
  <c r="K897" i="4"/>
  <c r="N897" i="4" s="1"/>
  <c r="L897" i="4"/>
  <c r="O897" i="4" s="1"/>
  <c r="K896" i="4"/>
  <c r="N896" i="4" s="1"/>
  <c r="L896" i="4"/>
  <c r="O896" i="4" s="1"/>
  <c r="K895" i="4"/>
  <c r="N895" i="4" s="1"/>
  <c r="L895" i="4"/>
  <c r="O895" i="4" s="1"/>
  <c r="K894" i="4"/>
  <c r="N894" i="4" s="1"/>
  <c r="L894" i="4"/>
  <c r="O894" i="4" s="1"/>
  <c r="K893" i="4"/>
  <c r="N893" i="4" s="1"/>
  <c r="L893" i="4"/>
  <c r="O893" i="4" s="1"/>
  <c r="K892" i="4"/>
  <c r="N892" i="4" s="1"/>
  <c r="L892" i="4"/>
  <c r="O892" i="4" s="1"/>
  <c r="K891" i="4"/>
  <c r="N891" i="4" s="1"/>
  <c r="L891" i="4"/>
  <c r="O891" i="4" s="1"/>
  <c r="K890" i="4"/>
  <c r="N890" i="4" s="1"/>
  <c r="L890" i="4"/>
  <c r="O890" i="4" s="1"/>
  <c r="K889" i="4"/>
  <c r="N889" i="4" s="1"/>
  <c r="L889" i="4"/>
  <c r="O889" i="4" s="1"/>
  <c r="K888" i="4"/>
  <c r="N888" i="4" s="1"/>
  <c r="L888" i="4"/>
  <c r="O888" i="4" s="1"/>
  <c r="K887" i="4"/>
  <c r="N887" i="4" s="1"/>
  <c r="L887" i="4"/>
  <c r="O887" i="4" s="1"/>
  <c r="K886" i="4"/>
  <c r="N886" i="4" s="1"/>
  <c r="L886" i="4"/>
  <c r="O886" i="4" s="1"/>
  <c r="K885" i="4"/>
  <c r="N885" i="4" s="1"/>
  <c r="L885" i="4"/>
  <c r="O885" i="4" s="1"/>
  <c r="K884" i="4"/>
  <c r="N884" i="4" s="1"/>
  <c r="L884" i="4"/>
  <c r="O884" i="4" s="1"/>
  <c r="K883" i="4"/>
  <c r="N883" i="4" s="1"/>
  <c r="L883" i="4"/>
  <c r="O883" i="4" s="1"/>
  <c r="K882" i="4"/>
  <c r="N882" i="4" s="1"/>
  <c r="L882" i="4"/>
  <c r="O882" i="4" s="1"/>
  <c r="K881" i="4"/>
  <c r="N881" i="4" s="1"/>
  <c r="L881" i="4"/>
  <c r="O881" i="4" s="1"/>
  <c r="K880" i="4"/>
  <c r="N880" i="4" s="1"/>
  <c r="L880" i="4"/>
  <c r="O880" i="4" s="1"/>
  <c r="K879" i="4"/>
  <c r="N879" i="4" s="1"/>
  <c r="L879" i="4"/>
  <c r="O879" i="4" s="1"/>
  <c r="K878" i="4"/>
  <c r="N878" i="4" s="1"/>
  <c r="L878" i="4"/>
  <c r="O878" i="4" s="1"/>
  <c r="K877" i="4"/>
  <c r="N877" i="4" s="1"/>
  <c r="L877" i="4"/>
  <c r="O877" i="4" s="1"/>
  <c r="K876" i="4"/>
  <c r="N876" i="4" s="1"/>
  <c r="L876" i="4"/>
  <c r="O876" i="4" s="1"/>
  <c r="K875" i="4"/>
  <c r="N875" i="4" s="1"/>
  <c r="L875" i="4"/>
  <c r="O875" i="4" s="1"/>
  <c r="K874" i="4"/>
  <c r="N874" i="4" s="1"/>
  <c r="L874" i="4"/>
  <c r="O874" i="4" s="1"/>
  <c r="K873" i="4"/>
  <c r="N873" i="4" s="1"/>
  <c r="L873" i="4"/>
  <c r="O873" i="4" s="1"/>
  <c r="K872" i="4"/>
  <c r="N872" i="4" s="1"/>
  <c r="L872" i="4"/>
  <c r="O872" i="4" s="1"/>
  <c r="K871" i="4"/>
  <c r="N871" i="4" s="1"/>
  <c r="L871" i="4"/>
  <c r="O871" i="4" s="1"/>
  <c r="K870" i="4"/>
  <c r="N870" i="4" s="1"/>
  <c r="L870" i="4"/>
  <c r="O870" i="4" s="1"/>
  <c r="K869" i="4"/>
  <c r="N869" i="4" s="1"/>
  <c r="L869" i="4"/>
  <c r="O869" i="4" s="1"/>
  <c r="K868" i="4"/>
  <c r="N868" i="4" s="1"/>
  <c r="L868" i="4"/>
  <c r="O868" i="4" s="1"/>
  <c r="K867" i="4"/>
  <c r="N867" i="4" s="1"/>
  <c r="L867" i="4"/>
  <c r="O867" i="4" s="1"/>
  <c r="K866" i="4"/>
  <c r="N866" i="4" s="1"/>
  <c r="L866" i="4"/>
  <c r="O866" i="4" s="1"/>
  <c r="K865" i="4"/>
  <c r="N865" i="4" s="1"/>
  <c r="L865" i="4"/>
  <c r="O865" i="4" s="1"/>
  <c r="K864" i="4"/>
  <c r="N864" i="4" s="1"/>
  <c r="L864" i="4"/>
  <c r="O864" i="4" s="1"/>
  <c r="K863" i="4"/>
  <c r="N863" i="4" s="1"/>
  <c r="L863" i="4"/>
  <c r="O863" i="4" s="1"/>
  <c r="K862" i="4"/>
  <c r="N862" i="4" s="1"/>
  <c r="L862" i="4"/>
  <c r="O862" i="4" s="1"/>
  <c r="K861" i="4"/>
  <c r="N861" i="4" s="1"/>
  <c r="L861" i="4"/>
  <c r="O861" i="4" s="1"/>
  <c r="K860" i="4"/>
  <c r="N860" i="4" s="1"/>
  <c r="L860" i="4"/>
  <c r="O860" i="4" s="1"/>
  <c r="K859" i="4"/>
  <c r="N859" i="4" s="1"/>
  <c r="L859" i="4"/>
  <c r="O859" i="4" s="1"/>
  <c r="K858" i="4"/>
  <c r="N858" i="4" s="1"/>
  <c r="L858" i="4"/>
  <c r="O858" i="4" s="1"/>
  <c r="K857" i="4"/>
  <c r="N857" i="4" s="1"/>
  <c r="L857" i="4"/>
  <c r="O857" i="4" s="1"/>
  <c r="K856" i="4"/>
  <c r="N856" i="4" s="1"/>
  <c r="L856" i="4"/>
  <c r="O856" i="4" s="1"/>
  <c r="K855" i="4"/>
  <c r="N855" i="4" s="1"/>
  <c r="L855" i="4"/>
  <c r="O855" i="4" s="1"/>
  <c r="K854" i="4"/>
  <c r="N854" i="4" s="1"/>
  <c r="L854" i="4"/>
  <c r="O854" i="4" s="1"/>
  <c r="K853" i="4"/>
  <c r="N853" i="4" s="1"/>
  <c r="L853" i="4"/>
  <c r="O853" i="4" s="1"/>
  <c r="K852" i="4"/>
  <c r="N852" i="4" s="1"/>
  <c r="L852" i="4"/>
  <c r="O852" i="4" s="1"/>
  <c r="K851" i="4"/>
  <c r="N851" i="4" s="1"/>
  <c r="L851" i="4"/>
  <c r="O851" i="4" s="1"/>
  <c r="K850" i="4"/>
  <c r="N850" i="4" s="1"/>
  <c r="L850" i="4"/>
  <c r="O850" i="4" s="1"/>
  <c r="K849" i="4"/>
  <c r="N849" i="4" s="1"/>
  <c r="L849" i="4"/>
  <c r="O849" i="4" s="1"/>
  <c r="K848" i="4"/>
  <c r="N848" i="4" s="1"/>
  <c r="L848" i="4"/>
  <c r="O848" i="4" s="1"/>
  <c r="K847" i="4"/>
  <c r="N847" i="4" s="1"/>
  <c r="L847" i="4"/>
  <c r="O847" i="4" s="1"/>
  <c r="K846" i="4"/>
  <c r="N846" i="4" s="1"/>
  <c r="L846" i="4"/>
  <c r="O846" i="4" s="1"/>
  <c r="K845" i="4"/>
  <c r="N845" i="4" s="1"/>
  <c r="L845" i="4"/>
  <c r="O845" i="4" s="1"/>
  <c r="K844" i="4"/>
  <c r="N844" i="4" s="1"/>
  <c r="L844" i="4"/>
  <c r="O844" i="4" s="1"/>
  <c r="K843" i="4"/>
  <c r="N843" i="4" s="1"/>
  <c r="L843" i="4"/>
  <c r="O843" i="4" s="1"/>
  <c r="K842" i="4"/>
  <c r="N842" i="4" s="1"/>
  <c r="L842" i="4"/>
  <c r="O842" i="4" s="1"/>
  <c r="K841" i="4"/>
  <c r="N841" i="4" s="1"/>
  <c r="L841" i="4"/>
  <c r="O841" i="4" s="1"/>
  <c r="K840" i="4"/>
  <c r="N840" i="4" s="1"/>
  <c r="L840" i="4"/>
  <c r="O840" i="4" s="1"/>
  <c r="K839" i="4"/>
  <c r="N839" i="4" s="1"/>
  <c r="L839" i="4"/>
  <c r="O839" i="4" s="1"/>
  <c r="K838" i="4"/>
  <c r="N838" i="4" s="1"/>
  <c r="L838" i="4"/>
  <c r="O838" i="4" s="1"/>
  <c r="K837" i="4"/>
  <c r="N837" i="4" s="1"/>
  <c r="L837" i="4"/>
  <c r="O837" i="4" s="1"/>
  <c r="K836" i="4"/>
  <c r="N836" i="4" s="1"/>
  <c r="L836" i="4"/>
  <c r="O836" i="4" s="1"/>
  <c r="K835" i="4"/>
  <c r="N835" i="4" s="1"/>
  <c r="L835" i="4"/>
  <c r="O835" i="4" s="1"/>
  <c r="K834" i="4"/>
  <c r="N834" i="4" s="1"/>
  <c r="L834" i="4"/>
  <c r="O834" i="4" s="1"/>
  <c r="K833" i="4"/>
  <c r="N833" i="4" s="1"/>
  <c r="L833" i="4"/>
  <c r="O833" i="4" s="1"/>
  <c r="K832" i="4"/>
  <c r="N832" i="4" s="1"/>
  <c r="L832" i="4"/>
  <c r="O832" i="4" s="1"/>
  <c r="K831" i="4"/>
  <c r="N831" i="4" s="1"/>
  <c r="L831" i="4"/>
  <c r="O831" i="4" s="1"/>
  <c r="K830" i="4"/>
  <c r="N830" i="4" s="1"/>
  <c r="L830" i="4"/>
  <c r="O830" i="4" s="1"/>
  <c r="K829" i="4"/>
  <c r="N829" i="4" s="1"/>
  <c r="L829" i="4"/>
  <c r="O829" i="4" s="1"/>
  <c r="K828" i="4"/>
  <c r="N828" i="4" s="1"/>
  <c r="L828" i="4"/>
  <c r="O828" i="4" s="1"/>
  <c r="K827" i="4"/>
  <c r="N827" i="4" s="1"/>
  <c r="L827" i="4"/>
  <c r="O827" i="4" s="1"/>
  <c r="K826" i="4"/>
  <c r="N826" i="4" s="1"/>
  <c r="L826" i="4"/>
  <c r="O826" i="4" s="1"/>
  <c r="K825" i="4"/>
  <c r="N825" i="4" s="1"/>
  <c r="L825" i="4"/>
  <c r="O825" i="4" s="1"/>
  <c r="K824" i="4"/>
  <c r="N824" i="4" s="1"/>
  <c r="L824" i="4"/>
  <c r="O824" i="4" s="1"/>
  <c r="K823" i="4"/>
  <c r="N823" i="4" s="1"/>
  <c r="L823" i="4"/>
  <c r="O823" i="4" s="1"/>
  <c r="K822" i="4"/>
  <c r="N822" i="4" s="1"/>
  <c r="L822" i="4"/>
  <c r="O822" i="4" s="1"/>
  <c r="K821" i="4"/>
  <c r="N821" i="4" s="1"/>
  <c r="L821" i="4"/>
  <c r="O821" i="4" s="1"/>
  <c r="K820" i="4"/>
  <c r="N820" i="4" s="1"/>
  <c r="L820" i="4"/>
  <c r="O820" i="4" s="1"/>
  <c r="K819" i="4"/>
  <c r="N819" i="4" s="1"/>
  <c r="L819" i="4"/>
  <c r="O819" i="4" s="1"/>
  <c r="K818" i="4"/>
  <c r="N818" i="4" s="1"/>
  <c r="L818" i="4"/>
  <c r="O818" i="4" s="1"/>
  <c r="K817" i="4"/>
  <c r="N817" i="4" s="1"/>
  <c r="L817" i="4"/>
  <c r="O817" i="4" s="1"/>
  <c r="K816" i="4"/>
  <c r="N816" i="4" s="1"/>
  <c r="L816" i="4"/>
  <c r="O816" i="4" s="1"/>
  <c r="K815" i="4"/>
  <c r="N815" i="4" s="1"/>
  <c r="L815" i="4"/>
  <c r="O815" i="4" s="1"/>
  <c r="K814" i="4"/>
  <c r="N814" i="4" s="1"/>
  <c r="L814" i="4"/>
  <c r="O814" i="4" s="1"/>
  <c r="K813" i="4"/>
  <c r="N813" i="4" s="1"/>
  <c r="L813" i="4"/>
  <c r="O813" i="4" s="1"/>
  <c r="K812" i="4"/>
  <c r="N812" i="4" s="1"/>
  <c r="L812" i="4"/>
  <c r="O812" i="4" s="1"/>
  <c r="K811" i="4"/>
  <c r="N811" i="4" s="1"/>
  <c r="L811" i="4"/>
  <c r="O811" i="4" s="1"/>
  <c r="K810" i="4"/>
  <c r="N810" i="4" s="1"/>
  <c r="L810" i="4"/>
  <c r="O810" i="4" s="1"/>
  <c r="K809" i="4"/>
  <c r="N809" i="4" s="1"/>
  <c r="L809" i="4"/>
  <c r="O809" i="4" s="1"/>
  <c r="K808" i="4"/>
  <c r="N808" i="4" s="1"/>
  <c r="L808" i="4"/>
  <c r="O808" i="4" s="1"/>
  <c r="K807" i="4"/>
  <c r="N807" i="4" s="1"/>
  <c r="L807" i="4"/>
  <c r="O807" i="4" s="1"/>
  <c r="K806" i="4"/>
  <c r="N806" i="4" s="1"/>
  <c r="L806" i="4"/>
  <c r="O806" i="4" s="1"/>
  <c r="K805" i="4"/>
  <c r="N805" i="4" s="1"/>
  <c r="L805" i="4"/>
  <c r="O805" i="4" s="1"/>
  <c r="K804" i="4"/>
  <c r="N804" i="4" s="1"/>
  <c r="L804" i="4"/>
  <c r="O804" i="4" s="1"/>
  <c r="K803" i="4"/>
  <c r="N803" i="4" s="1"/>
  <c r="L803" i="4"/>
  <c r="O803" i="4" s="1"/>
  <c r="K802" i="4"/>
  <c r="N802" i="4" s="1"/>
  <c r="L802" i="4"/>
  <c r="O802" i="4" s="1"/>
  <c r="K801" i="4"/>
  <c r="N801" i="4" s="1"/>
  <c r="L801" i="4"/>
  <c r="O801" i="4" s="1"/>
  <c r="K800" i="4"/>
  <c r="N800" i="4" s="1"/>
  <c r="L800" i="4"/>
  <c r="O800" i="4" s="1"/>
  <c r="K799" i="4"/>
  <c r="N799" i="4" s="1"/>
  <c r="L799" i="4"/>
  <c r="O799" i="4" s="1"/>
  <c r="K798" i="4"/>
  <c r="N798" i="4" s="1"/>
  <c r="L798" i="4"/>
  <c r="O798" i="4" s="1"/>
  <c r="K797" i="4"/>
  <c r="N797" i="4" s="1"/>
  <c r="L797" i="4"/>
  <c r="O797" i="4" s="1"/>
  <c r="K796" i="4"/>
  <c r="N796" i="4" s="1"/>
  <c r="L796" i="4"/>
  <c r="O796" i="4" s="1"/>
  <c r="K795" i="4"/>
  <c r="N795" i="4" s="1"/>
  <c r="L795" i="4"/>
  <c r="O795" i="4" s="1"/>
  <c r="K794" i="4"/>
  <c r="N794" i="4" s="1"/>
  <c r="L794" i="4"/>
  <c r="O794" i="4" s="1"/>
  <c r="K793" i="4"/>
  <c r="N793" i="4" s="1"/>
  <c r="L793" i="4"/>
  <c r="O793" i="4" s="1"/>
  <c r="K792" i="4"/>
  <c r="N792" i="4" s="1"/>
  <c r="L792" i="4"/>
  <c r="O792" i="4" s="1"/>
  <c r="K791" i="4"/>
  <c r="N791" i="4" s="1"/>
  <c r="L791" i="4"/>
  <c r="O791" i="4" s="1"/>
  <c r="K790" i="4"/>
  <c r="N790" i="4" s="1"/>
  <c r="L790" i="4"/>
  <c r="O790" i="4" s="1"/>
  <c r="K789" i="4"/>
  <c r="N789" i="4" s="1"/>
  <c r="L789" i="4"/>
  <c r="O789" i="4" s="1"/>
  <c r="K788" i="4"/>
  <c r="N788" i="4" s="1"/>
  <c r="L788" i="4"/>
  <c r="O788" i="4" s="1"/>
  <c r="K787" i="4"/>
  <c r="N787" i="4" s="1"/>
  <c r="L787" i="4"/>
  <c r="O787" i="4" s="1"/>
  <c r="K786" i="4"/>
  <c r="N786" i="4" s="1"/>
  <c r="L786" i="4"/>
  <c r="O786" i="4" s="1"/>
  <c r="K785" i="4"/>
  <c r="N785" i="4" s="1"/>
  <c r="L785" i="4"/>
  <c r="O785" i="4" s="1"/>
  <c r="K784" i="4"/>
  <c r="N784" i="4" s="1"/>
  <c r="L784" i="4"/>
  <c r="O784" i="4" s="1"/>
  <c r="K783" i="4"/>
  <c r="N783" i="4" s="1"/>
  <c r="L783" i="4"/>
  <c r="O783" i="4" s="1"/>
  <c r="K782" i="4"/>
  <c r="N782" i="4" s="1"/>
  <c r="L782" i="4"/>
  <c r="O782" i="4" s="1"/>
  <c r="K781" i="4"/>
  <c r="N781" i="4" s="1"/>
  <c r="L781" i="4"/>
  <c r="O781" i="4" s="1"/>
  <c r="K780" i="4"/>
  <c r="N780" i="4" s="1"/>
  <c r="L780" i="4"/>
  <c r="O780" i="4" s="1"/>
  <c r="K779" i="4"/>
  <c r="N779" i="4" s="1"/>
  <c r="L779" i="4"/>
  <c r="O779" i="4" s="1"/>
  <c r="K778" i="4"/>
  <c r="N778" i="4" s="1"/>
  <c r="L778" i="4"/>
  <c r="O778" i="4" s="1"/>
  <c r="K777" i="4"/>
  <c r="N777" i="4" s="1"/>
  <c r="L777" i="4"/>
  <c r="O777" i="4" s="1"/>
  <c r="K776" i="4"/>
  <c r="N776" i="4" s="1"/>
  <c r="L776" i="4"/>
  <c r="O776" i="4" s="1"/>
  <c r="K775" i="4"/>
  <c r="N775" i="4" s="1"/>
  <c r="L775" i="4"/>
  <c r="O775" i="4" s="1"/>
  <c r="K774" i="4"/>
  <c r="N774" i="4" s="1"/>
  <c r="L774" i="4"/>
  <c r="O774" i="4" s="1"/>
  <c r="K773" i="4"/>
  <c r="N773" i="4" s="1"/>
  <c r="L773" i="4"/>
  <c r="O773" i="4" s="1"/>
  <c r="K772" i="4"/>
  <c r="N772" i="4" s="1"/>
  <c r="L772" i="4"/>
  <c r="O772" i="4" s="1"/>
  <c r="K771" i="4"/>
  <c r="N771" i="4" s="1"/>
  <c r="L771" i="4"/>
  <c r="O771" i="4" s="1"/>
  <c r="K770" i="4"/>
  <c r="N770" i="4" s="1"/>
  <c r="L770" i="4"/>
  <c r="O770" i="4" s="1"/>
  <c r="K769" i="4"/>
  <c r="N769" i="4" s="1"/>
  <c r="L769" i="4"/>
  <c r="O769" i="4" s="1"/>
  <c r="K768" i="4"/>
  <c r="N768" i="4" s="1"/>
  <c r="L768" i="4"/>
  <c r="O768" i="4" s="1"/>
  <c r="K767" i="4"/>
  <c r="N767" i="4" s="1"/>
  <c r="L767" i="4"/>
  <c r="O767" i="4" s="1"/>
  <c r="K766" i="4"/>
  <c r="N766" i="4" s="1"/>
  <c r="L766" i="4"/>
  <c r="O766" i="4" s="1"/>
  <c r="K765" i="4"/>
  <c r="N765" i="4" s="1"/>
  <c r="L765" i="4"/>
  <c r="O765" i="4" s="1"/>
  <c r="K764" i="4"/>
  <c r="N764" i="4" s="1"/>
  <c r="L764" i="4"/>
  <c r="O764" i="4" s="1"/>
  <c r="K763" i="4"/>
  <c r="N763" i="4" s="1"/>
  <c r="L763" i="4"/>
  <c r="O763" i="4" s="1"/>
  <c r="K762" i="4"/>
  <c r="N762" i="4" s="1"/>
  <c r="L762" i="4"/>
  <c r="O762" i="4" s="1"/>
  <c r="K761" i="4"/>
  <c r="N761" i="4" s="1"/>
  <c r="L761" i="4"/>
  <c r="O761" i="4" s="1"/>
  <c r="K760" i="4"/>
  <c r="N760" i="4" s="1"/>
  <c r="L760" i="4"/>
  <c r="O760" i="4" s="1"/>
  <c r="K759" i="4"/>
  <c r="N759" i="4" s="1"/>
  <c r="L759" i="4"/>
  <c r="O759" i="4" s="1"/>
  <c r="K758" i="4"/>
  <c r="N758" i="4" s="1"/>
  <c r="L758" i="4"/>
  <c r="O758" i="4" s="1"/>
  <c r="K757" i="4"/>
  <c r="N757" i="4" s="1"/>
  <c r="L757" i="4"/>
  <c r="O757" i="4" s="1"/>
  <c r="K756" i="4"/>
  <c r="N756" i="4" s="1"/>
  <c r="L756" i="4"/>
  <c r="O756" i="4" s="1"/>
  <c r="K755" i="4"/>
  <c r="N755" i="4" s="1"/>
  <c r="L755" i="4"/>
  <c r="O755" i="4" s="1"/>
  <c r="K754" i="4"/>
  <c r="N754" i="4" s="1"/>
  <c r="L754" i="4"/>
  <c r="O754" i="4" s="1"/>
  <c r="K753" i="4"/>
  <c r="N753" i="4" s="1"/>
  <c r="L753" i="4"/>
  <c r="O753" i="4" s="1"/>
  <c r="K752" i="4"/>
  <c r="N752" i="4" s="1"/>
  <c r="L752" i="4"/>
  <c r="O752" i="4" s="1"/>
  <c r="K751" i="4"/>
  <c r="N751" i="4" s="1"/>
  <c r="L751" i="4"/>
  <c r="O751" i="4" s="1"/>
  <c r="K750" i="4"/>
  <c r="N750" i="4" s="1"/>
  <c r="L750" i="4"/>
  <c r="O750" i="4" s="1"/>
  <c r="K749" i="4"/>
  <c r="N749" i="4" s="1"/>
  <c r="L749" i="4"/>
  <c r="O749" i="4" s="1"/>
  <c r="K748" i="4"/>
  <c r="N748" i="4" s="1"/>
  <c r="L748" i="4"/>
  <c r="O748" i="4" s="1"/>
  <c r="K747" i="4"/>
  <c r="N747" i="4" s="1"/>
  <c r="L747" i="4"/>
  <c r="O747" i="4" s="1"/>
  <c r="K746" i="4"/>
  <c r="N746" i="4" s="1"/>
  <c r="L746" i="4"/>
  <c r="O746" i="4" s="1"/>
  <c r="K745" i="4"/>
  <c r="N745" i="4" s="1"/>
  <c r="L745" i="4"/>
  <c r="O745" i="4" s="1"/>
  <c r="K744" i="4"/>
  <c r="N744" i="4" s="1"/>
  <c r="L744" i="4"/>
  <c r="O744" i="4" s="1"/>
  <c r="K743" i="4"/>
  <c r="N743" i="4" s="1"/>
  <c r="L743" i="4"/>
  <c r="O743" i="4" s="1"/>
  <c r="K742" i="4"/>
  <c r="N742" i="4" s="1"/>
  <c r="L742" i="4"/>
  <c r="O742" i="4" s="1"/>
  <c r="K741" i="4"/>
  <c r="N741" i="4" s="1"/>
  <c r="L741" i="4"/>
  <c r="O741" i="4" s="1"/>
  <c r="K740" i="4"/>
  <c r="N740" i="4" s="1"/>
  <c r="L740" i="4"/>
  <c r="O740" i="4" s="1"/>
  <c r="K739" i="4"/>
  <c r="N739" i="4" s="1"/>
  <c r="L739" i="4"/>
  <c r="O739" i="4" s="1"/>
  <c r="K738" i="4"/>
  <c r="N738" i="4" s="1"/>
  <c r="L738" i="4"/>
  <c r="O738" i="4" s="1"/>
  <c r="K737" i="4"/>
  <c r="N737" i="4" s="1"/>
  <c r="L737" i="4"/>
  <c r="O737" i="4" s="1"/>
  <c r="K736" i="4"/>
  <c r="N736" i="4" s="1"/>
  <c r="L736" i="4"/>
  <c r="O736" i="4" s="1"/>
  <c r="K735" i="4"/>
  <c r="N735" i="4" s="1"/>
  <c r="L735" i="4"/>
  <c r="O735" i="4" s="1"/>
  <c r="K734" i="4"/>
  <c r="N734" i="4" s="1"/>
  <c r="L734" i="4"/>
  <c r="O734" i="4" s="1"/>
  <c r="K733" i="4"/>
  <c r="N733" i="4" s="1"/>
  <c r="L733" i="4"/>
  <c r="O733" i="4" s="1"/>
  <c r="K732" i="4"/>
  <c r="N732" i="4" s="1"/>
  <c r="L732" i="4"/>
  <c r="O732" i="4" s="1"/>
  <c r="K731" i="4"/>
  <c r="N731" i="4" s="1"/>
  <c r="L731" i="4"/>
  <c r="O731" i="4" s="1"/>
  <c r="K730" i="4"/>
  <c r="N730" i="4" s="1"/>
  <c r="L730" i="4"/>
  <c r="O730" i="4" s="1"/>
  <c r="K729" i="4"/>
  <c r="N729" i="4" s="1"/>
  <c r="L729" i="4"/>
  <c r="O729" i="4" s="1"/>
  <c r="K728" i="4"/>
  <c r="N728" i="4" s="1"/>
  <c r="L728" i="4"/>
  <c r="O728" i="4" s="1"/>
  <c r="K727" i="4"/>
  <c r="N727" i="4" s="1"/>
  <c r="L727" i="4"/>
  <c r="O727" i="4" s="1"/>
  <c r="K726" i="4"/>
  <c r="N726" i="4" s="1"/>
  <c r="L726" i="4"/>
  <c r="O726" i="4" s="1"/>
  <c r="K725" i="4"/>
  <c r="N725" i="4" s="1"/>
  <c r="L725" i="4"/>
  <c r="O725" i="4" s="1"/>
  <c r="K724" i="4"/>
  <c r="N724" i="4" s="1"/>
  <c r="L724" i="4"/>
  <c r="O724" i="4" s="1"/>
  <c r="K723" i="4"/>
  <c r="N723" i="4" s="1"/>
  <c r="L723" i="4"/>
  <c r="O723" i="4" s="1"/>
  <c r="K722" i="4"/>
  <c r="N722" i="4" s="1"/>
  <c r="L722" i="4"/>
  <c r="O722" i="4" s="1"/>
  <c r="K721" i="4"/>
  <c r="N721" i="4" s="1"/>
  <c r="L721" i="4"/>
  <c r="O721" i="4" s="1"/>
  <c r="K720" i="4"/>
  <c r="N720" i="4" s="1"/>
  <c r="L720" i="4"/>
  <c r="O720" i="4" s="1"/>
  <c r="K719" i="4"/>
  <c r="N719" i="4" s="1"/>
  <c r="L719" i="4"/>
  <c r="O719" i="4" s="1"/>
  <c r="K718" i="4"/>
  <c r="N718" i="4" s="1"/>
  <c r="L718" i="4"/>
  <c r="O718" i="4" s="1"/>
  <c r="K717" i="4"/>
  <c r="N717" i="4" s="1"/>
  <c r="L717" i="4"/>
  <c r="O717" i="4" s="1"/>
  <c r="K716" i="4"/>
  <c r="N716" i="4" s="1"/>
  <c r="L716" i="4"/>
  <c r="O716" i="4" s="1"/>
  <c r="K715" i="4"/>
  <c r="N715" i="4" s="1"/>
  <c r="L715" i="4"/>
  <c r="O715" i="4" s="1"/>
  <c r="K714" i="4"/>
  <c r="N714" i="4" s="1"/>
  <c r="L714" i="4"/>
  <c r="O714" i="4" s="1"/>
  <c r="K713" i="4"/>
  <c r="N713" i="4" s="1"/>
  <c r="L713" i="4"/>
  <c r="O713" i="4" s="1"/>
  <c r="K712" i="4"/>
  <c r="N712" i="4" s="1"/>
  <c r="L712" i="4"/>
  <c r="O712" i="4" s="1"/>
  <c r="K711" i="4"/>
  <c r="N711" i="4" s="1"/>
  <c r="L711" i="4"/>
  <c r="O711" i="4" s="1"/>
  <c r="K710" i="4"/>
  <c r="N710" i="4" s="1"/>
  <c r="L710" i="4"/>
  <c r="O710" i="4" s="1"/>
  <c r="K709" i="4"/>
  <c r="N709" i="4" s="1"/>
  <c r="L709" i="4"/>
  <c r="O709" i="4" s="1"/>
  <c r="K708" i="4"/>
  <c r="N708" i="4" s="1"/>
  <c r="L708" i="4"/>
  <c r="O708" i="4" s="1"/>
  <c r="K707" i="4"/>
  <c r="N707" i="4" s="1"/>
  <c r="L707" i="4"/>
  <c r="O707" i="4" s="1"/>
  <c r="K706" i="4"/>
  <c r="N706" i="4" s="1"/>
  <c r="L706" i="4"/>
  <c r="O706" i="4" s="1"/>
  <c r="K705" i="4"/>
  <c r="N705" i="4" s="1"/>
  <c r="L705" i="4"/>
  <c r="O705" i="4" s="1"/>
  <c r="K704" i="4"/>
  <c r="N704" i="4" s="1"/>
  <c r="L704" i="4"/>
  <c r="O704" i="4" s="1"/>
  <c r="K703" i="4"/>
  <c r="N703" i="4" s="1"/>
  <c r="L703" i="4"/>
  <c r="O703" i="4" s="1"/>
  <c r="K702" i="4"/>
  <c r="N702" i="4" s="1"/>
  <c r="L702" i="4"/>
  <c r="O702" i="4" s="1"/>
  <c r="K701" i="4"/>
  <c r="N701" i="4" s="1"/>
  <c r="L701" i="4"/>
  <c r="O701" i="4" s="1"/>
  <c r="K700" i="4"/>
  <c r="N700" i="4" s="1"/>
  <c r="L700" i="4"/>
  <c r="O700" i="4" s="1"/>
  <c r="K699" i="4"/>
  <c r="N699" i="4" s="1"/>
  <c r="L699" i="4"/>
  <c r="O699" i="4" s="1"/>
  <c r="K698" i="4"/>
  <c r="N698" i="4" s="1"/>
  <c r="L698" i="4"/>
  <c r="O698" i="4" s="1"/>
  <c r="K697" i="4"/>
  <c r="N697" i="4" s="1"/>
  <c r="L697" i="4"/>
  <c r="O697" i="4" s="1"/>
  <c r="K696" i="4"/>
  <c r="N696" i="4" s="1"/>
  <c r="L696" i="4"/>
  <c r="O696" i="4" s="1"/>
  <c r="K695" i="4"/>
  <c r="N695" i="4" s="1"/>
  <c r="L695" i="4"/>
  <c r="O695" i="4" s="1"/>
  <c r="K694" i="4"/>
  <c r="N694" i="4" s="1"/>
  <c r="L694" i="4"/>
  <c r="O694" i="4" s="1"/>
  <c r="K693" i="4"/>
  <c r="N693" i="4" s="1"/>
  <c r="L693" i="4"/>
  <c r="O693" i="4" s="1"/>
  <c r="K692" i="4"/>
  <c r="N692" i="4" s="1"/>
  <c r="L692" i="4"/>
  <c r="O692" i="4" s="1"/>
  <c r="K691" i="4"/>
  <c r="N691" i="4" s="1"/>
  <c r="L691" i="4"/>
  <c r="O691" i="4" s="1"/>
  <c r="K690" i="4"/>
  <c r="N690" i="4" s="1"/>
  <c r="L690" i="4"/>
  <c r="O690" i="4" s="1"/>
  <c r="K689" i="4"/>
  <c r="N689" i="4" s="1"/>
  <c r="L689" i="4"/>
  <c r="O689" i="4" s="1"/>
  <c r="K688" i="4"/>
  <c r="N688" i="4" s="1"/>
  <c r="L688" i="4"/>
  <c r="O688" i="4" s="1"/>
  <c r="K687" i="4"/>
  <c r="N687" i="4" s="1"/>
  <c r="L687" i="4"/>
  <c r="O687" i="4" s="1"/>
  <c r="K686" i="4"/>
  <c r="N686" i="4" s="1"/>
  <c r="L686" i="4"/>
  <c r="O686" i="4" s="1"/>
  <c r="K685" i="4"/>
  <c r="N685" i="4" s="1"/>
  <c r="L685" i="4"/>
  <c r="O685" i="4" s="1"/>
  <c r="K684" i="4"/>
  <c r="N684" i="4" s="1"/>
  <c r="L684" i="4"/>
  <c r="O684" i="4" s="1"/>
  <c r="K683" i="4"/>
  <c r="N683" i="4" s="1"/>
  <c r="L683" i="4"/>
  <c r="O683" i="4" s="1"/>
  <c r="K682" i="4"/>
  <c r="N682" i="4" s="1"/>
  <c r="L682" i="4"/>
  <c r="O682" i="4" s="1"/>
  <c r="K681" i="4"/>
  <c r="N681" i="4" s="1"/>
  <c r="L681" i="4"/>
  <c r="O681" i="4" s="1"/>
  <c r="K680" i="4"/>
  <c r="N680" i="4" s="1"/>
  <c r="L680" i="4"/>
  <c r="O680" i="4" s="1"/>
  <c r="K679" i="4"/>
  <c r="N679" i="4" s="1"/>
  <c r="L679" i="4"/>
  <c r="O679" i="4" s="1"/>
  <c r="K678" i="4"/>
  <c r="N678" i="4" s="1"/>
  <c r="L678" i="4"/>
  <c r="O678" i="4" s="1"/>
  <c r="K677" i="4"/>
  <c r="N677" i="4" s="1"/>
  <c r="L677" i="4"/>
  <c r="O677" i="4" s="1"/>
  <c r="K676" i="4"/>
  <c r="N676" i="4" s="1"/>
  <c r="L676" i="4"/>
  <c r="O676" i="4" s="1"/>
  <c r="K675" i="4"/>
  <c r="N675" i="4" s="1"/>
  <c r="L675" i="4"/>
  <c r="O675" i="4" s="1"/>
  <c r="K674" i="4"/>
  <c r="N674" i="4" s="1"/>
  <c r="L674" i="4"/>
  <c r="O674" i="4" s="1"/>
  <c r="K673" i="4"/>
  <c r="N673" i="4" s="1"/>
  <c r="L673" i="4"/>
  <c r="O673" i="4" s="1"/>
  <c r="K672" i="4"/>
  <c r="N672" i="4" s="1"/>
  <c r="L672" i="4"/>
  <c r="O672" i="4" s="1"/>
  <c r="K671" i="4"/>
  <c r="N671" i="4" s="1"/>
  <c r="L671" i="4"/>
  <c r="O671" i="4" s="1"/>
  <c r="K670" i="4"/>
  <c r="N670" i="4" s="1"/>
  <c r="L670" i="4"/>
  <c r="O670" i="4" s="1"/>
  <c r="K669" i="4"/>
  <c r="N669" i="4" s="1"/>
  <c r="L669" i="4"/>
  <c r="O669" i="4" s="1"/>
  <c r="K668" i="4"/>
  <c r="N668" i="4" s="1"/>
  <c r="L668" i="4"/>
  <c r="O668" i="4" s="1"/>
  <c r="K667" i="4"/>
  <c r="N667" i="4" s="1"/>
  <c r="L667" i="4"/>
  <c r="O667" i="4" s="1"/>
  <c r="K666" i="4"/>
  <c r="N666" i="4" s="1"/>
  <c r="L666" i="4"/>
  <c r="O666" i="4" s="1"/>
  <c r="K665" i="4"/>
  <c r="N665" i="4" s="1"/>
  <c r="L665" i="4"/>
  <c r="O665" i="4" s="1"/>
  <c r="K664" i="4"/>
  <c r="N664" i="4" s="1"/>
  <c r="L664" i="4"/>
  <c r="O664" i="4" s="1"/>
  <c r="K663" i="4"/>
  <c r="N663" i="4" s="1"/>
  <c r="L663" i="4"/>
  <c r="O663" i="4" s="1"/>
  <c r="K662" i="4"/>
  <c r="N662" i="4" s="1"/>
  <c r="L662" i="4"/>
  <c r="O662" i="4" s="1"/>
  <c r="K661" i="4"/>
  <c r="N661" i="4" s="1"/>
  <c r="L661" i="4"/>
  <c r="O661" i="4" s="1"/>
  <c r="K660" i="4"/>
  <c r="N660" i="4" s="1"/>
  <c r="L660" i="4"/>
  <c r="O660" i="4" s="1"/>
  <c r="K659" i="4"/>
  <c r="N659" i="4" s="1"/>
  <c r="L659" i="4"/>
  <c r="O659" i="4" s="1"/>
  <c r="K658" i="4"/>
  <c r="N658" i="4" s="1"/>
  <c r="L658" i="4"/>
  <c r="O658" i="4" s="1"/>
  <c r="K657" i="4"/>
  <c r="N657" i="4" s="1"/>
  <c r="L657" i="4"/>
  <c r="O657" i="4" s="1"/>
  <c r="K656" i="4"/>
  <c r="N656" i="4" s="1"/>
  <c r="L656" i="4"/>
  <c r="O656" i="4" s="1"/>
  <c r="K655" i="4"/>
  <c r="N655" i="4" s="1"/>
  <c r="L655" i="4"/>
  <c r="O655" i="4" s="1"/>
  <c r="K654" i="4"/>
  <c r="N654" i="4" s="1"/>
  <c r="L654" i="4"/>
  <c r="O654" i="4" s="1"/>
  <c r="K653" i="4"/>
  <c r="N653" i="4" s="1"/>
  <c r="L653" i="4"/>
  <c r="O653" i="4" s="1"/>
  <c r="K652" i="4"/>
  <c r="N652" i="4" s="1"/>
  <c r="L652" i="4"/>
  <c r="O652" i="4" s="1"/>
  <c r="K651" i="4"/>
  <c r="N651" i="4" s="1"/>
  <c r="L651" i="4"/>
  <c r="O651" i="4" s="1"/>
  <c r="K650" i="4"/>
  <c r="N650" i="4" s="1"/>
  <c r="L650" i="4"/>
  <c r="O650" i="4" s="1"/>
  <c r="K649" i="4"/>
  <c r="N649" i="4" s="1"/>
  <c r="L649" i="4"/>
  <c r="O649" i="4" s="1"/>
  <c r="K648" i="4"/>
  <c r="N648" i="4" s="1"/>
  <c r="L648" i="4"/>
  <c r="O648" i="4" s="1"/>
  <c r="K647" i="4"/>
  <c r="N647" i="4" s="1"/>
  <c r="L647" i="4"/>
  <c r="O647" i="4" s="1"/>
  <c r="K646" i="4"/>
  <c r="N646" i="4" s="1"/>
  <c r="L646" i="4"/>
  <c r="O646" i="4" s="1"/>
  <c r="K645" i="4"/>
  <c r="N645" i="4" s="1"/>
  <c r="L645" i="4"/>
  <c r="O645" i="4" s="1"/>
  <c r="K644" i="4"/>
  <c r="N644" i="4" s="1"/>
  <c r="L644" i="4"/>
  <c r="O644" i="4" s="1"/>
  <c r="K643" i="4"/>
  <c r="N643" i="4" s="1"/>
  <c r="L643" i="4"/>
  <c r="O643" i="4" s="1"/>
  <c r="K642" i="4"/>
  <c r="N642" i="4" s="1"/>
  <c r="L642" i="4"/>
  <c r="O642" i="4" s="1"/>
  <c r="K641" i="4"/>
  <c r="N641" i="4" s="1"/>
  <c r="L641" i="4"/>
  <c r="O641" i="4" s="1"/>
  <c r="K640" i="4"/>
  <c r="N640" i="4" s="1"/>
  <c r="L640" i="4"/>
  <c r="O640" i="4" s="1"/>
  <c r="K639" i="4"/>
  <c r="N639" i="4" s="1"/>
  <c r="L639" i="4"/>
  <c r="O639" i="4" s="1"/>
  <c r="K638" i="4"/>
  <c r="N638" i="4" s="1"/>
  <c r="L638" i="4"/>
  <c r="O638" i="4" s="1"/>
  <c r="K637" i="4"/>
  <c r="N637" i="4" s="1"/>
  <c r="L637" i="4"/>
  <c r="O637" i="4" s="1"/>
  <c r="K636" i="4"/>
  <c r="N636" i="4" s="1"/>
  <c r="L636" i="4"/>
  <c r="O636" i="4" s="1"/>
  <c r="K635" i="4"/>
  <c r="N635" i="4" s="1"/>
  <c r="L635" i="4"/>
  <c r="O635" i="4" s="1"/>
  <c r="K634" i="4"/>
  <c r="N634" i="4" s="1"/>
  <c r="L634" i="4"/>
  <c r="O634" i="4" s="1"/>
  <c r="K633" i="4"/>
  <c r="N633" i="4" s="1"/>
  <c r="L633" i="4"/>
  <c r="O633" i="4" s="1"/>
  <c r="K632" i="4"/>
  <c r="N632" i="4" s="1"/>
  <c r="L632" i="4"/>
  <c r="O632" i="4" s="1"/>
  <c r="K631" i="4"/>
  <c r="N631" i="4" s="1"/>
  <c r="L631" i="4"/>
  <c r="O631" i="4" s="1"/>
  <c r="K630" i="4"/>
  <c r="N630" i="4" s="1"/>
  <c r="L630" i="4"/>
  <c r="O630" i="4" s="1"/>
  <c r="K629" i="4"/>
  <c r="N629" i="4" s="1"/>
  <c r="L629" i="4"/>
  <c r="O629" i="4" s="1"/>
  <c r="K628" i="4"/>
  <c r="N628" i="4" s="1"/>
  <c r="L628" i="4"/>
  <c r="O628" i="4" s="1"/>
  <c r="K627" i="4"/>
  <c r="N627" i="4" s="1"/>
  <c r="L627" i="4"/>
  <c r="O627" i="4" s="1"/>
  <c r="K626" i="4"/>
  <c r="N626" i="4" s="1"/>
  <c r="L626" i="4"/>
  <c r="O626" i="4" s="1"/>
  <c r="K625" i="4"/>
  <c r="N625" i="4" s="1"/>
  <c r="L625" i="4"/>
  <c r="O625" i="4" s="1"/>
  <c r="K624" i="4"/>
  <c r="N624" i="4" s="1"/>
  <c r="L624" i="4"/>
  <c r="O624" i="4" s="1"/>
  <c r="K623" i="4"/>
  <c r="N623" i="4" s="1"/>
  <c r="L623" i="4"/>
  <c r="O623" i="4" s="1"/>
  <c r="K622" i="4"/>
  <c r="N622" i="4" s="1"/>
  <c r="L622" i="4"/>
  <c r="O622" i="4" s="1"/>
  <c r="K621" i="4"/>
  <c r="N621" i="4" s="1"/>
  <c r="L621" i="4"/>
  <c r="O621" i="4" s="1"/>
  <c r="K620" i="4"/>
  <c r="N620" i="4" s="1"/>
  <c r="L620" i="4"/>
  <c r="O620" i="4" s="1"/>
  <c r="K619" i="4"/>
  <c r="N619" i="4" s="1"/>
  <c r="L619" i="4"/>
  <c r="O619" i="4" s="1"/>
  <c r="K618" i="4"/>
  <c r="N618" i="4" s="1"/>
  <c r="L618" i="4"/>
  <c r="O618" i="4" s="1"/>
  <c r="K617" i="4"/>
  <c r="N617" i="4" s="1"/>
  <c r="L617" i="4"/>
  <c r="O617" i="4" s="1"/>
  <c r="K616" i="4"/>
  <c r="N616" i="4" s="1"/>
  <c r="L616" i="4"/>
  <c r="O616" i="4" s="1"/>
  <c r="K615" i="4"/>
  <c r="N615" i="4" s="1"/>
  <c r="L615" i="4"/>
  <c r="O615" i="4" s="1"/>
  <c r="K614" i="4"/>
  <c r="N614" i="4" s="1"/>
  <c r="L614" i="4"/>
  <c r="O614" i="4" s="1"/>
  <c r="K613" i="4"/>
  <c r="N613" i="4" s="1"/>
  <c r="L613" i="4"/>
  <c r="O613" i="4" s="1"/>
  <c r="K612" i="4"/>
  <c r="N612" i="4" s="1"/>
  <c r="L612" i="4"/>
  <c r="O612" i="4" s="1"/>
  <c r="K611" i="4"/>
  <c r="N611" i="4" s="1"/>
  <c r="L611" i="4"/>
  <c r="O611" i="4" s="1"/>
  <c r="K610" i="4"/>
  <c r="N610" i="4" s="1"/>
  <c r="L610" i="4"/>
  <c r="O610" i="4" s="1"/>
  <c r="K609" i="4"/>
  <c r="N609" i="4" s="1"/>
  <c r="L609" i="4"/>
  <c r="O609" i="4" s="1"/>
  <c r="K608" i="4"/>
  <c r="N608" i="4" s="1"/>
  <c r="L608" i="4"/>
  <c r="O608" i="4" s="1"/>
  <c r="K607" i="4"/>
  <c r="N607" i="4" s="1"/>
  <c r="L607" i="4"/>
  <c r="O607" i="4" s="1"/>
  <c r="K606" i="4"/>
  <c r="N606" i="4" s="1"/>
  <c r="L606" i="4"/>
  <c r="O606" i="4" s="1"/>
  <c r="K605" i="4"/>
  <c r="N605" i="4" s="1"/>
  <c r="L605" i="4"/>
  <c r="O605" i="4" s="1"/>
  <c r="K604" i="4"/>
  <c r="N604" i="4" s="1"/>
  <c r="L604" i="4"/>
  <c r="O604" i="4" s="1"/>
  <c r="K603" i="4"/>
  <c r="N603" i="4" s="1"/>
  <c r="L603" i="4"/>
  <c r="O603" i="4" s="1"/>
  <c r="K602" i="4"/>
  <c r="N602" i="4" s="1"/>
  <c r="L602" i="4"/>
  <c r="O602" i="4" s="1"/>
  <c r="K601" i="4"/>
  <c r="N601" i="4" s="1"/>
  <c r="L601" i="4"/>
  <c r="O601" i="4" s="1"/>
  <c r="K600" i="4"/>
  <c r="N600" i="4" s="1"/>
  <c r="L600" i="4"/>
  <c r="O600" i="4" s="1"/>
  <c r="K599" i="4"/>
  <c r="N599" i="4" s="1"/>
  <c r="L599" i="4"/>
  <c r="O599" i="4" s="1"/>
  <c r="K598" i="4"/>
  <c r="N598" i="4" s="1"/>
  <c r="L598" i="4"/>
  <c r="O598" i="4" s="1"/>
  <c r="K597" i="4"/>
  <c r="N597" i="4" s="1"/>
  <c r="L597" i="4"/>
  <c r="O597" i="4" s="1"/>
  <c r="K596" i="4"/>
  <c r="N596" i="4" s="1"/>
  <c r="L596" i="4"/>
  <c r="O596" i="4" s="1"/>
  <c r="K595" i="4"/>
  <c r="N595" i="4" s="1"/>
  <c r="L595" i="4"/>
  <c r="O595" i="4" s="1"/>
  <c r="K594" i="4"/>
  <c r="N594" i="4" s="1"/>
  <c r="L594" i="4"/>
  <c r="O594" i="4" s="1"/>
  <c r="K593" i="4"/>
  <c r="N593" i="4" s="1"/>
  <c r="L593" i="4"/>
  <c r="O593" i="4" s="1"/>
  <c r="K592" i="4"/>
  <c r="N592" i="4" s="1"/>
  <c r="L592" i="4"/>
  <c r="O592" i="4" s="1"/>
  <c r="K591" i="4"/>
  <c r="N591" i="4" s="1"/>
  <c r="L591" i="4"/>
  <c r="O591" i="4" s="1"/>
  <c r="K590" i="4"/>
  <c r="N590" i="4" s="1"/>
  <c r="L590" i="4"/>
  <c r="O590" i="4" s="1"/>
  <c r="K589" i="4"/>
  <c r="N589" i="4" s="1"/>
  <c r="L589" i="4"/>
  <c r="O589" i="4" s="1"/>
  <c r="K588" i="4"/>
  <c r="N588" i="4" s="1"/>
  <c r="L588" i="4"/>
  <c r="O588" i="4" s="1"/>
  <c r="K587" i="4"/>
  <c r="N587" i="4" s="1"/>
  <c r="L587" i="4"/>
  <c r="O587" i="4" s="1"/>
  <c r="K586" i="4"/>
  <c r="N586" i="4" s="1"/>
  <c r="L586" i="4"/>
  <c r="O586" i="4" s="1"/>
  <c r="K585" i="4"/>
  <c r="N585" i="4" s="1"/>
  <c r="L585" i="4"/>
  <c r="O585" i="4" s="1"/>
  <c r="K584" i="4"/>
  <c r="N584" i="4" s="1"/>
  <c r="L584" i="4"/>
  <c r="O584" i="4" s="1"/>
  <c r="K583" i="4"/>
  <c r="N583" i="4" s="1"/>
  <c r="L583" i="4"/>
  <c r="O583" i="4" s="1"/>
  <c r="K582" i="4"/>
  <c r="N582" i="4" s="1"/>
  <c r="L582" i="4"/>
  <c r="O582" i="4" s="1"/>
  <c r="K581" i="4"/>
  <c r="N581" i="4" s="1"/>
  <c r="L581" i="4"/>
  <c r="O581" i="4" s="1"/>
  <c r="K580" i="4"/>
  <c r="N580" i="4" s="1"/>
  <c r="L580" i="4"/>
  <c r="O580" i="4" s="1"/>
  <c r="K579" i="4"/>
  <c r="N579" i="4" s="1"/>
  <c r="L579" i="4"/>
  <c r="O579" i="4" s="1"/>
  <c r="K578" i="4"/>
  <c r="N578" i="4" s="1"/>
  <c r="L578" i="4"/>
  <c r="O578" i="4" s="1"/>
  <c r="K577" i="4"/>
  <c r="N577" i="4" s="1"/>
  <c r="L577" i="4"/>
  <c r="O577" i="4" s="1"/>
  <c r="K576" i="4"/>
  <c r="N576" i="4" s="1"/>
  <c r="L576" i="4"/>
  <c r="O576" i="4" s="1"/>
  <c r="K575" i="4"/>
  <c r="N575" i="4" s="1"/>
  <c r="L575" i="4"/>
  <c r="O575" i="4" s="1"/>
  <c r="K574" i="4"/>
  <c r="N574" i="4" s="1"/>
  <c r="L574" i="4"/>
  <c r="O574" i="4" s="1"/>
  <c r="K573" i="4"/>
  <c r="N573" i="4" s="1"/>
  <c r="L573" i="4"/>
  <c r="O573" i="4" s="1"/>
  <c r="K572" i="4"/>
  <c r="N572" i="4" s="1"/>
  <c r="L572" i="4"/>
  <c r="O572" i="4" s="1"/>
  <c r="K571" i="4"/>
  <c r="N571" i="4" s="1"/>
  <c r="L571" i="4"/>
  <c r="O571" i="4" s="1"/>
  <c r="K570" i="4"/>
  <c r="N570" i="4" s="1"/>
  <c r="L570" i="4"/>
  <c r="O570" i="4" s="1"/>
  <c r="K569" i="4"/>
  <c r="N569" i="4" s="1"/>
  <c r="L569" i="4"/>
  <c r="O569" i="4" s="1"/>
  <c r="K568" i="4"/>
  <c r="N568" i="4" s="1"/>
  <c r="L568" i="4"/>
  <c r="O568" i="4" s="1"/>
  <c r="K567" i="4"/>
  <c r="N567" i="4" s="1"/>
  <c r="L567" i="4"/>
  <c r="O567" i="4" s="1"/>
  <c r="K566" i="4"/>
  <c r="N566" i="4" s="1"/>
  <c r="L566" i="4"/>
  <c r="O566" i="4" s="1"/>
  <c r="K565" i="4"/>
  <c r="N565" i="4" s="1"/>
  <c r="L565" i="4"/>
  <c r="O565" i="4" s="1"/>
  <c r="K564" i="4"/>
  <c r="N564" i="4" s="1"/>
  <c r="L564" i="4"/>
  <c r="O564" i="4" s="1"/>
  <c r="K563" i="4"/>
  <c r="N563" i="4" s="1"/>
  <c r="L563" i="4"/>
  <c r="O563" i="4" s="1"/>
  <c r="K562" i="4"/>
  <c r="N562" i="4" s="1"/>
  <c r="L562" i="4"/>
  <c r="O562" i="4" s="1"/>
  <c r="K561" i="4"/>
  <c r="N561" i="4" s="1"/>
  <c r="L561" i="4"/>
  <c r="O561" i="4" s="1"/>
  <c r="K560" i="4"/>
  <c r="N560" i="4" s="1"/>
  <c r="L560" i="4"/>
  <c r="O560" i="4" s="1"/>
  <c r="K559" i="4"/>
  <c r="N559" i="4" s="1"/>
  <c r="L559" i="4"/>
  <c r="O559" i="4" s="1"/>
  <c r="K558" i="4"/>
  <c r="N558" i="4" s="1"/>
  <c r="L558" i="4"/>
  <c r="O558" i="4" s="1"/>
  <c r="K557" i="4"/>
  <c r="N557" i="4" s="1"/>
  <c r="L557" i="4"/>
  <c r="O557" i="4" s="1"/>
  <c r="K556" i="4"/>
  <c r="N556" i="4" s="1"/>
  <c r="L556" i="4"/>
  <c r="O556" i="4" s="1"/>
  <c r="K555" i="4"/>
  <c r="N555" i="4" s="1"/>
  <c r="L555" i="4"/>
  <c r="O555" i="4" s="1"/>
  <c r="K554" i="4"/>
  <c r="N554" i="4" s="1"/>
  <c r="L554" i="4"/>
  <c r="O554" i="4" s="1"/>
  <c r="K553" i="4"/>
  <c r="N553" i="4" s="1"/>
  <c r="L553" i="4"/>
  <c r="O553" i="4" s="1"/>
  <c r="K552" i="4"/>
  <c r="N552" i="4" s="1"/>
  <c r="L552" i="4"/>
  <c r="O552" i="4" s="1"/>
  <c r="K551" i="4"/>
  <c r="N551" i="4" s="1"/>
  <c r="L551" i="4"/>
  <c r="O551" i="4" s="1"/>
  <c r="K550" i="4"/>
  <c r="N550" i="4" s="1"/>
  <c r="L550" i="4"/>
  <c r="O550" i="4" s="1"/>
  <c r="K549" i="4"/>
  <c r="N549" i="4" s="1"/>
  <c r="L549" i="4"/>
  <c r="O549" i="4" s="1"/>
  <c r="K548" i="4"/>
  <c r="N548" i="4" s="1"/>
  <c r="L548" i="4"/>
  <c r="O548" i="4" s="1"/>
  <c r="K547" i="4"/>
  <c r="N547" i="4" s="1"/>
  <c r="L547" i="4"/>
  <c r="O547" i="4" s="1"/>
  <c r="K546" i="4"/>
  <c r="N546" i="4" s="1"/>
  <c r="L546" i="4"/>
  <c r="O546" i="4" s="1"/>
  <c r="K545" i="4"/>
  <c r="N545" i="4" s="1"/>
  <c r="L545" i="4"/>
  <c r="O545" i="4" s="1"/>
  <c r="K544" i="4"/>
  <c r="N544" i="4" s="1"/>
  <c r="L544" i="4"/>
  <c r="O544" i="4" s="1"/>
  <c r="K543" i="4"/>
  <c r="N543" i="4" s="1"/>
  <c r="L543" i="4"/>
  <c r="O543" i="4" s="1"/>
  <c r="K542" i="4"/>
  <c r="N542" i="4" s="1"/>
  <c r="L542" i="4"/>
  <c r="O542" i="4" s="1"/>
  <c r="K541" i="4"/>
  <c r="N541" i="4" s="1"/>
  <c r="L541" i="4"/>
  <c r="O541" i="4" s="1"/>
  <c r="K540" i="4"/>
  <c r="N540" i="4" s="1"/>
  <c r="L540" i="4"/>
  <c r="O540" i="4" s="1"/>
  <c r="K539" i="4"/>
  <c r="N539" i="4" s="1"/>
  <c r="L539" i="4"/>
  <c r="O539" i="4" s="1"/>
  <c r="K538" i="4"/>
  <c r="N538" i="4" s="1"/>
  <c r="L538" i="4"/>
  <c r="O538" i="4" s="1"/>
  <c r="K537" i="4"/>
  <c r="N537" i="4" s="1"/>
  <c r="L537" i="4"/>
  <c r="O537" i="4" s="1"/>
  <c r="K536" i="4"/>
  <c r="N536" i="4" s="1"/>
  <c r="L536" i="4"/>
  <c r="O536" i="4" s="1"/>
  <c r="K535" i="4"/>
  <c r="N535" i="4" s="1"/>
  <c r="L535" i="4"/>
  <c r="O535" i="4" s="1"/>
  <c r="K534" i="4"/>
  <c r="N534" i="4" s="1"/>
  <c r="L534" i="4"/>
  <c r="O534" i="4" s="1"/>
  <c r="K533" i="4"/>
  <c r="N533" i="4" s="1"/>
  <c r="L533" i="4"/>
  <c r="O533" i="4" s="1"/>
  <c r="K532" i="4"/>
  <c r="N532" i="4" s="1"/>
  <c r="L532" i="4"/>
  <c r="O532" i="4" s="1"/>
  <c r="K531" i="4"/>
  <c r="N531" i="4" s="1"/>
  <c r="L531" i="4"/>
  <c r="O531" i="4" s="1"/>
  <c r="K530" i="4"/>
  <c r="N530" i="4" s="1"/>
  <c r="L530" i="4"/>
  <c r="O530" i="4" s="1"/>
  <c r="K529" i="4"/>
  <c r="N529" i="4" s="1"/>
  <c r="L529" i="4"/>
  <c r="O529" i="4" s="1"/>
  <c r="K528" i="4"/>
  <c r="N528" i="4" s="1"/>
  <c r="L528" i="4"/>
  <c r="O528" i="4" s="1"/>
  <c r="K527" i="4"/>
  <c r="N527" i="4" s="1"/>
  <c r="L527" i="4"/>
  <c r="O527" i="4" s="1"/>
  <c r="K526" i="4"/>
  <c r="N526" i="4" s="1"/>
  <c r="L526" i="4"/>
  <c r="O526" i="4" s="1"/>
  <c r="K525" i="4"/>
  <c r="N525" i="4" s="1"/>
  <c r="L525" i="4"/>
  <c r="O525" i="4" s="1"/>
  <c r="K524" i="4"/>
  <c r="N524" i="4" s="1"/>
  <c r="L524" i="4"/>
  <c r="O524" i="4" s="1"/>
  <c r="K523" i="4"/>
  <c r="N523" i="4" s="1"/>
  <c r="L523" i="4"/>
  <c r="O523" i="4" s="1"/>
  <c r="K522" i="4"/>
  <c r="N522" i="4" s="1"/>
  <c r="L522" i="4"/>
  <c r="O522" i="4" s="1"/>
  <c r="K521" i="4"/>
  <c r="N521" i="4" s="1"/>
  <c r="L521" i="4"/>
  <c r="O521" i="4" s="1"/>
  <c r="K520" i="4"/>
  <c r="N520" i="4" s="1"/>
  <c r="L520" i="4"/>
  <c r="O520" i="4" s="1"/>
  <c r="K519" i="4"/>
  <c r="N519" i="4" s="1"/>
  <c r="L519" i="4"/>
  <c r="O519" i="4" s="1"/>
  <c r="K518" i="4"/>
  <c r="N518" i="4" s="1"/>
  <c r="L518" i="4"/>
  <c r="O518" i="4" s="1"/>
  <c r="K517" i="4"/>
  <c r="N517" i="4" s="1"/>
  <c r="L517" i="4"/>
  <c r="O517" i="4" s="1"/>
  <c r="K516" i="4"/>
  <c r="N516" i="4" s="1"/>
  <c r="L516" i="4"/>
  <c r="O516" i="4" s="1"/>
  <c r="K515" i="4"/>
  <c r="N515" i="4" s="1"/>
  <c r="L515" i="4"/>
  <c r="O515" i="4" s="1"/>
  <c r="K514" i="4"/>
  <c r="N514" i="4" s="1"/>
  <c r="L514" i="4"/>
  <c r="O514" i="4" s="1"/>
  <c r="K513" i="4"/>
  <c r="N513" i="4" s="1"/>
  <c r="L513" i="4"/>
  <c r="O513" i="4" s="1"/>
  <c r="K512" i="4"/>
  <c r="N512" i="4" s="1"/>
  <c r="L512" i="4"/>
  <c r="O512" i="4" s="1"/>
  <c r="K511" i="4"/>
  <c r="N511" i="4" s="1"/>
  <c r="L511" i="4"/>
  <c r="O511" i="4" s="1"/>
  <c r="K510" i="4"/>
  <c r="N510" i="4" s="1"/>
  <c r="L510" i="4"/>
  <c r="O510" i="4" s="1"/>
  <c r="K509" i="4"/>
  <c r="N509" i="4" s="1"/>
  <c r="L509" i="4"/>
  <c r="O509" i="4" s="1"/>
  <c r="K508" i="4"/>
  <c r="N508" i="4" s="1"/>
  <c r="L508" i="4"/>
  <c r="O508" i="4" s="1"/>
  <c r="K507" i="4"/>
  <c r="N507" i="4" s="1"/>
  <c r="L507" i="4"/>
  <c r="O507" i="4" s="1"/>
  <c r="K506" i="4"/>
  <c r="N506" i="4" s="1"/>
  <c r="L506" i="4"/>
  <c r="O506" i="4" s="1"/>
  <c r="K505" i="4"/>
  <c r="N505" i="4" s="1"/>
  <c r="L505" i="4"/>
  <c r="O505" i="4" s="1"/>
  <c r="K504" i="4"/>
  <c r="N504" i="4" s="1"/>
  <c r="L504" i="4"/>
  <c r="O504" i="4" s="1"/>
  <c r="K503" i="4"/>
  <c r="N503" i="4" s="1"/>
  <c r="L503" i="4"/>
  <c r="O503" i="4" s="1"/>
  <c r="K502" i="4"/>
  <c r="N502" i="4" s="1"/>
  <c r="L502" i="4"/>
  <c r="O502" i="4" s="1"/>
  <c r="K501" i="4"/>
  <c r="N501" i="4" s="1"/>
  <c r="L501" i="4"/>
  <c r="O501" i="4" s="1"/>
  <c r="K500" i="4"/>
  <c r="N500" i="4" s="1"/>
  <c r="L500" i="4"/>
  <c r="O500" i="4" s="1"/>
  <c r="K499" i="4"/>
  <c r="N499" i="4" s="1"/>
  <c r="L499" i="4"/>
  <c r="O499" i="4" s="1"/>
  <c r="K498" i="4"/>
  <c r="N498" i="4" s="1"/>
  <c r="L498" i="4"/>
  <c r="O498" i="4" s="1"/>
  <c r="K497" i="4"/>
  <c r="N497" i="4" s="1"/>
  <c r="L497" i="4"/>
  <c r="O497" i="4" s="1"/>
  <c r="K496" i="4"/>
  <c r="N496" i="4" s="1"/>
  <c r="L496" i="4"/>
  <c r="O496" i="4" s="1"/>
  <c r="K495" i="4"/>
  <c r="N495" i="4" s="1"/>
  <c r="L495" i="4"/>
  <c r="O495" i="4" s="1"/>
  <c r="K494" i="4"/>
  <c r="N494" i="4" s="1"/>
  <c r="L494" i="4"/>
  <c r="O494" i="4" s="1"/>
  <c r="K493" i="4"/>
  <c r="N493" i="4" s="1"/>
  <c r="L493" i="4"/>
  <c r="O493" i="4" s="1"/>
  <c r="K492" i="4"/>
  <c r="N492" i="4" s="1"/>
  <c r="L492" i="4"/>
  <c r="O492" i="4" s="1"/>
  <c r="K491" i="4"/>
  <c r="N491" i="4" s="1"/>
  <c r="L491" i="4"/>
  <c r="O491" i="4" s="1"/>
  <c r="K490" i="4"/>
  <c r="N490" i="4" s="1"/>
  <c r="L490" i="4"/>
  <c r="O490" i="4" s="1"/>
  <c r="K489" i="4"/>
  <c r="N489" i="4" s="1"/>
  <c r="L489" i="4"/>
  <c r="O489" i="4" s="1"/>
  <c r="K488" i="4"/>
  <c r="N488" i="4" s="1"/>
  <c r="L488" i="4"/>
  <c r="O488" i="4" s="1"/>
  <c r="K487" i="4"/>
  <c r="N487" i="4" s="1"/>
  <c r="L487" i="4"/>
  <c r="O487" i="4" s="1"/>
  <c r="K486" i="4"/>
  <c r="N486" i="4" s="1"/>
  <c r="L486" i="4"/>
  <c r="O486" i="4" s="1"/>
  <c r="K485" i="4"/>
  <c r="N485" i="4" s="1"/>
  <c r="L485" i="4"/>
  <c r="O485" i="4" s="1"/>
  <c r="K484" i="4"/>
  <c r="N484" i="4" s="1"/>
  <c r="L484" i="4"/>
  <c r="O484" i="4" s="1"/>
  <c r="K483" i="4"/>
  <c r="N483" i="4" s="1"/>
  <c r="L483" i="4"/>
  <c r="O483" i="4" s="1"/>
  <c r="K482" i="4"/>
  <c r="N482" i="4" s="1"/>
  <c r="L482" i="4"/>
  <c r="O482" i="4" s="1"/>
  <c r="K481" i="4"/>
  <c r="N481" i="4" s="1"/>
  <c r="L481" i="4"/>
  <c r="O481" i="4" s="1"/>
  <c r="K480" i="4"/>
  <c r="N480" i="4" s="1"/>
  <c r="L480" i="4"/>
  <c r="O480" i="4" s="1"/>
  <c r="K479" i="4"/>
  <c r="N479" i="4" s="1"/>
  <c r="L479" i="4"/>
  <c r="O479" i="4" s="1"/>
  <c r="K478" i="4"/>
  <c r="N478" i="4" s="1"/>
  <c r="L478" i="4"/>
  <c r="O478" i="4" s="1"/>
  <c r="K477" i="4"/>
  <c r="N477" i="4" s="1"/>
  <c r="L477" i="4"/>
  <c r="O477" i="4" s="1"/>
  <c r="K476" i="4"/>
  <c r="N476" i="4" s="1"/>
  <c r="L476" i="4"/>
  <c r="O476" i="4" s="1"/>
  <c r="K475" i="4"/>
  <c r="N475" i="4" s="1"/>
  <c r="L475" i="4"/>
  <c r="O475" i="4" s="1"/>
  <c r="K474" i="4"/>
  <c r="N474" i="4" s="1"/>
  <c r="L474" i="4"/>
  <c r="O474" i="4" s="1"/>
  <c r="K473" i="4"/>
  <c r="N473" i="4" s="1"/>
  <c r="L473" i="4"/>
  <c r="O473" i="4" s="1"/>
  <c r="K472" i="4"/>
  <c r="N472" i="4" s="1"/>
  <c r="L472" i="4"/>
  <c r="O472" i="4" s="1"/>
  <c r="K471" i="4"/>
  <c r="N471" i="4" s="1"/>
  <c r="L471" i="4"/>
  <c r="O471" i="4" s="1"/>
  <c r="K470" i="4"/>
  <c r="N470" i="4" s="1"/>
  <c r="L470" i="4"/>
  <c r="O470" i="4" s="1"/>
  <c r="K469" i="4"/>
  <c r="N469" i="4" s="1"/>
  <c r="L469" i="4"/>
  <c r="O469" i="4" s="1"/>
  <c r="K468" i="4"/>
  <c r="N468" i="4" s="1"/>
  <c r="L468" i="4"/>
  <c r="O468" i="4" s="1"/>
  <c r="K467" i="4"/>
  <c r="N467" i="4" s="1"/>
  <c r="L467" i="4"/>
  <c r="O467" i="4" s="1"/>
  <c r="K466" i="4"/>
  <c r="N466" i="4" s="1"/>
  <c r="L466" i="4"/>
  <c r="O466" i="4" s="1"/>
  <c r="K465" i="4"/>
  <c r="N465" i="4" s="1"/>
  <c r="L465" i="4"/>
  <c r="O465" i="4" s="1"/>
  <c r="K464" i="4"/>
  <c r="N464" i="4" s="1"/>
  <c r="L464" i="4"/>
  <c r="O464" i="4" s="1"/>
  <c r="K463" i="4"/>
  <c r="N463" i="4" s="1"/>
  <c r="L463" i="4"/>
  <c r="O463" i="4" s="1"/>
  <c r="K462" i="4"/>
  <c r="N462" i="4" s="1"/>
  <c r="L462" i="4"/>
  <c r="O462" i="4" s="1"/>
  <c r="K461" i="4"/>
  <c r="N461" i="4" s="1"/>
  <c r="L461" i="4"/>
  <c r="O461" i="4" s="1"/>
  <c r="K460" i="4"/>
  <c r="N460" i="4" s="1"/>
  <c r="L460" i="4"/>
  <c r="O460" i="4" s="1"/>
  <c r="K459" i="4"/>
  <c r="N459" i="4" s="1"/>
  <c r="L459" i="4"/>
  <c r="O459" i="4" s="1"/>
  <c r="K458" i="4"/>
  <c r="N458" i="4" s="1"/>
  <c r="L458" i="4"/>
  <c r="O458" i="4" s="1"/>
  <c r="K457" i="4"/>
  <c r="N457" i="4" s="1"/>
  <c r="L457" i="4"/>
  <c r="O457" i="4" s="1"/>
  <c r="K456" i="4"/>
  <c r="N456" i="4" s="1"/>
  <c r="L456" i="4"/>
  <c r="O456" i="4" s="1"/>
  <c r="K455" i="4"/>
  <c r="N455" i="4" s="1"/>
  <c r="L455" i="4"/>
  <c r="O455" i="4" s="1"/>
  <c r="K454" i="4"/>
  <c r="N454" i="4" s="1"/>
  <c r="L454" i="4"/>
  <c r="O454" i="4" s="1"/>
  <c r="K453" i="4"/>
  <c r="N453" i="4" s="1"/>
  <c r="L453" i="4"/>
  <c r="O453" i="4" s="1"/>
  <c r="K452" i="4"/>
  <c r="N452" i="4" s="1"/>
  <c r="L452" i="4"/>
  <c r="O452" i="4" s="1"/>
  <c r="K451" i="4"/>
  <c r="N451" i="4" s="1"/>
  <c r="L451" i="4"/>
  <c r="O451" i="4" s="1"/>
  <c r="K450" i="4"/>
  <c r="N450" i="4" s="1"/>
  <c r="L450" i="4"/>
  <c r="O450" i="4" s="1"/>
  <c r="K449" i="4"/>
  <c r="N449" i="4" s="1"/>
  <c r="L449" i="4"/>
  <c r="O449" i="4" s="1"/>
  <c r="K448" i="4"/>
  <c r="N448" i="4" s="1"/>
  <c r="L448" i="4"/>
  <c r="O448" i="4" s="1"/>
  <c r="K447" i="4"/>
  <c r="N447" i="4" s="1"/>
  <c r="L447" i="4"/>
  <c r="O447" i="4" s="1"/>
  <c r="K446" i="4"/>
  <c r="N446" i="4" s="1"/>
  <c r="L446" i="4"/>
  <c r="O446" i="4" s="1"/>
  <c r="K445" i="4"/>
  <c r="N445" i="4" s="1"/>
  <c r="L445" i="4"/>
  <c r="O445" i="4" s="1"/>
  <c r="K444" i="4"/>
  <c r="N444" i="4" s="1"/>
  <c r="L444" i="4"/>
  <c r="O444" i="4" s="1"/>
  <c r="K443" i="4"/>
  <c r="N443" i="4" s="1"/>
  <c r="L443" i="4"/>
  <c r="O443" i="4" s="1"/>
  <c r="K442" i="4"/>
  <c r="N442" i="4" s="1"/>
  <c r="L442" i="4"/>
  <c r="O442" i="4" s="1"/>
  <c r="K441" i="4"/>
  <c r="N441" i="4" s="1"/>
  <c r="L441" i="4"/>
  <c r="O441" i="4" s="1"/>
  <c r="K440" i="4"/>
  <c r="N440" i="4" s="1"/>
  <c r="L440" i="4"/>
  <c r="O440" i="4" s="1"/>
  <c r="K439" i="4"/>
  <c r="N439" i="4" s="1"/>
  <c r="L439" i="4"/>
  <c r="O439" i="4" s="1"/>
  <c r="K438" i="4"/>
  <c r="N438" i="4" s="1"/>
  <c r="L438" i="4"/>
  <c r="O438" i="4" s="1"/>
  <c r="K437" i="4"/>
  <c r="N437" i="4" s="1"/>
  <c r="L437" i="4"/>
  <c r="O437" i="4" s="1"/>
  <c r="K436" i="4"/>
  <c r="N436" i="4" s="1"/>
  <c r="L436" i="4"/>
  <c r="O436" i="4" s="1"/>
  <c r="K435" i="4"/>
  <c r="N435" i="4" s="1"/>
  <c r="L435" i="4"/>
  <c r="O435" i="4" s="1"/>
  <c r="K434" i="4"/>
  <c r="N434" i="4" s="1"/>
  <c r="L434" i="4"/>
  <c r="O434" i="4" s="1"/>
  <c r="K433" i="4"/>
  <c r="N433" i="4" s="1"/>
  <c r="L433" i="4"/>
  <c r="O433" i="4" s="1"/>
  <c r="K432" i="4"/>
  <c r="N432" i="4" s="1"/>
  <c r="L432" i="4"/>
  <c r="O432" i="4" s="1"/>
  <c r="K431" i="4"/>
  <c r="N431" i="4" s="1"/>
  <c r="L431" i="4"/>
  <c r="O431" i="4" s="1"/>
  <c r="K430" i="4"/>
  <c r="N430" i="4" s="1"/>
  <c r="L430" i="4"/>
  <c r="O430" i="4" s="1"/>
  <c r="K429" i="4"/>
  <c r="N429" i="4" s="1"/>
  <c r="L429" i="4"/>
  <c r="O429" i="4" s="1"/>
  <c r="K428" i="4"/>
  <c r="N428" i="4" s="1"/>
  <c r="L428" i="4"/>
  <c r="O428" i="4" s="1"/>
  <c r="K427" i="4"/>
  <c r="N427" i="4" s="1"/>
  <c r="L427" i="4"/>
  <c r="O427" i="4" s="1"/>
  <c r="K426" i="4"/>
  <c r="N426" i="4" s="1"/>
  <c r="L426" i="4"/>
  <c r="O426" i="4" s="1"/>
  <c r="K425" i="4"/>
  <c r="N425" i="4" s="1"/>
  <c r="L425" i="4"/>
  <c r="O425" i="4" s="1"/>
  <c r="K424" i="4"/>
  <c r="N424" i="4" s="1"/>
  <c r="L424" i="4"/>
  <c r="O424" i="4" s="1"/>
  <c r="K423" i="4"/>
  <c r="N423" i="4" s="1"/>
  <c r="L423" i="4"/>
  <c r="O423" i="4" s="1"/>
  <c r="K422" i="4"/>
  <c r="N422" i="4" s="1"/>
  <c r="L422" i="4"/>
  <c r="O422" i="4" s="1"/>
  <c r="K421" i="4"/>
  <c r="N421" i="4" s="1"/>
  <c r="L421" i="4"/>
  <c r="O421" i="4" s="1"/>
  <c r="K420" i="4"/>
  <c r="N420" i="4" s="1"/>
  <c r="L420" i="4"/>
  <c r="O420" i="4" s="1"/>
  <c r="K419" i="4"/>
  <c r="N419" i="4" s="1"/>
  <c r="L419" i="4"/>
  <c r="O419" i="4" s="1"/>
  <c r="K418" i="4"/>
  <c r="N418" i="4" s="1"/>
  <c r="L418" i="4"/>
  <c r="O418" i="4" s="1"/>
  <c r="K417" i="4"/>
  <c r="N417" i="4" s="1"/>
  <c r="L417" i="4"/>
  <c r="O417" i="4" s="1"/>
  <c r="K416" i="4"/>
  <c r="N416" i="4" s="1"/>
  <c r="L416" i="4"/>
  <c r="O416" i="4" s="1"/>
  <c r="K415" i="4"/>
  <c r="N415" i="4" s="1"/>
  <c r="L415" i="4"/>
  <c r="O415" i="4" s="1"/>
  <c r="K414" i="4"/>
  <c r="N414" i="4" s="1"/>
  <c r="L414" i="4"/>
  <c r="O414" i="4" s="1"/>
  <c r="K413" i="4"/>
  <c r="N413" i="4" s="1"/>
  <c r="L413" i="4"/>
  <c r="O413" i="4" s="1"/>
  <c r="K412" i="4"/>
  <c r="N412" i="4" s="1"/>
  <c r="L412" i="4"/>
  <c r="O412" i="4" s="1"/>
  <c r="K411" i="4"/>
  <c r="N411" i="4" s="1"/>
  <c r="L411" i="4"/>
  <c r="O411" i="4" s="1"/>
  <c r="K410" i="4"/>
  <c r="N410" i="4" s="1"/>
  <c r="L410" i="4"/>
  <c r="O410" i="4" s="1"/>
  <c r="K409" i="4"/>
  <c r="N409" i="4" s="1"/>
  <c r="L409" i="4"/>
  <c r="O409" i="4" s="1"/>
  <c r="K408" i="4"/>
  <c r="N408" i="4" s="1"/>
  <c r="L408" i="4"/>
  <c r="O408" i="4" s="1"/>
  <c r="K407" i="4"/>
  <c r="N407" i="4" s="1"/>
  <c r="L407" i="4"/>
  <c r="O407" i="4" s="1"/>
  <c r="K406" i="4"/>
  <c r="N406" i="4" s="1"/>
  <c r="L406" i="4"/>
  <c r="O406" i="4" s="1"/>
  <c r="K405" i="4"/>
  <c r="N405" i="4" s="1"/>
  <c r="L405" i="4"/>
  <c r="O405" i="4" s="1"/>
  <c r="K404" i="4"/>
  <c r="N404" i="4" s="1"/>
  <c r="L404" i="4"/>
  <c r="O404" i="4" s="1"/>
  <c r="K403" i="4"/>
  <c r="N403" i="4" s="1"/>
  <c r="L403" i="4"/>
  <c r="O403" i="4" s="1"/>
  <c r="K402" i="4"/>
  <c r="N402" i="4" s="1"/>
  <c r="L402" i="4"/>
  <c r="O402" i="4" s="1"/>
  <c r="K401" i="4"/>
  <c r="N401" i="4" s="1"/>
  <c r="L401" i="4"/>
  <c r="O401" i="4" s="1"/>
  <c r="K400" i="4"/>
  <c r="N400" i="4" s="1"/>
  <c r="L400" i="4"/>
  <c r="O400" i="4" s="1"/>
  <c r="K399" i="4"/>
  <c r="N399" i="4" s="1"/>
  <c r="L399" i="4"/>
  <c r="O399" i="4" s="1"/>
  <c r="K398" i="4"/>
  <c r="N398" i="4" s="1"/>
  <c r="L398" i="4"/>
  <c r="O398" i="4" s="1"/>
  <c r="K397" i="4"/>
  <c r="N397" i="4" s="1"/>
  <c r="L397" i="4"/>
  <c r="O397" i="4" s="1"/>
  <c r="K396" i="4"/>
  <c r="N396" i="4" s="1"/>
  <c r="L396" i="4"/>
  <c r="O396" i="4" s="1"/>
  <c r="K395" i="4"/>
  <c r="N395" i="4" s="1"/>
  <c r="L395" i="4"/>
  <c r="O395" i="4" s="1"/>
  <c r="K394" i="4"/>
  <c r="N394" i="4" s="1"/>
  <c r="L394" i="4"/>
  <c r="O394" i="4" s="1"/>
  <c r="K393" i="4"/>
  <c r="N393" i="4" s="1"/>
  <c r="L393" i="4"/>
  <c r="O393" i="4" s="1"/>
  <c r="K392" i="4"/>
  <c r="N392" i="4" s="1"/>
  <c r="L392" i="4"/>
  <c r="O392" i="4" s="1"/>
  <c r="K391" i="4"/>
  <c r="N391" i="4" s="1"/>
  <c r="L391" i="4"/>
  <c r="O391" i="4" s="1"/>
  <c r="K390" i="4"/>
  <c r="N390" i="4" s="1"/>
  <c r="L390" i="4"/>
  <c r="O390" i="4" s="1"/>
  <c r="K389" i="4"/>
  <c r="N389" i="4" s="1"/>
  <c r="L389" i="4"/>
  <c r="O389" i="4" s="1"/>
  <c r="K388" i="4"/>
  <c r="N388" i="4" s="1"/>
  <c r="L388" i="4"/>
  <c r="O388" i="4" s="1"/>
  <c r="K387" i="4"/>
  <c r="N387" i="4" s="1"/>
  <c r="L387" i="4"/>
  <c r="O387" i="4" s="1"/>
  <c r="K386" i="4"/>
  <c r="N386" i="4" s="1"/>
  <c r="L386" i="4"/>
  <c r="O386" i="4" s="1"/>
  <c r="K385" i="4"/>
  <c r="N385" i="4" s="1"/>
  <c r="L385" i="4"/>
  <c r="O385" i="4" s="1"/>
  <c r="K384" i="4"/>
  <c r="N384" i="4" s="1"/>
  <c r="L384" i="4"/>
  <c r="O384" i="4" s="1"/>
  <c r="K383" i="4"/>
  <c r="N383" i="4" s="1"/>
  <c r="L383" i="4"/>
  <c r="O383" i="4" s="1"/>
  <c r="K382" i="4"/>
  <c r="N382" i="4" s="1"/>
  <c r="L382" i="4"/>
  <c r="O382" i="4" s="1"/>
  <c r="K381" i="4"/>
  <c r="N381" i="4" s="1"/>
  <c r="L381" i="4"/>
  <c r="O381" i="4" s="1"/>
  <c r="K380" i="4"/>
  <c r="N380" i="4" s="1"/>
  <c r="L380" i="4"/>
  <c r="O380" i="4" s="1"/>
  <c r="K379" i="4"/>
  <c r="N379" i="4" s="1"/>
  <c r="L379" i="4"/>
  <c r="O379" i="4" s="1"/>
  <c r="K378" i="4"/>
  <c r="N378" i="4" s="1"/>
  <c r="L378" i="4"/>
  <c r="O378" i="4" s="1"/>
  <c r="K377" i="4"/>
  <c r="N377" i="4" s="1"/>
  <c r="L377" i="4"/>
  <c r="O377" i="4" s="1"/>
  <c r="K376" i="4"/>
  <c r="N376" i="4" s="1"/>
  <c r="L376" i="4"/>
  <c r="O376" i="4" s="1"/>
  <c r="K375" i="4"/>
  <c r="N375" i="4" s="1"/>
  <c r="L375" i="4"/>
  <c r="O375" i="4" s="1"/>
  <c r="K374" i="4"/>
  <c r="N374" i="4" s="1"/>
  <c r="L374" i="4"/>
  <c r="O374" i="4" s="1"/>
  <c r="K373" i="4"/>
  <c r="N373" i="4" s="1"/>
  <c r="L373" i="4"/>
  <c r="O373" i="4" s="1"/>
  <c r="K372" i="4"/>
  <c r="N372" i="4" s="1"/>
  <c r="L372" i="4"/>
  <c r="O372" i="4" s="1"/>
  <c r="K371" i="4"/>
  <c r="N371" i="4" s="1"/>
  <c r="L371" i="4"/>
  <c r="O371" i="4" s="1"/>
  <c r="K370" i="4"/>
  <c r="N370" i="4" s="1"/>
  <c r="L370" i="4"/>
  <c r="O370" i="4" s="1"/>
  <c r="K369" i="4"/>
  <c r="N369" i="4" s="1"/>
  <c r="L369" i="4"/>
  <c r="O369" i="4" s="1"/>
  <c r="K368" i="4"/>
  <c r="N368" i="4" s="1"/>
  <c r="L368" i="4"/>
  <c r="O368" i="4" s="1"/>
  <c r="K367" i="4"/>
  <c r="N367" i="4" s="1"/>
  <c r="L367" i="4"/>
  <c r="O367" i="4" s="1"/>
  <c r="K366" i="4"/>
  <c r="N366" i="4" s="1"/>
  <c r="L366" i="4"/>
  <c r="O366" i="4" s="1"/>
  <c r="K365" i="4"/>
  <c r="N365" i="4" s="1"/>
  <c r="L365" i="4"/>
  <c r="O365" i="4" s="1"/>
  <c r="K364" i="4"/>
  <c r="N364" i="4" s="1"/>
  <c r="L364" i="4"/>
  <c r="O364" i="4" s="1"/>
  <c r="K363" i="4"/>
  <c r="N363" i="4" s="1"/>
  <c r="L363" i="4"/>
  <c r="O363" i="4" s="1"/>
  <c r="K362" i="4"/>
  <c r="N362" i="4" s="1"/>
  <c r="L362" i="4"/>
  <c r="O362" i="4" s="1"/>
  <c r="K361" i="4"/>
  <c r="N361" i="4" s="1"/>
  <c r="L361" i="4"/>
  <c r="O361" i="4" s="1"/>
  <c r="K360" i="4"/>
  <c r="N360" i="4" s="1"/>
  <c r="L360" i="4"/>
  <c r="O360" i="4" s="1"/>
  <c r="K359" i="4"/>
  <c r="N359" i="4" s="1"/>
  <c r="L359" i="4"/>
  <c r="O359" i="4" s="1"/>
  <c r="K358" i="4"/>
  <c r="N358" i="4" s="1"/>
  <c r="L358" i="4"/>
  <c r="O358" i="4" s="1"/>
  <c r="K357" i="4"/>
  <c r="N357" i="4" s="1"/>
  <c r="L357" i="4"/>
  <c r="O357" i="4" s="1"/>
  <c r="K356" i="4"/>
  <c r="N356" i="4" s="1"/>
  <c r="L356" i="4"/>
  <c r="O356" i="4" s="1"/>
  <c r="K355" i="4"/>
  <c r="N355" i="4" s="1"/>
  <c r="L355" i="4"/>
  <c r="O355" i="4" s="1"/>
  <c r="K354" i="4"/>
  <c r="N354" i="4" s="1"/>
  <c r="L354" i="4"/>
  <c r="O354" i="4" s="1"/>
  <c r="K353" i="4"/>
  <c r="N353" i="4" s="1"/>
  <c r="L353" i="4"/>
  <c r="O353" i="4" s="1"/>
  <c r="K352" i="4"/>
  <c r="N352" i="4" s="1"/>
  <c r="L352" i="4"/>
  <c r="O352" i="4" s="1"/>
  <c r="K351" i="4"/>
  <c r="N351" i="4" s="1"/>
  <c r="L351" i="4"/>
  <c r="O351" i="4" s="1"/>
  <c r="K350" i="4"/>
  <c r="N350" i="4" s="1"/>
  <c r="L350" i="4"/>
  <c r="O350" i="4" s="1"/>
  <c r="L349" i="4"/>
  <c r="O349" i="4" s="1"/>
  <c r="K349" i="4"/>
  <c r="N349" i="4" s="1"/>
  <c r="L348" i="4"/>
  <c r="O348" i="4" s="1"/>
  <c r="K348" i="4"/>
  <c r="N348" i="4" s="1"/>
  <c r="L347" i="4"/>
  <c r="O347" i="4" s="1"/>
  <c r="K347" i="4"/>
  <c r="N347" i="4" s="1"/>
  <c r="L346" i="4"/>
  <c r="O346" i="4" s="1"/>
  <c r="K346" i="4"/>
  <c r="N346" i="4" s="1"/>
  <c r="K345" i="4"/>
  <c r="N345" i="4" s="1"/>
  <c r="L345" i="4"/>
  <c r="O345" i="4" s="1"/>
  <c r="L344" i="4"/>
  <c r="O344" i="4" s="1"/>
  <c r="K344" i="4"/>
  <c r="N344" i="4" s="1"/>
  <c r="L343" i="4"/>
  <c r="O343" i="4" s="1"/>
  <c r="K343" i="4"/>
  <c r="N343" i="4" s="1"/>
  <c r="L342" i="4"/>
  <c r="O342" i="4" s="1"/>
  <c r="K342" i="4"/>
  <c r="N342" i="4" s="1"/>
  <c r="L341" i="4"/>
  <c r="O341" i="4" s="1"/>
  <c r="K341" i="4"/>
  <c r="N341" i="4" s="1"/>
  <c r="L340" i="4"/>
  <c r="O340" i="4" s="1"/>
  <c r="K340" i="4"/>
  <c r="N340" i="4" s="1"/>
  <c r="K339" i="4"/>
  <c r="N339" i="4" s="1"/>
  <c r="L339" i="4"/>
  <c r="O339" i="4" s="1"/>
  <c r="L338" i="4"/>
  <c r="O338" i="4" s="1"/>
  <c r="K338" i="4"/>
  <c r="N338" i="4" s="1"/>
  <c r="L337" i="4"/>
  <c r="O337" i="4" s="1"/>
  <c r="K337" i="4"/>
  <c r="N337" i="4" s="1"/>
  <c r="L336" i="4"/>
  <c r="O336" i="4" s="1"/>
  <c r="K336" i="4"/>
  <c r="N336" i="4" s="1"/>
  <c r="L335" i="4"/>
  <c r="O335" i="4" s="1"/>
  <c r="K335" i="4"/>
  <c r="N335" i="4" s="1"/>
  <c r="L334" i="4"/>
  <c r="O334" i="4" s="1"/>
  <c r="K334" i="4"/>
  <c r="N334" i="4" s="1"/>
  <c r="K333" i="4"/>
  <c r="N333" i="4" s="1"/>
  <c r="L333" i="4"/>
  <c r="O333" i="4" s="1"/>
  <c r="L332" i="4"/>
  <c r="O332" i="4" s="1"/>
  <c r="K332" i="4"/>
  <c r="N332" i="4" s="1"/>
  <c r="L331" i="4"/>
  <c r="O331" i="4" s="1"/>
  <c r="K331" i="4"/>
  <c r="N331" i="4" s="1"/>
  <c r="K330" i="4"/>
  <c r="N330" i="4" s="1"/>
  <c r="L330" i="4"/>
  <c r="O330" i="4" s="1"/>
  <c r="L329" i="4"/>
  <c r="O329" i="4" s="1"/>
  <c r="K329" i="4"/>
  <c r="N329" i="4" s="1"/>
  <c r="L328" i="4"/>
  <c r="O328" i="4" s="1"/>
  <c r="K328" i="4"/>
  <c r="N328" i="4" s="1"/>
  <c r="L327" i="4"/>
  <c r="O327" i="4" s="1"/>
  <c r="K327" i="4"/>
  <c r="N327" i="4" s="1"/>
  <c r="L326" i="4"/>
  <c r="O326" i="4" s="1"/>
  <c r="K326" i="4"/>
  <c r="N326" i="4" s="1"/>
  <c r="L325" i="4"/>
  <c r="O325" i="4" s="1"/>
  <c r="K325" i="4"/>
  <c r="N325" i="4" s="1"/>
  <c r="L324" i="4"/>
  <c r="O324" i="4" s="1"/>
  <c r="K324" i="4"/>
  <c r="N324" i="4" s="1"/>
  <c r="L323" i="4"/>
  <c r="O323" i="4" s="1"/>
  <c r="K323" i="4"/>
  <c r="N323" i="4" s="1"/>
  <c r="L322" i="4"/>
  <c r="O322" i="4" s="1"/>
  <c r="K322" i="4"/>
  <c r="N322" i="4" s="1"/>
  <c r="L321" i="4"/>
  <c r="O321" i="4" s="1"/>
  <c r="K321" i="4"/>
  <c r="N321" i="4" s="1"/>
  <c r="L320" i="4"/>
  <c r="O320" i="4" s="1"/>
  <c r="K320" i="4"/>
  <c r="N320" i="4" s="1"/>
  <c r="L319" i="4"/>
  <c r="O319" i="4" s="1"/>
  <c r="K319" i="4"/>
  <c r="N319" i="4" s="1"/>
  <c r="L318" i="4"/>
  <c r="O318" i="4" s="1"/>
  <c r="K318" i="4"/>
  <c r="N318" i="4" s="1"/>
  <c r="L317" i="4"/>
  <c r="O317" i="4" s="1"/>
  <c r="K317" i="4"/>
  <c r="N317" i="4" s="1"/>
  <c r="L316" i="4"/>
  <c r="O316" i="4" s="1"/>
  <c r="K316" i="4"/>
  <c r="N316" i="4" s="1"/>
  <c r="L315" i="4"/>
  <c r="O315" i="4" s="1"/>
  <c r="K315" i="4"/>
  <c r="N315" i="4" s="1"/>
  <c r="L314" i="4"/>
  <c r="O314" i="4" s="1"/>
  <c r="K314" i="4"/>
  <c r="N314" i="4" s="1"/>
  <c r="L313" i="4"/>
  <c r="O313" i="4" s="1"/>
  <c r="K313" i="4"/>
  <c r="N313" i="4" s="1"/>
  <c r="K312" i="4"/>
  <c r="N312" i="4" s="1"/>
  <c r="L312" i="4"/>
  <c r="O312" i="4" s="1"/>
  <c r="L311" i="4"/>
  <c r="O311" i="4" s="1"/>
  <c r="K311" i="4"/>
  <c r="N311" i="4" s="1"/>
  <c r="K310" i="4"/>
  <c r="N310" i="4" s="1"/>
  <c r="L310" i="4"/>
  <c r="O310" i="4" s="1"/>
  <c r="L309" i="4"/>
  <c r="O309" i="4" s="1"/>
  <c r="K309" i="4"/>
  <c r="N309" i="4" s="1"/>
  <c r="L308" i="4"/>
  <c r="O308" i="4" s="1"/>
  <c r="K308" i="4"/>
  <c r="N308" i="4" s="1"/>
  <c r="K307" i="4"/>
  <c r="N307" i="4" s="1"/>
  <c r="L307" i="4"/>
  <c r="O307" i="4" s="1"/>
  <c r="K306" i="4"/>
  <c r="N306" i="4" s="1"/>
  <c r="L306" i="4"/>
  <c r="O306" i="4" s="1"/>
  <c r="K305" i="4"/>
  <c r="N305" i="4" s="1"/>
  <c r="L305" i="4"/>
  <c r="O305" i="4" s="1"/>
  <c r="K304" i="4"/>
  <c r="N304" i="4" s="1"/>
  <c r="L304" i="4"/>
  <c r="O304" i="4" s="1"/>
  <c r="K303" i="4"/>
  <c r="N303" i="4" s="1"/>
  <c r="L303" i="4"/>
  <c r="O303" i="4" s="1"/>
  <c r="K302" i="4"/>
  <c r="N302" i="4" s="1"/>
  <c r="L302" i="4"/>
  <c r="O302" i="4" s="1"/>
  <c r="L301" i="4"/>
  <c r="O301" i="4" s="1"/>
  <c r="K301" i="4"/>
  <c r="N301" i="4" s="1"/>
  <c r="L300" i="4"/>
  <c r="O300" i="4" s="1"/>
  <c r="K300" i="4"/>
  <c r="N300" i="4" s="1"/>
  <c r="L299" i="4"/>
  <c r="O299" i="4" s="1"/>
  <c r="K299" i="4"/>
  <c r="N299" i="4" s="1"/>
  <c r="L298" i="4"/>
  <c r="O298" i="4" s="1"/>
  <c r="K298" i="4"/>
  <c r="N298" i="4" s="1"/>
  <c r="L297" i="4"/>
  <c r="O297" i="4" s="1"/>
  <c r="K297" i="4"/>
  <c r="N297" i="4" s="1"/>
  <c r="L296" i="4"/>
  <c r="O296" i="4" s="1"/>
  <c r="K296" i="4"/>
  <c r="N296" i="4" s="1"/>
  <c r="L295" i="4"/>
  <c r="O295" i="4" s="1"/>
  <c r="K295" i="4"/>
  <c r="N295" i="4" s="1"/>
  <c r="L294" i="4"/>
  <c r="O294" i="4" s="1"/>
  <c r="K294" i="4"/>
  <c r="N294" i="4" s="1"/>
  <c r="L293" i="4"/>
  <c r="O293" i="4" s="1"/>
  <c r="K293" i="4"/>
  <c r="N293" i="4" s="1"/>
  <c r="L292" i="4"/>
  <c r="O292" i="4" s="1"/>
  <c r="K292" i="4"/>
  <c r="N292" i="4" s="1"/>
  <c r="L291" i="4"/>
  <c r="O291" i="4" s="1"/>
  <c r="K291" i="4"/>
  <c r="N291" i="4" s="1"/>
  <c r="L290" i="4"/>
  <c r="O290" i="4" s="1"/>
  <c r="K290" i="4"/>
  <c r="N290" i="4" s="1"/>
  <c r="K289" i="4"/>
  <c r="N289" i="4" s="1"/>
  <c r="L289" i="4"/>
  <c r="O289" i="4" s="1"/>
  <c r="K288" i="4"/>
  <c r="N288" i="4" s="1"/>
  <c r="L288" i="4"/>
  <c r="O288" i="4" s="1"/>
  <c r="K287" i="4"/>
  <c r="N287" i="4" s="1"/>
  <c r="L287" i="4"/>
  <c r="O287" i="4" s="1"/>
  <c r="K286" i="4"/>
  <c r="N286" i="4" s="1"/>
  <c r="L286" i="4"/>
  <c r="O286" i="4" s="1"/>
  <c r="K285" i="4"/>
  <c r="N285" i="4" s="1"/>
  <c r="L285" i="4"/>
  <c r="O285" i="4" s="1"/>
  <c r="K284" i="4"/>
  <c r="N284" i="4" s="1"/>
  <c r="L284" i="4"/>
  <c r="O284" i="4" s="1"/>
  <c r="K283" i="4"/>
  <c r="N283" i="4" s="1"/>
  <c r="L283" i="4"/>
  <c r="O283" i="4" s="1"/>
  <c r="K282" i="4"/>
  <c r="N282" i="4" s="1"/>
  <c r="L282" i="4"/>
  <c r="O282" i="4" s="1"/>
  <c r="K281" i="4"/>
  <c r="N281" i="4" s="1"/>
  <c r="L281" i="4"/>
  <c r="O281" i="4" s="1"/>
  <c r="K280" i="4"/>
  <c r="N280" i="4" s="1"/>
  <c r="L280" i="4"/>
  <c r="O280" i="4" s="1"/>
  <c r="K279" i="4"/>
  <c r="N279" i="4" s="1"/>
  <c r="L279" i="4"/>
  <c r="O279" i="4" s="1"/>
  <c r="K278" i="4"/>
  <c r="N278" i="4" s="1"/>
  <c r="L278" i="4"/>
  <c r="O278" i="4" s="1"/>
  <c r="K277" i="4"/>
  <c r="N277" i="4" s="1"/>
  <c r="L277" i="4"/>
  <c r="O277" i="4" s="1"/>
  <c r="K276" i="4"/>
  <c r="N276" i="4" s="1"/>
  <c r="L276" i="4"/>
  <c r="O276" i="4" s="1"/>
  <c r="K275" i="4"/>
  <c r="N275" i="4" s="1"/>
  <c r="L275" i="4"/>
  <c r="O275" i="4" s="1"/>
  <c r="K274" i="4"/>
  <c r="N274" i="4" s="1"/>
  <c r="L274" i="4"/>
  <c r="O274" i="4" s="1"/>
  <c r="K273" i="4"/>
  <c r="N273" i="4" s="1"/>
  <c r="L273" i="4"/>
  <c r="O273" i="4" s="1"/>
  <c r="K272" i="4"/>
  <c r="N272" i="4" s="1"/>
  <c r="L272" i="4"/>
  <c r="O272" i="4" s="1"/>
  <c r="K271" i="4"/>
  <c r="N271" i="4" s="1"/>
  <c r="L271" i="4"/>
  <c r="O271" i="4" s="1"/>
  <c r="K270" i="4"/>
  <c r="N270" i="4" s="1"/>
  <c r="L270" i="4"/>
  <c r="O270" i="4" s="1"/>
  <c r="K269" i="4"/>
  <c r="N269" i="4" s="1"/>
  <c r="L269" i="4"/>
  <c r="O269" i="4" s="1"/>
  <c r="K268" i="4"/>
  <c r="N268" i="4" s="1"/>
  <c r="L268" i="4"/>
  <c r="O268" i="4" s="1"/>
  <c r="K267" i="4"/>
  <c r="N267" i="4" s="1"/>
  <c r="L267" i="4"/>
  <c r="O267" i="4" s="1"/>
  <c r="K266" i="4"/>
  <c r="N266" i="4" s="1"/>
  <c r="L266" i="4"/>
  <c r="O266" i="4" s="1"/>
  <c r="K265" i="4"/>
  <c r="N265" i="4" s="1"/>
  <c r="L265" i="4"/>
  <c r="O265" i="4" s="1"/>
  <c r="K264" i="4"/>
  <c r="N264" i="4" s="1"/>
  <c r="L264" i="4"/>
  <c r="O264" i="4" s="1"/>
  <c r="K263" i="4"/>
  <c r="N263" i="4" s="1"/>
  <c r="L263" i="4"/>
  <c r="O263" i="4" s="1"/>
  <c r="K262" i="4"/>
  <c r="N262" i="4" s="1"/>
  <c r="L262" i="4"/>
  <c r="O262" i="4" s="1"/>
  <c r="K261" i="4"/>
  <c r="N261" i="4" s="1"/>
  <c r="L261" i="4"/>
  <c r="O261" i="4" s="1"/>
  <c r="K260" i="4"/>
  <c r="N260" i="4" s="1"/>
  <c r="L260" i="4"/>
  <c r="O260" i="4" s="1"/>
  <c r="K259" i="4"/>
  <c r="N259" i="4" s="1"/>
  <c r="L259" i="4"/>
  <c r="O259" i="4" s="1"/>
  <c r="K258" i="4"/>
  <c r="N258" i="4" s="1"/>
  <c r="L258" i="4"/>
  <c r="O258" i="4" s="1"/>
  <c r="K257" i="4"/>
  <c r="N257" i="4" s="1"/>
  <c r="L257" i="4"/>
  <c r="O257" i="4" s="1"/>
  <c r="K256" i="4"/>
  <c r="N256" i="4" s="1"/>
  <c r="L256" i="4"/>
  <c r="O256" i="4" s="1"/>
  <c r="K255" i="4"/>
  <c r="N255" i="4" s="1"/>
  <c r="L255" i="4"/>
  <c r="O255" i="4" s="1"/>
  <c r="K254" i="4"/>
  <c r="N254" i="4" s="1"/>
  <c r="L254" i="4"/>
  <c r="O254" i="4" s="1"/>
  <c r="K253" i="4"/>
  <c r="N253" i="4" s="1"/>
  <c r="L253" i="4"/>
  <c r="O253" i="4" s="1"/>
  <c r="K252" i="4"/>
  <c r="N252" i="4" s="1"/>
  <c r="L252" i="4"/>
  <c r="O252" i="4" s="1"/>
  <c r="K251" i="4"/>
  <c r="N251" i="4" s="1"/>
  <c r="L251" i="4"/>
  <c r="O251" i="4" s="1"/>
  <c r="K250" i="4"/>
  <c r="N250" i="4" s="1"/>
  <c r="L250" i="4"/>
  <c r="O250" i="4" s="1"/>
  <c r="K249" i="4"/>
  <c r="N249" i="4" s="1"/>
  <c r="L249" i="4"/>
  <c r="O249" i="4" s="1"/>
  <c r="K248" i="4"/>
  <c r="N248" i="4" s="1"/>
  <c r="L248" i="4"/>
  <c r="O248" i="4" s="1"/>
  <c r="K247" i="4"/>
  <c r="N247" i="4" s="1"/>
  <c r="L247" i="4"/>
  <c r="O247" i="4" s="1"/>
  <c r="K246" i="4"/>
  <c r="N246" i="4" s="1"/>
  <c r="L246" i="4"/>
  <c r="O246" i="4" s="1"/>
  <c r="K245" i="4"/>
  <c r="N245" i="4" s="1"/>
  <c r="L245" i="4"/>
  <c r="O245" i="4" s="1"/>
  <c r="K244" i="4"/>
  <c r="N244" i="4" s="1"/>
  <c r="L244" i="4"/>
  <c r="O244" i="4" s="1"/>
  <c r="K243" i="4"/>
  <c r="N243" i="4" s="1"/>
  <c r="L243" i="4"/>
  <c r="O243" i="4" s="1"/>
  <c r="K242" i="4"/>
  <c r="N242" i="4" s="1"/>
  <c r="L242" i="4"/>
  <c r="O242" i="4" s="1"/>
  <c r="K241" i="4"/>
  <c r="N241" i="4" s="1"/>
  <c r="L241" i="4"/>
  <c r="O241" i="4" s="1"/>
  <c r="K240" i="4"/>
  <c r="N240" i="4" s="1"/>
  <c r="L240" i="4"/>
  <c r="O240" i="4" s="1"/>
  <c r="K239" i="4"/>
  <c r="N239" i="4" s="1"/>
  <c r="L239" i="4"/>
  <c r="O239" i="4" s="1"/>
  <c r="K238" i="4"/>
  <c r="N238" i="4" s="1"/>
  <c r="L238" i="4"/>
  <c r="O238" i="4" s="1"/>
  <c r="K237" i="4"/>
  <c r="N237" i="4" s="1"/>
  <c r="L237" i="4"/>
  <c r="O237" i="4" s="1"/>
  <c r="K236" i="4"/>
  <c r="N236" i="4" s="1"/>
  <c r="L236" i="4"/>
  <c r="O236" i="4" s="1"/>
  <c r="K235" i="4"/>
  <c r="N235" i="4" s="1"/>
  <c r="L235" i="4"/>
  <c r="O235" i="4" s="1"/>
  <c r="K234" i="4"/>
  <c r="N234" i="4" s="1"/>
  <c r="L234" i="4"/>
  <c r="O234" i="4" s="1"/>
  <c r="K233" i="4"/>
  <c r="N233" i="4" s="1"/>
  <c r="L233" i="4"/>
  <c r="O233" i="4" s="1"/>
  <c r="K232" i="4"/>
  <c r="N232" i="4" s="1"/>
  <c r="L232" i="4"/>
  <c r="O232" i="4" s="1"/>
  <c r="K231" i="4"/>
  <c r="N231" i="4" s="1"/>
  <c r="L231" i="4"/>
  <c r="O231" i="4" s="1"/>
  <c r="K230" i="4"/>
  <c r="N230" i="4" s="1"/>
  <c r="L230" i="4"/>
  <c r="O230" i="4" s="1"/>
  <c r="K229" i="4"/>
  <c r="N229" i="4" s="1"/>
  <c r="L229" i="4"/>
  <c r="O229" i="4" s="1"/>
  <c r="K228" i="4"/>
  <c r="N228" i="4" s="1"/>
  <c r="L228" i="4"/>
  <c r="O228" i="4" s="1"/>
  <c r="K227" i="4"/>
  <c r="N227" i="4" s="1"/>
  <c r="L227" i="4"/>
  <c r="O227" i="4" s="1"/>
  <c r="K226" i="4"/>
  <c r="N226" i="4" s="1"/>
  <c r="L226" i="4"/>
  <c r="O226" i="4" s="1"/>
  <c r="K225" i="4"/>
  <c r="N225" i="4" s="1"/>
  <c r="L225" i="4"/>
  <c r="O225" i="4" s="1"/>
  <c r="K224" i="4"/>
  <c r="N224" i="4" s="1"/>
  <c r="L224" i="4"/>
  <c r="O224" i="4" s="1"/>
  <c r="K223" i="4"/>
  <c r="N223" i="4" s="1"/>
  <c r="L223" i="4"/>
  <c r="O223" i="4" s="1"/>
  <c r="K222" i="4"/>
  <c r="N222" i="4" s="1"/>
  <c r="L222" i="4"/>
  <c r="O222" i="4" s="1"/>
  <c r="K221" i="4"/>
  <c r="N221" i="4" s="1"/>
  <c r="L221" i="4"/>
  <c r="O221" i="4" s="1"/>
  <c r="K220" i="4"/>
  <c r="N220" i="4" s="1"/>
  <c r="L220" i="4"/>
  <c r="O220" i="4" s="1"/>
  <c r="K219" i="4"/>
  <c r="N219" i="4" s="1"/>
  <c r="L219" i="4"/>
  <c r="O219" i="4" s="1"/>
  <c r="K218" i="4"/>
  <c r="N218" i="4" s="1"/>
  <c r="L218" i="4"/>
  <c r="O218" i="4" s="1"/>
  <c r="K217" i="4"/>
  <c r="N217" i="4" s="1"/>
  <c r="L217" i="4"/>
  <c r="O217" i="4" s="1"/>
  <c r="K216" i="4"/>
  <c r="N216" i="4" s="1"/>
  <c r="L216" i="4"/>
  <c r="O216" i="4" s="1"/>
  <c r="K215" i="4"/>
  <c r="N215" i="4" s="1"/>
  <c r="L215" i="4"/>
  <c r="O215" i="4" s="1"/>
  <c r="K214" i="4"/>
  <c r="N214" i="4" s="1"/>
  <c r="L214" i="4"/>
  <c r="O214" i="4" s="1"/>
  <c r="K213" i="4"/>
  <c r="N213" i="4" s="1"/>
  <c r="L213" i="4"/>
  <c r="O213" i="4" s="1"/>
  <c r="K212" i="4"/>
  <c r="N212" i="4" s="1"/>
  <c r="L212" i="4"/>
  <c r="O212" i="4" s="1"/>
  <c r="K211" i="4"/>
  <c r="N211" i="4" s="1"/>
  <c r="L211" i="4"/>
  <c r="O211" i="4" s="1"/>
  <c r="K210" i="4"/>
  <c r="N210" i="4" s="1"/>
  <c r="L210" i="4"/>
  <c r="O210" i="4" s="1"/>
  <c r="K209" i="4"/>
  <c r="N209" i="4" s="1"/>
  <c r="L209" i="4"/>
  <c r="O209" i="4" s="1"/>
  <c r="K208" i="4"/>
  <c r="N208" i="4" s="1"/>
  <c r="L208" i="4"/>
  <c r="O208" i="4" s="1"/>
  <c r="K207" i="4"/>
  <c r="N207" i="4" s="1"/>
  <c r="L207" i="4"/>
  <c r="O207" i="4" s="1"/>
  <c r="K206" i="4"/>
  <c r="N206" i="4" s="1"/>
  <c r="L206" i="4"/>
  <c r="O206" i="4" s="1"/>
  <c r="K205" i="4"/>
  <c r="N205" i="4" s="1"/>
  <c r="L205" i="4"/>
  <c r="O205" i="4" s="1"/>
  <c r="K204" i="4"/>
  <c r="N204" i="4" s="1"/>
  <c r="L204" i="4"/>
  <c r="O204" i="4" s="1"/>
  <c r="K203" i="4"/>
  <c r="N203" i="4" s="1"/>
  <c r="L203" i="4"/>
  <c r="O203" i="4" s="1"/>
  <c r="K202" i="4"/>
  <c r="N202" i="4" s="1"/>
  <c r="L202" i="4"/>
  <c r="O202" i="4" s="1"/>
  <c r="K201" i="4"/>
  <c r="N201" i="4" s="1"/>
  <c r="L201" i="4"/>
  <c r="O201" i="4" s="1"/>
  <c r="K200" i="4"/>
  <c r="N200" i="4" s="1"/>
  <c r="L200" i="4"/>
  <c r="O200" i="4" s="1"/>
  <c r="K199" i="4"/>
  <c r="N199" i="4" s="1"/>
  <c r="L199" i="4"/>
  <c r="O199" i="4" s="1"/>
  <c r="K198" i="4"/>
  <c r="N198" i="4" s="1"/>
  <c r="L198" i="4"/>
  <c r="O198" i="4" s="1"/>
  <c r="K197" i="4"/>
  <c r="N197" i="4" s="1"/>
  <c r="L197" i="4"/>
  <c r="O197" i="4" s="1"/>
  <c r="K196" i="4"/>
  <c r="N196" i="4" s="1"/>
  <c r="L196" i="4"/>
  <c r="O196" i="4" s="1"/>
  <c r="K195" i="4"/>
  <c r="N195" i="4" s="1"/>
  <c r="L195" i="4"/>
  <c r="O195" i="4" s="1"/>
  <c r="K194" i="4"/>
  <c r="N194" i="4" s="1"/>
  <c r="L194" i="4"/>
  <c r="O194" i="4" s="1"/>
  <c r="K193" i="4"/>
  <c r="N193" i="4" s="1"/>
  <c r="L193" i="4"/>
  <c r="O193" i="4" s="1"/>
  <c r="K192" i="4"/>
  <c r="N192" i="4" s="1"/>
  <c r="L192" i="4"/>
  <c r="O192" i="4" s="1"/>
  <c r="K191" i="4"/>
  <c r="N191" i="4" s="1"/>
  <c r="L191" i="4"/>
  <c r="O191" i="4" s="1"/>
  <c r="K190" i="4"/>
  <c r="N190" i="4" s="1"/>
  <c r="L190" i="4"/>
  <c r="O190" i="4" s="1"/>
  <c r="K189" i="4"/>
  <c r="N189" i="4" s="1"/>
  <c r="L189" i="4"/>
  <c r="O189" i="4" s="1"/>
  <c r="K188" i="4"/>
  <c r="N188" i="4" s="1"/>
  <c r="L188" i="4"/>
  <c r="O188" i="4" s="1"/>
  <c r="K187" i="4"/>
  <c r="N187" i="4" s="1"/>
  <c r="L187" i="4"/>
  <c r="O187" i="4" s="1"/>
  <c r="K186" i="4"/>
  <c r="N186" i="4" s="1"/>
  <c r="L186" i="4"/>
  <c r="O186" i="4" s="1"/>
  <c r="K185" i="4"/>
  <c r="N185" i="4" s="1"/>
  <c r="L185" i="4"/>
  <c r="O185" i="4" s="1"/>
  <c r="K184" i="4"/>
  <c r="N184" i="4" s="1"/>
  <c r="L184" i="4"/>
  <c r="O184" i="4" s="1"/>
  <c r="K183" i="4"/>
  <c r="N183" i="4" s="1"/>
  <c r="L183" i="4"/>
  <c r="O183" i="4" s="1"/>
  <c r="K182" i="4"/>
  <c r="N182" i="4" s="1"/>
  <c r="L182" i="4"/>
  <c r="O182" i="4" s="1"/>
  <c r="K181" i="4"/>
  <c r="N181" i="4" s="1"/>
  <c r="L181" i="4"/>
  <c r="O181" i="4" s="1"/>
  <c r="K180" i="4"/>
  <c r="N180" i="4" s="1"/>
  <c r="L180" i="4"/>
  <c r="O180" i="4" s="1"/>
  <c r="K179" i="4"/>
  <c r="N179" i="4" s="1"/>
  <c r="L179" i="4"/>
  <c r="O179" i="4" s="1"/>
  <c r="K178" i="4"/>
  <c r="N178" i="4" s="1"/>
  <c r="L178" i="4"/>
  <c r="O178" i="4" s="1"/>
  <c r="K177" i="4"/>
  <c r="N177" i="4" s="1"/>
  <c r="L177" i="4"/>
  <c r="O177" i="4" s="1"/>
  <c r="K176" i="4"/>
  <c r="N176" i="4" s="1"/>
  <c r="L176" i="4"/>
  <c r="O176" i="4" s="1"/>
  <c r="K175" i="4"/>
  <c r="N175" i="4" s="1"/>
  <c r="L175" i="4"/>
  <c r="O175" i="4" s="1"/>
  <c r="K174" i="4"/>
  <c r="N174" i="4" s="1"/>
  <c r="L174" i="4"/>
  <c r="O174" i="4" s="1"/>
  <c r="K173" i="4"/>
  <c r="N173" i="4" s="1"/>
  <c r="L173" i="4"/>
  <c r="O173" i="4" s="1"/>
  <c r="K172" i="4"/>
  <c r="N172" i="4" s="1"/>
  <c r="L172" i="4"/>
  <c r="O172" i="4" s="1"/>
  <c r="K171" i="4"/>
  <c r="N171" i="4" s="1"/>
  <c r="L171" i="4"/>
  <c r="O171" i="4" s="1"/>
  <c r="K170" i="4"/>
  <c r="N170" i="4" s="1"/>
  <c r="L170" i="4"/>
  <c r="O170" i="4" s="1"/>
  <c r="K169" i="4"/>
  <c r="N169" i="4" s="1"/>
  <c r="L169" i="4"/>
  <c r="O169" i="4" s="1"/>
  <c r="K168" i="4"/>
  <c r="N168" i="4" s="1"/>
  <c r="L168" i="4"/>
  <c r="O168" i="4" s="1"/>
  <c r="K167" i="4"/>
  <c r="N167" i="4" s="1"/>
  <c r="L167" i="4"/>
  <c r="O167" i="4" s="1"/>
  <c r="K166" i="4"/>
  <c r="N166" i="4" s="1"/>
  <c r="L166" i="4"/>
  <c r="O166" i="4" s="1"/>
  <c r="K165" i="4"/>
  <c r="N165" i="4" s="1"/>
  <c r="L165" i="4"/>
  <c r="O165" i="4" s="1"/>
  <c r="K164" i="4"/>
  <c r="N164" i="4" s="1"/>
  <c r="L164" i="4"/>
  <c r="O164" i="4" s="1"/>
  <c r="K163" i="4"/>
  <c r="N163" i="4" s="1"/>
  <c r="L163" i="4"/>
  <c r="O163" i="4" s="1"/>
  <c r="K162" i="4"/>
  <c r="N162" i="4" s="1"/>
  <c r="L162" i="4"/>
  <c r="O162" i="4" s="1"/>
  <c r="K161" i="4"/>
  <c r="N161" i="4" s="1"/>
  <c r="L161" i="4"/>
  <c r="O161" i="4" s="1"/>
  <c r="K160" i="4"/>
  <c r="N160" i="4" s="1"/>
  <c r="L160" i="4"/>
  <c r="O160" i="4" s="1"/>
  <c r="K159" i="4"/>
  <c r="N159" i="4" s="1"/>
  <c r="L159" i="4"/>
  <c r="O159" i="4" s="1"/>
  <c r="K158" i="4"/>
  <c r="N158" i="4" s="1"/>
  <c r="L158" i="4"/>
  <c r="O158" i="4" s="1"/>
  <c r="K157" i="4"/>
  <c r="N157" i="4" s="1"/>
  <c r="L157" i="4"/>
  <c r="O157" i="4" s="1"/>
  <c r="K156" i="4"/>
  <c r="N156" i="4" s="1"/>
  <c r="L156" i="4"/>
  <c r="O156" i="4" s="1"/>
  <c r="K155" i="4"/>
  <c r="N155" i="4" s="1"/>
  <c r="L155" i="4"/>
  <c r="O155" i="4" s="1"/>
  <c r="K154" i="4"/>
  <c r="N154" i="4" s="1"/>
  <c r="L154" i="4"/>
  <c r="O154" i="4" s="1"/>
  <c r="K153" i="4"/>
  <c r="N153" i="4" s="1"/>
  <c r="L153" i="4"/>
  <c r="O153" i="4" s="1"/>
  <c r="K152" i="4"/>
  <c r="N152" i="4" s="1"/>
  <c r="L152" i="4"/>
  <c r="O152" i="4" s="1"/>
  <c r="K151" i="4"/>
  <c r="N151" i="4" s="1"/>
  <c r="L151" i="4"/>
  <c r="O151" i="4" s="1"/>
  <c r="K150" i="4"/>
  <c r="N150" i="4" s="1"/>
  <c r="L150" i="4"/>
  <c r="O150" i="4" s="1"/>
  <c r="K149" i="4"/>
  <c r="N149" i="4" s="1"/>
  <c r="L149" i="4"/>
  <c r="O149" i="4" s="1"/>
  <c r="K148" i="4"/>
  <c r="N148" i="4" s="1"/>
  <c r="L148" i="4"/>
  <c r="O148" i="4" s="1"/>
  <c r="K147" i="4"/>
  <c r="N147" i="4" s="1"/>
  <c r="L147" i="4"/>
  <c r="O147" i="4" s="1"/>
  <c r="K146" i="4"/>
  <c r="N146" i="4" s="1"/>
  <c r="L146" i="4"/>
  <c r="O146" i="4" s="1"/>
  <c r="K145" i="4"/>
  <c r="N145" i="4" s="1"/>
  <c r="L145" i="4"/>
  <c r="O145" i="4" s="1"/>
  <c r="K144" i="4"/>
  <c r="N144" i="4" s="1"/>
  <c r="L144" i="4"/>
  <c r="O144" i="4" s="1"/>
  <c r="K143" i="4"/>
  <c r="N143" i="4" s="1"/>
  <c r="L143" i="4"/>
  <c r="O143" i="4" s="1"/>
  <c r="K142" i="4"/>
  <c r="N142" i="4" s="1"/>
  <c r="L142" i="4"/>
  <c r="O142" i="4" s="1"/>
  <c r="K141" i="4"/>
  <c r="N141" i="4" s="1"/>
  <c r="L141" i="4"/>
  <c r="O141" i="4" s="1"/>
  <c r="K140" i="4"/>
  <c r="N140" i="4" s="1"/>
  <c r="L140" i="4"/>
  <c r="O140" i="4" s="1"/>
  <c r="K139" i="4"/>
  <c r="N139" i="4" s="1"/>
  <c r="L139" i="4"/>
  <c r="O139" i="4" s="1"/>
  <c r="K138" i="4"/>
  <c r="N138" i="4" s="1"/>
  <c r="L138" i="4"/>
  <c r="O138" i="4" s="1"/>
  <c r="K137" i="4"/>
  <c r="N137" i="4" s="1"/>
  <c r="L137" i="4"/>
  <c r="O137" i="4" s="1"/>
  <c r="K136" i="4"/>
  <c r="N136" i="4" s="1"/>
  <c r="L136" i="4"/>
  <c r="O136" i="4" s="1"/>
  <c r="K135" i="4"/>
  <c r="N135" i="4" s="1"/>
  <c r="L135" i="4"/>
  <c r="O135" i="4" s="1"/>
  <c r="K134" i="4"/>
  <c r="N134" i="4" s="1"/>
  <c r="L134" i="4"/>
  <c r="O134" i="4" s="1"/>
  <c r="K133" i="4"/>
  <c r="N133" i="4" s="1"/>
  <c r="L133" i="4"/>
  <c r="O133" i="4" s="1"/>
  <c r="K132" i="4"/>
  <c r="N132" i="4" s="1"/>
  <c r="L132" i="4"/>
  <c r="O132" i="4" s="1"/>
  <c r="K131" i="4"/>
  <c r="N131" i="4" s="1"/>
  <c r="L131" i="4"/>
  <c r="O131" i="4" s="1"/>
  <c r="K130" i="4"/>
  <c r="N130" i="4" s="1"/>
  <c r="L130" i="4"/>
  <c r="O130" i="4" s="1"/>
  <c r="K129" i="4"/>
  <c r="N129" i="4" s="1"/>
  <c r="L129" i="4"/>
  <c r="O129" i="4" s="1"/>
  <c r="K128" i="4"/>
  <c r="N128" i="4" s="1"/>
  <c r="L128" i="4"/>
  <c r="O128" i="4" s="1"/>
  <c r="K127" i="4"/>
  <c r="N127" i="4" s="1"/>
  <c r="L127" i="4"/>
  <c r="O127" i="4" s="1"/>
  <c r="K126" i="4"/>
  <c r="N126" i="4" s="1"/>
  <c r="L126" i="4"/>
  <c r="O126" i="4" s="1"/>
  <c r="K125" i="4"/>
  <c r="N125" i="4" s="1"/>
  <c r="L125" i="4"/>
  <c r="O125" i="4" s="1"/>
  <c r="K124" i="4"/>
  <c r="N124" i="4" s="1"/>
  <c r="L124" i="4"/>
  <c r="O124" i="4" s="1"/>
  <c r="K123" i="4"/>
  <c r="N123" i="4" s="1"/>
  <c r="L123" i="4"/>
  <c r="O123" i="4" s="1"/>
  <c r="K122" i="4"/>
  <c r="N122" i="4" s="1"/>
  <c r="L122" i="4"/>
  <c r="O122" i="4" s="1"/>
  <c r="K121" i="4"/>
  <c r="N121" i="4" s="1"/>
  <c r="L121" i="4"/>
  <c r="O121" i="4" s="1"/>
  <c r="K120" i="4"/>
  <c r="N120" i="4" s="1"/>
  <c r="L120" i="4"/>
  <c r="O120" i="4" s="1"/>
  <c r="K119" i="4"/>
  <c r="N119" i="4" s="1"/>
  <c r="L119" i="4"/>
  <c r="O119" i="4" s="1"/>
  <c r="K118" i="4"/>
  <c r="N118" i="4" s="1"/>
  <c r="L118" i="4"/>
  <c r="O118" i="4" s="1"/>
  <c r="K117" i="4"/>
  <c r="N117" i="4" s="1"/>
  <c r="L117" i="4"/>
  <c r="O117" i="4" s="1"/>
  <c r="K116" i="4"/>
  <c r="N116" i="4" s="1"/>
  <c r="L116" i="4"/>
  <c r="O116" i="4" s="1"/>
  <c r="K115" i="4"/>
  <c r="N115" i="4" s="1"/>
  <c r="L115" i="4"/>
  <c r="O115" i="4" s="1"/>
  <c r="K114" i="4"/>
  <c r="N114" i="4" s="1"/>
  <c r="L114" i="4"/>
  <c r="O114" i="4" s="1"/>
  <c r="K113" i="4"/>
  <c r="N113" i="4" s="1"/>
  <c r="L113" i="4"/>
  <c r="O113" i="4" s="1"/>
  <c r="K112" i="4"/>
  <c r="N112" i="4" s="1"/>
  <c r="L112" i="4"/>
  <c r="O112" i="4" s="1"/>
  <c r="K111" i="4"/>
  <c r="N111" i="4" s="1"/>
  <c r="L111" i="4"/>
  <c r="O111" i="4" s="1"/>
  <c r="K110" i="4"/>
  <c r="N110" i="4" s="1"/>
  <c r="L110" i="4"/>
  <c r="O110" i="4" s="1"/>
  <c r="K109" i="4"/>
  <c r="N109" i="4" s="1"/>
  <c r="L109" i="4"/>
  <c r="O109" i="4" s="1"/>
  <c r="K108" i="4"/>
  <c r="N108" i="4" s="1"/>
  <c r="L108" i="4"/>
  <c r="O108" i="4" s="1"/>
  <c r="K107" i="4"/>
  <c r="N107" i="4" s="1"/>
  <c r="L107" i="4"/>
  <c r="O107" i="4" s="1"/>
  <c r="K106" i="4"/>
  <c r="N106" i="4" s="1"/>
  <c r="L106" i="4"/>
  <c r="O106" i="4" s="1"/>
  <c r="K105" i="4"/>
  <c r="N105" i="4" s="1"/>
  <c r="L105" i="4"/>
  <c r="O105" i="4" s="1"/>
  <c r="K104" i="4"/>
  <c r="N104" i="4" s="1"/>
  <c r="L104" i="4"/>
  <c r="O104" i="4" s="1"/>
  <c r="K103" i="4"/>
  <c r="N103" i="4" s="1"/>
  <c r="L103" i="4"/>
  <c r="O103" i="4" s="1"/>
  <c r="K102" i="4"/>
  <c r="N102" i="4" s="1"/>
  <c r="L102" i="4"/>
  <c r="O102" i="4" s="1"/>
  <c r="K101" i="4"/>
  <c r="N101" i="4" s="1"/>
  <c r="L101" i="4"/>
  <c r="O101" i="4" s="1"/>
  <c r="K100" i="4"/>
  <c r="N100" i="4" s="1"/>
  <c r="L100" i="4"/>
  <c r="O100" i="4" s="1"/>
  <c r="K99" i="4"/>
  <c r="N99" i="4" s="1"/>
  <c r="L99" i="4"/>
  <c r="O99" i="4" s="1"/>
  <c r="K98" i="4"/>
  <c r="N98" i="4" s="1"/>
  <c r="L98" i="4"/>
  <c r="O98" i="4" s="1"/>
  <c r="K97" i="4"/>
  <c r="N97" i="4" s="1"/>
  <c r="L97" i="4"/>
  <c r="O97" i="4" s="1"/>
  <c r="K96" i="4"/>
  <c r="N96" i="4" s="1"/>
  <c r="L96" i="4"/>
  <c r="O96" i="4" s="1"/>
  <c r="K95" i="4"/>
  <c r="N95" i="4" s="1"/>
  <c r="L95" i="4"/>
  <c r="O95" i="4" s="1"/>
  <c r="K94" i="4"/>
  <c r="N94" i="4" s="1"/>
  <c r="L94" i="4"/>
  <c r="O94" i="4" s="1"/>
  <c r="K93" i="4"/>
  <c r="N93" i="4" s="1"/>
  <c r="L93" i="4"/>
  <c r="O93" i="4" s="1"/>
  <c r="K92" i="4"/>
  <c r="N92" i="4" s="1"/>
  <c r="L92" i="4"/>
  <c r="O92" i="4" s="1"/>
  <c r="K91" i="4"/>
  <c r="N91" i="4" s="1"/>
  <c r="L91" i="4"/>
  <c r="O91" i="4" s="1"/>
  <c r="K90" i="4"/>
  <c r="N90" i="4" s="1"/>
  <c r="L90" i="4"/>
  <c r="O90" i="4" s="1"/>
  <c r="K89" i="4"/>
  <c r="N89" i="4" s="1"/>
  <c r="L89" i="4"/>
  <c r="O89" i="4" s="1"/>
  <c r="K88" i="4"/>
  <c r="N88" i="4" s="1"/>
  <c r="L88" i="4"/>
  <c r="O88" i="4" s="1"/>
  <c r="K87" i="4"/>
  <c r="N87" i="4" s="1"/>
  <c r="L87" i="4"/>
  <c r="O87" i="4" s="1"/>
  <c r="K86" i="4"/>
  <c r="N86" i="4" s="1"/>
  <c r="L86" i="4"/>
  <c r="O86" i="4" s="1"/>
  <c r="K85" i="4"/>
  <c r="N85" i="4" s="1"/>
  <c r="L85" i="4"/>
  <c r="O85" i="4" s="1"/>
  <c r="K84" i="4"/>
  <c r="N84" i="4" s="1"/>
  <c r="L84" i="4"/>
  <c r="O84" i="4" s="1"/>
  <c r="K83" i="4"/>
  <c r="N83" i="4" s="1"/>
  <c r="L83" i="4"/>
  <c r="O83" i="4" s="1"/>
  <c r="K82" i="4"/>
  <c r="N82" i="4" s="1"/>
  <c r="L82" i="4"/>
  <c r="O82" i="4" s="1"/>
  <c r="K81" i="4"/>
  <c r="N81" i="4" s="1"/>
  <c r="L81" i="4"/>
  <c r="O81" i="4" s="1"/>
  <c r="K80" i="4"/>
  <c r="N80" i="4" s="1"/>
  <c r="L80" i="4"/>
  <c r="O80" i="4" s="1"/>
  <c r="K79" i="4"/>
  <c r="N79" i="4" s="1"/>
  <c r="L79" i="4"/>
  <c r="O79" i="4" s="1"/>
  <c r="K78" i="4"/>
  <c r="N78" i="4" s="1"/>
  <c r="L78" i="4"/>
  <c r="O78" i="4" s="1"/>
  <c r="K77" i="4"/>
  <c r="N77" i="4" s="1"/>
  <c r="L77" i="4"/>
  <c r="O77" i="4" s="1"/>
  <c r="K76" i="4"/>
  <c r="N76" i="4" s="1"/>
  <c r="L76" i="4"/>
  <c r="O76" i="4" s="1"/>
  <c r="K75" i="4"/>
  <c r="N75" i="4" s="1"/>
  <c r="L75" i="4"/>
  <c r="O75" i="4" s="1"/>
  <c r="K74" i="4"/>
  <c r="N74" i="4" s="1"/>
  <c r="L74" i="4"/>
  <c r="O74" i="4" s="1"/>
  <c r="K73" i="4"/>
  <c r="N73" i="4" s="1"/>
  <c r="L73" i="4"/>
  <c r="O73" i="4" s="1"/>
  <c r="K72" i="4"/>
  <c r="N72" i="4" s="1"/>
  <c r="L72" i="4"/>
  <c r="O72" i="4" s="1"/>
  <c r="K71" i="4"/>
  <c r="N71" i="4" s="1"/>
  <c r="L71" i="4"/>
  <c r="O71" i="4" s="1"/>
  <c r="K70" i="4"/>
  <c r="N70" i="4" s="1"/>
  <c r="L70" i="4"/>
  <c r="O70" i="4" s="1"/>
  <c r="K69" i="4"/>
  <c r="N69" i="4" s="1"/>
  <c r="L69" i="4"/>
  <c r="O69" i="4" s="1"/>
  <c r="K68" i="4"/>
  <c r="N68" i="4" s="1"/>
  <c r="L68" i="4"/>
  <c r="O68" i="4" s="1"/>
  <c r="K67" i="4"/>
  <c r="N67" i="4" s="1"/>
  <c r="L67" i="4"/>
  <c r="O67" i="4" s="1"/>
  <c r="K66" i="4"/>
  <c r="N66" i="4" s="1"/>
  <c r="L66" i="4"/>
  <c r="O66" i="4" s="1"/>
  <c r="K65" i="4"/>
  <c r="N65" i="4" s="1"/>
  <c r="L65" i="4"/>
  <c r="O65" i="4" s="1"/>
  <c r="K64" i="4"/>
  <c r="N64" i="4" s="1"/>
  <c r="L64" i="4"/>
  <c r="O64" i="4" s="1"/>
  <c r="K63" i="4"/>
  <c r="N63" i="4" s="1"/>
  <c r="L63" i="4"/>
  <c r="O63" i="4" s="1"/>
  <c r="K62" i="4"/>
  <c r="N62" i="4" s="1"/>
  <c r="L62" i="4"/>
  <c r="O62" i="4" s="1"/>
  <c r="K61" i="4"/>
  <c r="N61" i="4" s="1"/>
  <c r="L61" i="4"/>
  <c r="O61" i="4" s="1"/>
  <c r="K60" i="4"/>
  <c r="N60" i="4" s="1"/>
  <c r="L60" i="4"/>
  <c r="O60" i="4" s="1"/>
  <c r="K59" i="4"/>
  <c r="N59" i="4" s="1"/>
  <c r="L59" i="4"/>
  <c r="O59" i="4" s="1"/>
  <c r="K58" i="4"/>
  <c r="N58" i="4" s="1"/>
  <c r="L58" i="4"/>
  <c r="O58" i="4" s="1"/>
  <c r="K57" i="4"/>
  <c r="N57" i="4" s="1"/>
  <c r="L57" i="4"/>
  <c r="O57" i="4" s="1"/>
  <c r="K56" i="4"/>
  <c r="N56" i="4" s="1"/>
  <c r="L56" i="4"/>
  <c r="O56" i="4" s="1"/>
  <c r="K55" i="4"/>
  <c r="N55" i="4" s="1"/>
  <c r="L55" i="4"/>
  <c r="O55" i="4" s="1"/>
  <c r="K54" i="4"/>
  <c r="N54" i="4" s="1"/>
  <c r="L54" i="4"/>
  <c r="O54" i="4" s="1"/>
  <c r="K53" i="4"/>
  <c r="N53" i="4" s="1"/>
  <c r="L53" i="4"/>
  <c r="O53" i="4" s="1"/>
  <c r="K52" i="4"/>
  <c r="N52" i="4" s="1"/>
  <c r="L52" i="4"/>
  <c r="O52" i="4" s="1"/>
  <c r="K51" i="4"/>
  <c r="N51" i="4" s="1"/>
  <c r="L51" i="4"/>
  <c r="O51" i="4" s="1"/>
  <c r="K50" i="4"/>
  <c r="N50" i="4" s="1"/>
  <c r="L50" i="4"/>
  <c r="O50" i="4" s="1"/>
  <c r="K49" i="4"/>
  <c r="N49" i="4" s="1"/>
  <c r="L49" i="4"/>
  <c r="O49" i="4" s="1"/>
  <c r="K48" i="4"/>
  <c r="N48" i="4" s="1"/>
  <c r="L48" i="4"/>
  <c r="O48" i="4" s="1"/>
  <c r="K47" i="4"/>
  <c r="N47" i="4" s="1"/>
  <c r="L47" i="4"/>
  <c r="O47" i="4" s="1"/>
  <c r="K46" i="4"/>
  <c r="N46" i="4" s="1"/>
  <c r="L46" i="4"/>
  <c r="O46" i="4" s="1"/>
  <c r="K45" i="4"/>
  <c r="N45" i="4" s="1"/>
  <c r="L45" i="4"/>
  <c r="O45" i="4" s="1"/>
  <c r="K44" i="4"/>
  <c r="N44" i="4" s="1"/>
  <c r="L44" i="4"/>
  <c r="O44" i="4" s="1"/>
  <c r="K43" i="4"/>
  <c r="N43" i="4" s="1"/>
  <c r="L43" i="4"/>
  <c r="O43" i="4" s="1"/>
  <c r="K42" i="4"/>
  <c r="N42" i="4" s="1"/>
  <c r="L42" i="4"/>
  <c r="O42" i="4" s="1"/>
  <c r="K41" i="4"/>
  <c r="N41" i="4" s="1"/>
  <c r="L41" i="4"/>
  <c r="O41" i="4" s="1"/>
  <c r="K40" i="4"/>
  <c r="N40" i="4" s="1"/>
  <c r="L40" i="4"/>
  <c r="O40" i="4" s="1"/>
  <c r="K39" i="4"/>
  <c r="N39" i="4" s="1"/>
  <c r="L39" i="4"/>
  <c r="O39" i="4" s="1"/>
  <c r="K38" i="4"/>
  <c r="N38" i="4" s="1"/>
  <c r="L38" i="4"/>
  <c r="O38" i="4" s="1"/>
  <c r="K37" i="4"/>
  <c r="N37" i="4" s="1"/>
  <c r="L37" i="4"/>
  <c r="O37" i="4" s="1"/>
  <c r="K36" i="4"/>
  <c r="N36" i="4" s="1"/>
  <c r="L36" i="4"/>
  <c r="O36" i="4" s="1"/>
  <c r="K35" i="4"/>
  <c r="N35" i="4" s="1"/>
  <c r="L35" i="4"/>
  <c r="O35" i="4" s="1"/>
  <c r="K34" i="4"/>
  <c r="N34" i="4" s="1"/>
  <c r="L34" i="4"/>
  <c r="O34" i="4" s="1"/>
  <c r="K33" i="4"/>
  <c r="N33" i="4" s="1"/>
  <c r="L33" i="4"/>
  <c r="O33" i="4" s="1"/>
  <c r="K32" i="4"/>
  <c r="N32" i="4" s="1"/>
  <c r="L32" i="4"/>
  <c r="O32" i="4" s="1"/>
  <c r="K31" i="4"/>
  <c r="N31" i="4" s="1"/>
  <c r="L31" i="4"/>
  <c r="O31" i="4" s="1"/>
  <c r="K30" i="4"/>
  <c r="N30" i="4" s="1"/>
  <c r="L30" i="4"/>
  <c r="O30" i="4" s="1"/>
  <c r="K29" i="4"/>
  <c r="N29" i="4" s="1"/>
  <c r="L29" i="4"/>
  <c r="O29" i="4" s="1"/>
  <c r="K28" i="4"/>
  <c r="N28" i="4" s="1"/>
  <c r="L28" i="4"/>
  <c r="O28" i="4" s="1"/>
  <c r="K27" i="4"/>
  <c r="N27" i="4" s="1"/>
  <c r="L27" i="4"/>
  <c r="O27" i="4" s="1"/>
  <c r="K26" i="4"/>
  <c r="N26" i="4" s="1"/>
  <c r="L26" i="4"/>
  <c r="O26" i="4" s="1"/>
  <c r="K25" i="4"/>
  <c r="N25" i="4" s="1"/>
  <c r="L25" i="4"/>
  <c r="O25" i="4" s="1"/>
  <c r="K24" i="4"/>
  <c r="N24" i="4" s="1"/>
  <c r="L24" i="4"/>
  <c r="O24" i="4" s="1"/>
  <c r="K23" i="4"/>
  <c r="N23" i="4" s="1"/>
  <c r="L23" i="4"/>
  <c r="O23" i="4" s="1"/>
  <c r="K22" i="4"/>
  <c r="N22" i="4" s="1"/>
  <c r="L22" i="4"/>
  <c r="O22" i="4" s="1"/>
  <c r="K21" i="4"/>
  <c r="N21" i="4" s="1"/>
  <c r="L21" i="4"/>
  <c r="O21" i="4" s="1"/>
  <c r="K20" i="4"/>
  <c r="N20" i="4" s="1"/>
  <c r="L20" i="4"/>
  <c r="O20" i="4" s="1"/>
  <c r="K19" i="4"/>
  <c r="N19" i="4" s="1"/>
  <c r="L19" i="4"/>
  <c r="O19" i="4" s="1"/>
  <c r="K18" i="4"/>
  <c r="N18" i="4" s="1"/>
  <c r="L18" i="4"/>
  <c r="O18" i="4" s="1"/>
  <c r="K17" i="4"/>
  <c r="N17" i="4" s="1"/>
  <c r="L17" i="4"/>
  <c r="O17" i="4" s="1"/>
  <c r="K16" i="4"/>
  <c r="N16" i="4" s="1"/>
  <c r="L16" i="4"/>
  <c r="O16" i="4" s="1"/>
  <c r="K15" i="4"/>
  <c r="N15" i="4" s="1"/>
  <c r="L15" i="4"/>
  <c r="O15" i="4" s="1"/>
  <c r="K14" i="4"/>
  <c r="N14" i="4" s="1"/>
  <c r="L14" i="4"/>
  <c r="O14" i="4" s="1"/>
  <c r="K13" i="4"/>
  <c r="N13" i="4" s="1"/>
  <c r="L13" i="4"/>
  <c r="O13" i="4" s="1"/>
  <c r="K12" i="4"/>
  <c r="N12" i="4" s="1"/>
  <c r="L12" i="4"/>
  <c r="O12" i="4" s="1"/>
  <c r="K11" i="4"/>
  <c r="N11" i="4" s="1"/>
  <c r="L11" i="4"/>
  <c r="O11" i="4" s="1"/>
  <c r="K10" i="4"/>
  <c r="N10" i="4" s="1"/>
  <c r="L10" i="4"/>
  <c r="O10" i="4" s="1"/>
  <c r="K9" i="4"/>
  <c r="N9" i="4" s="1"/>
  <c r="L9" i="4"/>
  <c r="O9" i="4" s="1"/>
  <c r="K8" i="4"/>
  <c r="N8" i="4" s="1"/>
  <c r="L8" i="4"/>
  <c r="O8" i="4" s="1"/>
  <c r="K7" i="4"/>
  <c r="N7" i="4" s="1"/>
  <c r="L7" i="4"/>
  <c r="O7" i="4" s="1"/>
  <c r="K6" i="4"/>
  <c r="N6" i="4" s="1"/>
  <c r="L6" i="4"/>
  <c r="O6" i="4" s="1"/>
  <c r="K5" i="4"/>
  <c r="N5" i="4" s="1"/>
  <c r="L5" i="4"/>
  <c r="O5" i="4" s="1"/>
  <c r="K4" i="4"/>
  <c r="N4" i="4" s="1"/>
  <c r="L4" i="4"/>
  <c r="O4" i="4" s="1"/>
  <c r="C14" i="2"/>
  <c r="E14" i="2" s="1"/>
  <c r="L3" i="4"/>
  <c r="O3" i="4" s="1"/>
  <c r="K3" i="4"/>
  <c r="N3" i="4" s="1"/>
  <c r="L2" i="4"/>
  <c r="O2" i="4" s="1"/>
  <c r="K2" i="4"/>
  <c r="N2" i="4" l="1"/>
  <c r="C13" i="2"/>
  <c r="C12" i="2"/>
  <c r="E12" i="2" s="1"/>
  <c r="C28" i="1" s="1"/>
  <c r="E13" i="2" l="1"/>
  <c r="C27" i="1"/>
</calcChain>
</file>

<file path=xl/sharedStrings.xml><?xml version="1.0" encoding="utf-8"?>
<sst xmlns="http://schemas.openxmlformats.org/spreadsheetml/2006/main" count="117" uniqueCount="102">
  <si>
    <t>Cold-Room Study: ESP32 Environmental Monitor</t>
  </si>
  <si>
    <t>Anmol Bhandohal · BSc Electrical Engineering (Co-op), University of Alberta</t>
  </si>
  <si>
    <t>Question</t>
  </si>
  <si>
    <t>One room in the house is noticeably colder. Is it (a) less sun, (b) worse insulation / air leaks, or (c) weaker heating?</t>
  </si>
  <si>
    <t>Status legend</t>
  </si>
  <si>
    <t>Measured (real data)</t>
  </si>
  <si>
    <t>Green-tinted cells/sheets: logged by the ESP32 or pulled from Open-Meteo</t>
  </si>
  <si>
    <t>PENDING</t>
  </si>
  <si>
    <t>Amber cells: formulas are already wired; paste the new logs and every result and chart updates</t>
  </si>
  <si>
    <t>Sheets</t>
  </si>
  <si>
    <t>RoomA_Night1</t>
  </si>
  <si>
    <t>960 one-minute rows, Oct 3–4 2026 (real). Dew point, dT/dt and indoor–outdoor ΔT are Excel formulas.</t>
  </si>
  <si>
    <t>RoomB_Pending</t>
  </si>
  <si>
    <t>Same columns, formulas pre-filled for 2,000 rows. Paste Room B logs into columns A–F.</t>
  </si>
  <si>
    <t>Weather_Hourly</t>
  </si>
  <si>
    <t>Open-Meteo hourly outdoor temperature, solar radiation and wind for Edmonton (real).</t>
  </si>
  <si>
    <t>Calibration_Pending</t>
  </si>
  <si>
    <t>24 h side-by-side run: offset, spread and PASS/FAIL against ±0.2 °C / ±2 % RH.</t>
  </si>
  <si>
    <t>Summary</t>
  </si>
  <si>
    <t>Per-room statistics, heat-loss slope (SLOPE/RSQ) and the Room B / Room A ratio.</t>
  </si>
  <si>
    <t>Furnace_Cycles</t>
  </si>
  <si>
    <t>Heating cycles detected from the sign of dT/dt (real): duration, rise, heating rate.</t>
  </si>
  <si>
    <t>ML_Forecast</t>
  </si>
  <si>
    <t>30-min-ahead forecast results, 5-fold time-series cross-validation (real).</t>
  </si>
  <si>
    <t>Dashboard</t>
  </si>
  <si>
    <t>Native Excel charts for every sheet above.</t>
  </si>
  <si>
    <t>Key results (live formulas)</t>
  </si>
  <si>
    <t>Room A mean temperature, night 1 (°C)</t>
  </si>
  <si>
    <t>Furnace cycles detected</t>
  </si>
  <si>
    <t>Average rise per cycle (°C)</t>
  </si>
  <si>
    <t>Best model MAE vs baseline</t>
  </si>
  <si>
    <t>Room A thermal time constant τ (h)</t>
  </si>
  <si>
    <t>Room B / Room A heat-loss ratio</t>
  </si>
  <si>
    <t>Room comparison</t>
  </si>
  <si>
    <t>Metric</t>
  </si>
  <si>
    <t>Room A (measured)</t>
  </si>
  <si>
    <t>Room B (pending)</t>
  </si>
  <si>
    <t>B vs A</t>
  </si>
  <si>
    <t>Mean temperature (°C)</t>
  </si>
  <si>
    <t>Minimum temperature (°C)</t>
  </si>
  <si>
    <t>Maximum temperature (°C)</t>
  </si>
  <si>
    <t>Temperature variability, SD (°C)</t>
  </si>
  <si>
    <t>Mean relative humidity (%)</t>
  </si>
  <si>
    <t>Mean dew point (°C)</t>
  </si>
  <si>
    <t>Mean indoor − outdoor ΔT (°C)</t>
  </si>
  <si>
    <t>Cooling rate per °C of ΔT, furnace off (1/h)</t>
  </si>
  <si>
    <t>Thermal time constant τ = 1 / rate (h)</t>
  </si>
  <si>
    <t>Share of time heating (%)</t>
  </si>
  <si>
    <t>Logged minutes</t>
  </si>
  <si>
    <t>How to read it</t>
  </si>
  <si>
    <t>• Heat-loss rate: while the furnace is off, a room cools at a rate proportional to the indoor–outdoor gap (dT/dt = −ΔT/τ). A higher rate (smaller τ) in Room B means it leaks more heat per degree → envelope (insulation / air leaks).</t>
  </si>
  <si>
    <t>• Repeat at night only (solar = 0) to rule out the sun; if the gap remains, it isn't the windows' orientation.</t>
  </si>
  <si>
    <t>• τ is estimated two ways: here, a through-origin fit of dT/dt = −ΔT/τ on furnace-off minutes; and in Python, a full RC least-squares fit with furnace and solar terms (night 1: 23.9 h). Post-furnace minutes also include warm air mixing out of the room, so the Excel estimate reads low; comparing rooms with the SAME method is what matters.</t>
  </si>
  <si>
    <t>• Room A night-1 values are real. Night 1 alone is too short for conclusions; the comparison needs 2–3 weeks of both rooms.</t>
  </si>
  <si>
    <t>Time</t>
  </si>
  <si>
    <t>Temp (°C)</t>
  </si>
  <si>
    <t>RH (%)</t>
  </si>
  <si>
    <t>Pressure (hPa)</t>
  </si>
  <si>
    <t>Outdoor (°C)</t>
  </si>
  <si>
    <t>Solar (W/m²)</t>
  </si>
  <si>
    <t>Dew point (°C)</t>
  </si>
  <si>
    <t>dT/dt (°C/h)</t>
  </si>
  <si>
    <t>Indoor − outdoor ΔT (°C)</t>
  </si>
  <si>
    <t>Phase</t>
  </si>
  <si>
    <t>ΔT, cooling only</t>
  </si>
  <si>
    <t>dT/dt, cooling only</t>
  </si>
  <si>
    <t>chart x (ΔT, cooling)</t>
  </si>
  <si>
    <t>chart y (dT/dt, cooling)</t>
  </si>
  <si>
    <t>PENDING: paste Room B logs (1-minute resampled) into A–F. Columns G–J and every Summary / Dashboard item update automatically.</t>
  </si>
  <si>
    <t>Hour</t>
  </si>
  <si>
    <t>Outdoor temp (°C)</t>
  </si>
  <si>
    <t>Wind (km/h)</t>
  </si>
  <si>
    <t>Board A temp (°C)</t>
  </si>
  <si>
    <t>Board B temp (°C)</t>
  </si>
  <si>
    <t>B − A (°C)</t>
  </si>
  <si>
    <t>Mean of A,B (°C)</t>
  </si>
  <si>
    <t>Board A RH (%)</t>
  </si>
  <si>
    <t>Board B RH (%)</t>
  </si>
  <si>
    <t>B − A RH (%)</t>
  </si>
  <si>
    <t>Calibration result</t>
  </si>
  <si>
    <t>Temperature offset, mean B−A (°C)</t>
  </si>
  <si>
    <t>Offset spread, SD (°C)</t>
  </si>
  <si>
    <t>Temperature check (±0.2 °C after correction)</t>
  </si>
  <si>
    <t>RH offset, mean B−A (%)</t>
  </si>
  <si>
    <t>RH check (±2 % after correction)</t>
  </si>
  <si>
    <t>Cycle</t>
  </si>
  <si>
    <t>Start</t>
  </si>
  <si>
    <t>End</t>
  </si>
  <si>
    <t>Duration (min)</t>
  </si>
  <si>
    <t>Rise (°C)</t>
  </si>
  <si>
    <t>Heating rate (°C/h)</t>
  </si>
  <si>
    <t>Minutes since previous start</t>
  </si>
  <si>
    <t>Average</t>
  </si>
  <si>
    <t>Fold</t>
  </si>
  <si>
    <t>Persistence (°C)</t>
  </si>
  <si>
    <t>Ridge regression (°C)</t>
  </si>
  <si>
    <t>Gradient-boosted trees (°C)</t>
  </si>
  <si>
    <t>Mean MAE</t>
  </si>
  <si>
    <t>SD</t>
  </si>
  <si>
    <t>vs baseline</t>
  </si>
  <si>
    <t>Method: 30-minute-ahead room temperature forecast, features = recent temperature dynamics + indoor–outdoor ΔT + solar; scikit-learn; TimeSeriesSplit (5 folds, 30-min gap) so the model never sees the future.</t>
  </si>
  <si>
    <t>Honest result: with one night of data the best model is only ~4 % better than 'temperature stays the same'. More nights → re-run tools/forecast_cv.py and paste new folds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</si>
</sst>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yyyy\-mm\-dd\ hh:mm"/>
    <numFmt numFmtId="166" formatCode="0.0"/>
    <numFmt numFmtId="167" formatCode="0.000"/>
    <numFmt numFmtId="168" formatCode="0.00&quot;×&quot;"/>
    <numFmt numFmtId="169" formatCode="0.0000"/>
    <numFmt numFmtId="170" formatCode="hh:mm"/>
    <numFmt numFmtId="171" formatCode="\+0.0%;\-0.0%"/>
  </numFmts>
  <fonts count="8">
    <font>
      <sz val="11"/>
      <color theme="1"/>
      <name val="Calibri"/>
      <family val="2"/>
      <scheme val="minor"/>
    </font>
    <font>
      <sz val="18"/>
      <color rgb="FF1F3A5F"/>
      <name val="Segoe UI Semibold"/>
    </font>
    <font>
      <sz val="10"/>
      <color rgb="FF8A94A6"/>
      <name val="Segoe UI"/>
    </font>
    <font>
      <sz val="12"/>
      <color rgb="FF1F3A5F"/>
      <name val="Segoe UI Semibold"/>
    </font>
    <font>
      <b/>
      <sz val="10"/>
      <name val="Segoe UI"/>
    </font>
    <font>
      <sz val="10"/>
      <name val="Segoe UI"/>
    </font>
    <font>
      <b/>
      <sz val="10"/>
      <color rgb="FFB7791F"/>
      <name val="Segoe UI"/>
    </font>
    <font>
      <b/>
      <sz val="11"/>
      <color rgb="FFFFFFFF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8F5F3"/>
      </patternFill>
    </fill>
    <fill>
      <patternFill patternType="solid">
        <fgColor rgb="FFFFF1D6"/>
      </patternFill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D5DCE5"/>
      </left>
      <right style="thin">
        <color rgb="FFD5DCE5"/>
      </right>
      <top style="thin">
        <color rgb="FFD5DCE5"/>
      </top>
      <bottom style="thin">
        <color rgb="FFD5DCE5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2" borderId="1" xfId="0" applyFont="1" applyFill="1" applyBorder="1"/>
    <xf numFmtId="0" fontId="6" fillId="3" borderId="1" xfId="0" applyFont="1" applyFill="1" applyBorder="1"/>
    <xf numFmtId="0" fontId="5" fillId="0" borderId="1" xfId="0" applyFont="1" applyBorder="1"/>
    <xf numFmtId="2" fontId="4" fillId="2" borderId="1" xfId="0" applyNumberFormat="1" applyFont="1" applyFill="1" applyBorder="1"/>
    <xf numFmtId="1" fontId="4" fillId="2" borderId="1" xfId="0" applyNumberFormat="1" applyFont="1" applyFill="1" applyBorder="1"/>
    <xf numFmtId="171" fontId="4" fillId="2" borderId="1" xfId="0" applyNumberFormat="1" applyFont="1" applyFill="1" applyBorder="1"/>
    <xf numFmtId="166" fontId="4" fillId="2" borderId="1" xfId="0" applyNumberFormat="1" applyFont="1" applyFill="1" applyBorder="1"/>
    <xf numFmtId="168" fontId="6" fillId="3" borderId="1" xfId="0" applyNumberFormat="1" applyFont="1" applyFill="1" applyBorder="1"/>
    <xf numFmtId="0" fontId="7" fillId="0" borderId="0" xfId="0" applyFont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2" fontId="0" fillId="2" borderId="1" xfId="0" applyNumberFormat="1" applyFill="1" applyBorder="1"/>
    <xf numFmtId="2" fontId="6" fillId="3" borderId="1" xfId="0" applyNumberFormat="1" applyFont="1" applyFill="1" applyBorder="1"/>
    <xf numFmtId="167" fontId="0" fillId="2" borderId="1" xfId="0" applyNumberFormat="1" applyFill="1" applyBorder="1"/>
    <xf numFmtId="167" fontId="6" fillId="3" borderId="1" xfId="0" applyNumberFormat="1" applyFont="1" applyFill="1" applyBorder="1"/>
    <xf numFmtId="166" fontId="0" fillId="2" borderId="1" xfId="0" applyNumberFormat="1" applyFill="1" applyBorder="1"/>
    <xf numFmtId="166" fontId="6" fillId="3" borderId="1" xfId="0" applyNumberFormat="1" applyFont="1" applyFill="1" applyBorder="1"/>
    <xf numFmtId="169" fontId="0" fillId="2" borderId="1" xfId="0" applyNumberFormat="1" applyFill="1" applyBorder="1"/>
    <xf numFmtId="169" fontId="6" fillId="3" borderId="1" xfId="0" applyNumberFormat="1" applyFont="1" applyFill="1" applyBorder="1"/>
    <xf numFmtId="3" fontId="0" fillId="2" borderId="1" xfId="0" applyNumberFormat="1" applyFill="1" applyBorder="1"/>
    <xf numFmtId="3" fontId="6" fillId="3" borderId="1" xfId="0" applyNumberFormat="1" applyFont="1" applyFill="1" applyBorder="1"/>
    <xf numFmtId="165" fontId="0" fillId="0" borderId="0" xfId="0" applyNumberFormat="1"/>
    <xf numFmtId="2" fontId="0" fillId="0" borderId="0" xfId="0" applyNumberFormat="1"/>
    <xf numFmtId="0" fontId="6" fillId="0" borderId="0" xfId="0" applyFont="1"/>
    <xf numFmtId="0" fontId="0" fillId="3" borderId="0" xfId="0" applyFill="1"/>
    <xf numFmtId="166" fontId="0" fillId="0" borderId="0" xfId="0" applyNumberFormat="1"/>
    <xf numFmtId="0" fontId="4" fillId="0" borderId="0" xfId="0" applyFont="1"/>
    <xf numFmtId="167" fontId="6" fillId="3" borderId="0" xfId="0" applyNumberFormat="1" applyFont="1" applyFill="1"/>
    <xf numFmtId="170" fontId="0" fillId="0" borderId="0" xfId="0" applyNumberFormat="1"/>
    <xf numFmtId="1" fontId="0" fillId="0" borderId="0" xfId="0" applyNumberFormat="1"/>
    <xf numFmtId="2" fontId="4" fillId="0" borderId="0" xfId="0" applyNumberFormat="1" applyFont="1"/>
    <xf numFmtId="167" fontId="4" fillId="0" borderId="0" xfId="0" applyNumberFormat="1" applyFont="1"/>
    <xf numFmtId="171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CA"/>
              <a:t>Room vs outdoor temperature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Room A (measured)</c:v>
          </c:tx>
          <c:spPr>
            <a:ln w="22000">
              <a:solidFill>
                <a:srgbClr val="1F3A5F"/>
              </a:solidFill>
              <a:prstDash val="solid"/>
            </a:ln>
          </c:spPr>
          <c:marker>
            <c:symbol val="none"/>
          </c:marker>
          <c:xVal>
            <c:numRef>
              <c:f>RoomA_Night1!$A$2:$A$961</c:f>
              <c:numCache>
                <c:formatCode>yyyy\-mm\-dd\ hh:mm</c:formatCode>
                <c:ptCount val="960"/>
                <c:pt idx="0">
                  <c:v>46298.977083333331</c:v>
                </c:pt>
                <c:pt idx="1">
                  <c:v>46298.977777777778</c:v>
                </c:pt>
                <c:pt idx="2">
                  <c:v>46298.978472222218</c:v>
                </c:pt>
                <c:pt idx="3">
                  <c:v>46298.979166666657</c:v>
                </c:pt>
                <c:pt idx="4">
                  <c:v>46298.979861111111</c:v>
                </c:pt>
                <c:pt idx="5">
                  <c:v>46298.980555555558</c:v>
                </c:pt>
                <c:pt idx="6">
                  <c:v>46298.981249999997</c:v>
                </c:pt>
                <c:pt idx="7">
                  <c:v>46298.981944444437</c:v>
                </c:pt>
                <c:pt idx="8">
                  <c:v>46298.982638888891</c:v>
                </c:pt>
                <c:pt idx="9">
                  <c:v>46298.98333333333</c:v>
                </c:pt>
                <c:pt idx="10">
                  <c:v>46298.984027777777</c:v>
                </c:pt>
                <c:pt idx="11">
                  <c:v>46298.984722222223</c:v>
                </c:pt>
                <c:pt idx="12">
                  <c:v>46298.98541666667</c:v>
                </c:pt>
                <c:pt idx="13">
                  <c:v>46298.986111111109</c:v>
                </c:pt>
                <c:pt idx="14">
                  <c:v>46298.986805555563</c:v>
                </c:pt>
                <c:pt idx="15">
                  <c:v>46298.987500000003</c:v>
                </c:pt>
                <c:pt idx="16">
                  <c:v>46298.988194444442</c:v>
                </c:pt>
                <c:pt idx="17">
                  <c:v>46298.988888888889</c:v>
                </c:pt>
                <c:pt idx="18">
                  <c:v>46298.989583333343</c:v>
                </c:pt>
                <c:pt idx="19">
                  <c:v>46298.990277777782</c:v>
                </c:pt>
                <c:pt idx="20">
                  <c:v>46298.990972222222</c:v>
                </c:pt>
                <c:pt idx="21">
                  <c:v>46298.991666666669</c:v>
                </c:pt>
                <c:pt idx="22">
                  <c:v>46298.992361111108</c:v>
                </c:pt>
                <c:pt idx="23">
                  <c:v>46298.993055555547</c:v>
                </c:pt>
                <c:pt idx="24">
                  <c:v>46298.993750000001</c:v>
                </c:pt>
                <c:pt idx="25">
                  <c:v>46298.994444444441</c:v>
                </c:pt>
                <c:pt idx="26">
                  <c:v>46298.995138888888</c:v>
                </c:pt>
                <c:pt idx="27">
                  <c:v>46298.995833333327</c:v>
                </c:pt>
                <c:pt idx="28">
                  <c:v>46298.996527777781</c:v>
                </c:pt>
                <c:pt idx="29">
                  <c:v>46298.99722222222</c:v>
                </c:pt>
                <c:pt idx="30">
                  <c:v>46298.997916666667</c:v>
                </c:pt>
                <c:pt idx="31">
                  <c:v>46298.998611111107</c:v>
                </c:pt>
                <c:pt idx="32">
                  <c:v>46298.999305555553</c:v>
                </c:pt>
                <c:pt idx="33">
                  <c:v>46299</c:v>
                </c:pt>
                <c:pt idx="34">
                  <c:v>46299.000694444447</c:v>
                </c:pt>
                <c:pt idx="35">
                  <c:v>46299.001388888893</c:v>
                </c:pt>
                <c:pt idx="36">
                  <c:v>46299.002083333333</c:v>
                </c:pt>
                <c:pt idx="37">
                  <c:v>46299.00277777778</c:v>
                </c:pt>
                <c:pt idx="38">
                  <c:v>46299.003472222219</c:v>
                </c:pt>
                <c:pt idx="39">
                  <c:v>46299.004166666673</c:v>
                </c:pt>
                <c:pt idx="40">
                  <c:v>46299.004861111112</c:v>
                </c:pt>
                <c:pt idx="41">
                  <c:v>46299.005555555559</c:v>
                </c:pt>
                <c:pt idx="42">
                  <c:v>46299.006249999999</c:v>
                </c:pt>
                <c:pt idx="43">
                  <c:v>46299.006944444453</c:v>
                </c:pt>
                <c:pt idx="44">
                  <c:v>46299.007638888892</c:v>
                </c:pt>
                <c:pt idx="45">
                  <c:v>46299.008333333331</c:v>
                </c:pt>
                <c:pt idx="46">
                  <c:v>46299.009027777778</c:v>
                </c:pt>
                <c:pt idx="47">
                  <c:v>46299.009722222218</c:v>
                </c:pt>
                <c:pt idx="48">
                  <c:v>46299.010416666657</c:v>
                </c:pt>
                <c:pt idx="49">
                  <c:v>46299.011111111111</c:v>
                </c:pt>
                <c:pt idx="50">
                  <c:v>46299.011805555558</c:v>
                </c:pt>
                <c:pt idx="51">
                  <c:v>46299.012499999997</c:v>
                </c:pt>
                <c:pt idx="52">
                  <c:v>46299.013194444437</c:v>
                </c:pt>
                <c:pt idx="53">
                  <c:v>46299.013888888891</c:v>
                </c:pt>
                <c:pt idx="54">
                  <c:v>46299.01458333333</c:v>
                </c:pt>
                <c:pt idx="55">
                  <c:v>46299.015277777777</c:v>
                </c:pt>
                <c:pt idx="56">
                  <c:v>46299.015972222223</c:v>
                </c:pt>
                <c:pt idx="57">
                  <c:v>46299.01666666667</c:v>
                </c:pt>
                <c:pt idx="58">
                  <c:v>46299.017361111109</c:v>
                </c:pt>
                <c:pt idx="59">
                  <c:v>46299.018055555563</c:v>
                </c:pt>
                <c:pt idx="60">
                  <c:v>46299.018750000003</c:v>
                </c:pt>
                <c:pt idx="61">
                  <c:v>46299.019444444442</c:v>
                </c:pt>
                <c:pt idx="62">
                  <c:v>46299.020138888889</c:v>
                </c:pt>
                <c:pt idx="63">
                  <c:v>46299.020833333343</c:v>
                </c:pt>
                <c:pt idx="64">
                  <c:v>46299.021527777782</c:v>
                </c:pt>
                <c:pt idx="65">
                  <c:v>46299.022222222222</c:v>
                </c:pt>
                <c:pt idx="66">
                  <c:v>46299.022916666669</c:v>
                </c:pt>
                <c:pt idx="67">
                  <c:v>46299.023611111108</c:v>
                </c:pt>
                <c:pt idx="68">
                  <c:v>46299.024305555547</c:v>
                </c:pt>
                <c:pt idx="69">
                  <c:v>46299.025000000001</c:v>
                </c:pt>
                <c:pt idx="70">
                  <c:v>46299.025694444441</c:v>
                </c:pt>
                <c:pt idx="71">
                  <c:v>46299.026388888888</c:v>
                </c:pt>
                <c:pt idx="72">
                  <c:v>46299.027083333327</c:v>
                </c:pt>
                <c:pt idx="73">
                  <c:v>46299.027777777781</c:v>
                </c:pt>
                <c:pt idx="74">
                  <c:v>46299.02847222222</c:v>
                </c:pt>
                <c:pt idx="75">
                  <c:v>46299.029166666667</c:v>
                </c:pt>
                <c:pt idx="76">
                  <c:v>46299.029861111107</c:v>
                </c:pt>
                <c:pt idx="77">
                  <c:v>46299.030555555553</c:v>
                </c:pt>
                <c:pt idx="78">
                  <c:v>46299.03125</c:v>
                </c:pt>
                <c:pt idx="79">
                  <c:v>46299.031944444447</c:v>
                </c:pt>
                <c:pt idx="80">
                  <c:v>46299.032638888893</c:v>
                </c:pt>
                <c:pt idx="81">
                  <c:v>46299.033333333333</c:v>
                </c:pt>
                <c:pt idx="82">
                  <c:v>46299.03402777778</c:v>
                </c:pt>
                <c:pt idx="83">
                  <c:v>46299.034722222219</c:v>
                </c:pt>
                <c:pt idx="84">
                  <c:v>46299.035416666673</c:v>
                </c:pt>
                <c:pt idx="85">
                  <c:v>46299.036111111112</c:v>
                </c:pt>
                <c:pt idx="86">
                  <c:v>46299.036805555559</c:v>
                </c:pt>
                <c:pt idx="87">
                  <c:v>46299.037499999999</c:v>
                </c:pt>
                <c:pt idx="88">
                  <c:v>46299.038194444453</c:v>
                </c:pt>
                <c:pt idx="89">
                  <c:v>46299.038888888892</c:v>
                </c:pt>
                <c:pt idx="90">
                  <c:v>46299.039583333331</c:v>
                </c:pt>
                <c:pt idx="91">
                  <c:v>46299.040277777778</c:v>
                </c:pt>
                <c:pt idx="92">
                  <c:v>46299.040972222218</c:v>
                </c:pt>
                <c:pt idx="93">
                  <c:v>46299.041666666657</c:v>
                </c:pt>
                <c:pt idx="94">
                  <c:v>46299.042361111111</c:v>
                </c:pt>
                <c:pt idx="95">
                  <c:v>46299.043055555558</c:v>
                </c:pt>
                <c:pt idx="96">
                  <c:v>46299.043749999997</c:v>
                </c:pt>
                <c:pt idx="97">
                  <c:v>46299.044444444437</c:v>
                </c:pt>
                <c:pt idx="98">
                  <c:v>46299.045138888891</c:v>
                </c:pt>
                <c:pt idx="99">
                  <c:v>46299.04583333333</c:v>
                </c:pt>
                <c:pt idx="100">
                  <c:v>46299.046527777777</c:v>
                </c:pt>
                <c:pt idx="101">
                  <c:v>46299.047222222223</c:v>
                </c:pt>
                <c:pt idx="102">
                  <c:v>46299.04791666667</c:v>
                </c:pt>
                <c:pt idx="103">
                  <c:v>46299.048611111109</c:v>
                </c:pt>
                <c:pt idx="104">
                  <c:v>46299.049305555563</c:v>
                </c:pt>
                <c:pt idx="105">
                  <c:v>46299.05</c:v>
                </c:pt>
                <c:pt idx="106">
                  <c:v>46299.050694444442</c:v>
                </c:pt>
                <c:pt idx="107">
                  <c:v>46299.051388888889</c:v>
                </c:pt>
                <c:pt idx="108">
                  <c:v>46299.052083333343</c:v>
                </c:pt>
                <c:pt idx="109">
                  <c:v>46299.052777777782</c:v>
                </c:pt>
                <c:pt idx="110">
                  <c:v>46299.053472222222</c:v>
                </c:pt>
                <c:pt idx="111">
                  <c:v>46299.054166666669</c:v>
                </c:pt>
                <c:pt idx="112">
                  <c:v>46299.054861111108</c:v>
                </c:pt>
                <c:pt idx="113">
                  <c:v>46299.055555555547</c:v>
                </c:pt>
                <c:pt idx="114">
                  <c:v>46299.056250000001</c:v>
                </c:pt>
                <c:pt idx="115">
                  <c:v>46299.056944444441</c:v>
                </c:pt>
                <c:pt idx="116">
                  <c:v>46299.057638888888</c:v>
                </c:pt>
                <c:pt idx="117">
                  <c:v>46299.058333333327</c:v>
                </c:pt>
                <c:pt idx="118">
                  <c:v>46299.059027777781</c:v>
                </c:pt>
                <c:pt idx="119">
                  <c:v>46299.05972222222</c:v>
                </c:pt>
                <c:pt idx="120">
                  <c:v>46299.060416666667</c:v>
                </c:pt>
                <c:pt idx="121">
                  <c:v>46299.061111111107</c:v>
                </c:pt>
                <c:pt idx="122">
                  <c:v>46299.061805555553</c:v>
                </c:pt>
                <c:pt idx="123">
                  <c:v>46299.0625</c:v>
                </c:pt>
                <c:pt idx="124">
                  <c:v>46299.063194444447</c:v>
                </c:pt>
                <c:pt idx="125">
                  <c:v>46299.063888888893</c:v>
                </c:pt>
                <c:pt idx="126">
                  <c:v>46299.064583333333</c:v>
                </c:pt>
                <c:pt idx="127">
                  <c:v>46299.06527777778</c:v>
                </c:pt>
                <c:pt idx="128">
                  <c:v>46299.065972222219</c:v>
                </c:pt>
                <c:pt idx="129">
                  <c:v>46299.066666666673</c:v>
                </c:pt>
                <c:pt idx="130">
                  <c:v>46299.067361111112</c:v>
                </c:pt>
                <c:pt idx="131">
                  <c:v>46299.068055555559</c:v>
                </c:pt>
                <c:pt idx="132">
                  <c:v>46299.068749999999</c:v>
                </c:pt>
                <c:pt idx="133">
                  <c:v>46299.069444444453</c:v>
                </c:pt>
                <c:pt idx="134">
                  <c:v>46299.070138888892</c:v>
                </c:pt>
                <c:pt idx="135">
                  <c:v>46299.070833333331</c:v>
                </c:pt>
                <c:pt idx="136">
                  <c:v>46299.071527777778</c:v>
                </c:pt>
                <c:pt idx="137">
                  <c:v>46299.072222222218</c:v>
                </c:pt>
                <c:pt idx="138">
                  <c:v>46299.072916666657</c:v>
                </c:pt>
                <c:pt idx="139">
                  <c:v>46299.073611111111</c:v>
                </c:pt>
                <c:pt idx="140">
                  <c:v>46299.074305555558</c:v>
                </c:pt>
                <c:pt idx="141">
                  <c:v>46299.074999999997</c:v>
                </c:pt>
                <c:pt idx="142">
                  <c:v>46299.075694444437</c:v>
                </c:pt>
                <c:pt idx="143">
                  <c:v>46299.076388888891</c:v>
                </c:pt>
                <c:pt idx="144">
                  <c:v>46299.07708333333</c:v>
                </c:pt>
                <c:pt idx="145">
                  <c:v>46299.077777777777</c:v>
                </c:pt>
                <c:pt idx="146">
                  <c:v>46299.078472222223</c:v>
                </c:pt>
                <c:pt idx="147">
                  <c:v>46299.07916666667</c:v>
                </c:pt>
                <c:pt idx="148">
                  <c:v>46299.079861111109</c:v>
                </c:pt>
                <c:pt idx="149">
                  <c:v>46299.080555555563</c:v>
                </c:pt>
                <c:pt idx="150">
                  <c:v>46299.081250000003</c:v>
                </c:pt>
                <c:pt idx="151">
                  <c:v>46299.081944444442</c:v>
                </c:pt>
                <c:pt idx="152">
                  <c:v>46299.082638888889</c:v>
                </c:pt>
                <c:pt idx="153">
                  <c:v>46299.083333333343</c:v>
                </c:pt>
                <c:pt idx="154">
                  <c:v>46299.084027777782</c:v>
                </c:pt>
                <c:pt idx="155">
                  <c:v>46299.084722222222</c:v>
                </c:pt>
                <c:pt idx="156">
                  <c:v>46299.085416666669</c:v>
                </c:pt>
                <c:pt idx="157">
                  <c:v>46299.086111111108</c:v>
                </c:pt>
                <c:pt idx="158">
                  <c:v>46299.086805555547</c:v>
                </c:pt>
                <c:pt idx="159">
                  <c:v>46299.087500000001</c:v>
                </c:pt>
                <c:pt idx="160">
                  <c:v>46299.088194444441</c:v>
                </c:pt>
                <c:pt idx="161">
                  <c:v>46299.088888888888</c:v>
                </c:pt>
                <c:pt idx="162">
                  <c:v>46299.089583333327</c:v>
                </c:pt>
                <c:pt idx="163">
                  <c:v>46299.090277777781</c:v>
                </c:pt>
                <c:pt idx="164">
                  <c:v>46299.09097222222</c:v>
                </c:pt>
                <c:pt idx="165">
                  <c:v>46299.091666666667</c:v>
                </c:pt>
                <c:pt idx="166">
                  <c:v>46299.092361111107</c:v>
                </c:pt>
                <c:pt idx="167">
                  <c:v>46299.093055555553</c:v>
                </c:pt>
                <c:pt idx="168">
                  <c:v>46299.09375</c:v>
                </c:pt>
                <c:pt idx="169">
                  <c:v>46299.094444444447</c:v>
                </c:pt>
                <c:pt idx="170">
                  <c:v>46299.095138888893</c:v>
                </c:pt>
                <c:pt idx="171">
                  <c:v>46299.095833333333</c:v>
                </c:pt>
                <c:pt idx="172">
                  <c:v>46299.09652777778</c:v>
                </c:pt>
                <c:pt idx="173">
                  <c:v>46299.097222222219</c:v>
                </c:pt>
                <c:pt idx="174">
                  <c:v>46299.097916666673</c:v>
                </c:pt>
                <c:pt idx="175">
                  <c:v>46299.098611111112</c:v>
                </c:pt>
                <c:pt idx="176">
                  <c:v>46299.099305555559</c:v>
                </c:pt>
                <c:pt idx="177">
                  <c:v>46299.1</c:v>
                </c:pt>
                <c:pt idx="178">
                  <c:v>46299.100694444453</c:v>
                </c:pt>
                <c:pt idx="179">
                  <c:v>46299.101388888892</c:v>
                </c:pt>
                <c:pt idx="180">
                  <c:v>46299.102083333331</c:v>
                </c:pt>
                <c:pt idx="181">
                  <c:v>46299.102777777778</c:v>
                </c:pt>
                <c:pt idx="182">
                  <c:v>46299.103472222218</c:v>
                </c:pt>
                <c:pt idx="183">
                  <c:v>46299.104166666657</c:v>
                </c:pt>
                <c:pt idx="184">
                  <c:v>46299.104861111111</c:v>
                </c:pt>
                <c:pt idx="185">
                  <c:v>46299.105555555558</c:v>
                </c:pt>
                <c:pt idx="186">
                  <c:v>46299.106249999997</c:v>
                </c:pt>
                <c:pt idx="187">
                  <c:v>46299.106944444437</c:v>
                </c:pt>
                <c:pt idx="188">
                  <c:v>46299.107638888891</c:v>
                </c:pt>
                <c:pt idx="189">
                  <c:v>46299.10833333333</c:v>
                </c:pt>
                <c:pt idx="190">
                  <c:v>46299.109027777777</c:v>
                </c:pt>
                <c:pt idx="191">
                  <c:v>46299.109722222223</c:v>
                </c:pt>
                <c:pt idx="192">
                  <c:v>46299.11041666667</c:v>
                </c:pt>
                <c:pt idx="193">
                  <c:v>46299.111111111109</c:v>
                </c:pt>
                <c:pt idx="194">
                  <c:v>46299.111805555563</c:v>
                </c:pt>
                <c:pt idx="195">
                  <c:v>46299.112500000003</c:v>
                </c:pt>
                <c:pt idx="196">
                  <c:v>46299.113194444442</c:v>
                </c:pt>
                <c:pt idx="197">
                  <c:v>46299.113888888889</c:v>
                </c:pt>
                <c:pt idx="198">
                  <c:v>46299.114583333343</c:v>
                </c:pt>
                <c:pt idx="199">
                  <c:v>46299.115277777782</c:v>
                </c:pt>
                <c:pt idx="200">
                  <c:v>46299.115972222222</c:v>
                </c:pt>
                <c:pt idx="201">
                  <c:v>46299.116666666669</c:v>
                </c:pt>
                <c:pt idx="202">
                  <c:v>46299.117361111108</c:v>
                </c:pt>
                <c:pt idx="203">
                  <c:v>46299.118055555547</c:v>
                </c:pt>
                <c:pt idx="204">
                  <c:v>46299.118750000001</c:v>
                </c:pt>
                <c:pt idx="205">
                  <c:v>46299.119444444441</c:v>
                </c:pt>
                <c:pt idx="206">
                  <c:v>46299.120138888888</c:v>
                </c:pt>
                <c:pt idx="207">
                  <c:v>46299.120833333327</c:v>
                </c:pt>
                <c:pt idx="208">
                  <c:v>46299.121527777781</c:v>
                </c:pt>
                <c:pt idx="209">
                  <c:v>46299.12222222222</c:v>
                </c:pt>
                <c:pt idx="210">
                  <c:v>46299.122916666667</c:v>
                </c:pt>
                <c:pt idx="211">
                  <c:v>46299.123611111107</c:v>
                </c:pt>
                <c:pt idx="212">
                  <c:v>46299.124305555553</c:v>
                </c:pt>
                <c:pt idx="213">
                  <c:v>46299.125</c:v>
                </c:pt>
                <c:pt idx="214">
                  <c:v>46299.125694444447</c:v>
                </c:pt>
                <c:pt idx="215">
                  <c:v>46299.126388888893</c:v>
                </c:pt>
                <c:pt idx="216">
                  <c:v>46299.127083333333</c:v>
                </c:pt>
                <c:pt idx="217">
                  <c:v>46299.12777777778</c:v>
                </c:pt>
                <c:pt idx="218">
                  <c:v>46299.128472222219</c:v>
                </c:pt>
                <c:pt idx="219">
                  <c:v>46299.129166666673</c:v>
                </c:pt>
                <c:pt idx="220">
                  <c:v>46299.129861111112</c:v>
                </c:pt>
                <c:pt idx="221">
                  <c:v>46299.130555555559</c:v>
                </c:pt>
                <c:pt idx="222">
                  <c:v>46299.131249999999</c:v>
                </c:pt>
                <c:pt idx="223">
                  <c:v>46299.131944444453</c:v>
                </c:pt>
                <c:pt idx="224">
                  <c:v>46299.132638888892</c:v>
                </c:pt>
                <c:pt idx="225">
                  <c:v>46299.133333333331</c:v>
                </c:pt>
                <c:pt idx="226">
                  <c:v>46299.134027777778</c:v>
                </c:pt>
                <c:pt idx="227">
                  <c:v>46299.134722222218</c:v>
                </c:pt>
                <c:pt idx="228">
                  <c:v>46299.135416666657</c:v>
                </c:pt>
                <c:pt idx="229">
                  <c:v>46299.136111111111</c:v>
                </c:pt>
                <c:pt idx="230">
                  <c:v>46299.136805555558</c:v>
                </c:pt>
                <c:pt idx="231">
                  <c:v>46299.137499999997</c:v>
                </c:pt>
                <c:pt idx="232">
                  <c:v>46299.138194444437</c:v>
                </c:pt>
                <c:pt idx="233">
                  <c:v>46299.138888888891</c:v>
                </c:pt>
                <c:pt idx="234">
                  <c:v>46299.13958333333</c:v>
                </c:pt>
                <c:pt idx="235">
                  <c:v>46299.140277777777</c:v>
                </c:pt>
                <c:pt idx="236">
                  <c:v>46299.140972222223</c:v>
                </c:pt>
                <c:pt idx="237">
                  <c:v>46299.14166666667</c:v>
                </c:pt>
                <c:pt idx="238">
                  <c:v>46299.142361111109</c:v>
                </c:pt>
                <c:pt idx="239">
                  <c:v>46299.143055555563</c:v>
                </c:pt>
                <c:pt idx="240">
                  <c:v>46299.143750000003</c:v>
                </c:pt>
                <c:pt idx="241">
                  <c:v>46299.144444444442</c:v>
                </c:pt>
                <c:pt idx="242">
                  <c:v>46299.145138888889</c:v>
                </c:pt>
                <c:pt idx="243">
                  <c:v>46299.145833333343</c:v>
                </c:pt>
                <c:pt idx="244">
                  <c:v>46299.146527777782</c:v>
                </c:pt>
                <c:pt idx="245">
                  <c:v>46299.147222222222</c:v>
                </c:pt>
                <c:pt idx="246">
                  <c:v>46299.147916666669</c:v>
                </c:pt>
                <c:pt idx="247">
                  <c:v>46299.148611111108</c:v>
                </c:pt>
                <c:pt idx="248">
                  <c:v>46299.149305555547</c:v>
                </c:pt>
                <c:pt idx="249">
                  <c:v>46299.15</c:v>
                </c:pt>
                <c:pt idx="250">
                  <c:v>46299.150694444441</c:v>
                </c:pt>
                <c:pt idx="251">
                  <c:v>46299.151388888888</c:v>
                </c:pt>
                <c:pt idx="252">
                  <c:v>46299.152083333327</c:v>
                </c:pt>
                <c:pt idx="253">
                  <c:v>46299.152777777781</c:v>
                </c:pt>
                <c:pt idx="254">
                  <c:v>46299.15347222222</c:v>
                </c:pt>
                <c:pt idx="255">
                  <c:v>46299.154166666667</c:v>
                </c:pt>
                <c:pt idx="256">
                  <c:v>46299.154861111107</c:v>
                </c:pt>
                <c:pt idx="257">
                  <c:v>46299.155555555553</c:v>
                </c:pt>
                <c:pt idx="258">
                  <c:v>46299.15625</c:v>
                </c:pt>
                <c:pt idx="259">
                  <c:v>46299.156944444447</c:v>
                </c:pt>
                <c:pt idx="260">
                  <c:v>46299.157638888893</c:v>
                </c:pt>
                <c:pt idx="261">
                  <c:v>46299.158333333333</c:v>
                </c:pt>
                <c:pt idx="262">
                  <c:v>46299.15902777778</c:v>
                </c:pt>
                <c:pt idx="263">
                  <c:v>46299.159722222219</c:v>
                </c:pt>
                <c:pt idx="264">
                  <c:v>46299.160416666673</c:v>
                </c:pt>
                <c:pt idx="265">
                  <c:v>46299.161111111112</c:v>
                </c:pt>
                <c:pt idx="266">
                  <c:v>46299.161805555559</c:v>
                </c:pt>
                <c:pt idx="267">
                  <c:v>46299.162499999999</c:v>
                </c:pt>
                <c:pt idx="268">
                  <c:v>46299.163194444453</c:v>
                </c:pt>
                <c:pt idx="269">
                  <c:v>46299.163888888892</c:v>
                </c:pt>
                <c:pt idx="270">
                  <c:v>46299.164583333331</c:v>
                </c:pt>
                <c:pt idx="271">
                  <c:v>46299.165277777778</c:v>
                </c:pt>
                <c:pt idx="272">
                  <c:v>46299.165972222218</c:v>
                </c:pt>
                <c:pt idx="273">
                  <c:v>46299.166666666657</c:v>
                </c:pt>
                <c:pt idx="274">
                  <c:v>46299.167361111111</c:v>
                </c:pt>
                <c:pt idx="275">
                  <c:v>46299.168055555558</c:v>
                </c:pt>
                <c:pt idx="276">
                  <c:v>46299.168749999997</c:v>
                </c:pt>
                <c:pt idx="277">
                  <c:v>46299.169444444437</c:v>
                </c:pt>
                <c:pt idx="278">
                  <c:v>46299.170138888891</c:v>
                </c:pt>
                <c:pt idx="279">
                  <c:v>46299.17083333333</c:v>
                </c:pt>
                <c:pt idx="280">
                  <c:v>46299.171527777777</c:v>
                </c:pt>
                <c:pt idx="281">
                  <c:v>46299.172222222223</c:v>
                </c:pt>
                <c:pt idx="282">
                  <c:v>46299.17291666667</c:v>
                </c:pt>
                <c:pt idx="283">
                  <c:v>46299.173611111109</c:v>
                </c:pt>
                <c:pt idx="284">
                  <c:v>46299.174305555563</c:v>
                </c:pt>
                <c:pt idx="285">
                  <c:v>46299.175000000003</c:v>
                </c:pt>
                <c:pt idx="286">
                  <c:v>46299.175694444442</c:v>
                </c:pt>
                <c:pt idx="287">
                  <c:v>46299.176388888889</c:v>
                </c:pt>
                <c:pt idx="288">
                  <c:v>46299.177083333343</c:v>
                </c:pt>
                <c:pt idx="289">
                  <c:v>46299.177777777782</c:v>
                </c:pt>
                <c:pt idx="290">
                  <c:v>46299.178472222222</c:v>
                </c:pt>
                <c:pt idx="291">
                  <c:v>46299.179166666669</c:v>
                </c:pt>
                <c:pt idx="292">
                  <c:v>46299.179861111108</c:v>
                </c:pt>
                <c:pt idx="293">
                  <c:v>46299.180555555547</c:v>
                </c:pt>
                <c:pt idx="294">
                  <c:v>46299.181250000001</c:v>
                </c:pt>
                <c:pt idx="295">
                  <c:v>46299.181944444441</c:v>
                </c:pt>
                <c:pt idx="296">
                  <c:v>46299.182638888888</c:v>
                </c:pt>
                <c:pt idx="297">
                  <c:v>46299.183333333327</c:v>
                </c:pt>
                <c:pt idx="298">
                  <c:v>46299.184027777781</c:v>
                </c:pt>
                <c:pt idx="299">
                  <c:v>46299.18472222222</c:v>
                </c:pt>
                <c:pt idx="300">
                  <c:v>46299.185416666667</c:v>
                </c:pt>
                <c:pt idx="301">
                  <c:v>46299.186111111107</c:v>
                </c:pt>
                <c:pt idx="302">
                  <c:v>46299.186805555553</c:v>
                </c:pt>
                <c:pt idx="303">
                  <c:v>46299.1875</c:v>
                </c:pt>
                <c:pt idx="304">
                  <c:v>46299.188194444447</c:v>
                </c:pt>
                <c:pt idx="305">
                  <c:v>46299.188888888893</c:v>
                </c:pt>
                <c:pt idx="306">
                  <c:v>46299.189583333333</c:v>
                </c:pt>
                <c:pt idx="307">
                  <c:v>46299.19027777778</c:v>
                </c:pt>
                <c:pt idx="308">
                  <c:v>46299.190972222219</c:v>
                </c:pt>
                <c:pt idx="309">
                  <c:v>46299.191666666673</c:v>
                </c:pt>
                <c:pt idx="310">
                  <c:v>46299.192361111112</c:v>
                </c:pt>
                <c:pt idx="311">
                  <c:v>46299.193055555559</c:v>
                </c:pt>
                <c:pt idx="312">
                  <c:v>46299.193749999999</c:v>
                </c:pt>
                <c:pt idx="313">
                  <c:v>46299.194444444453</c:v>
                </c:pt>
                <c:pt idx="314">
                  <c:v>46299.195138888892</c:v>
                </c:pt>
                <c:pt idx="315">
                  <c:v>46299.195833333331</c:v>
                </c:pt>
                <c:pt idx="316">
                  <c:v>46299.196527777778</c:v>
                </c:pt>
                <c:pt idx="317">
                  <c:v>46299.197222222218</c:v>
                </c:pt>
                <c:pt idx="318">
                  <c:v>46299.197916666657</c:v>
                </c:pt>
                <c:pt idx="319">
                  <c:v>46299.198611111111</c:v>
                </c:pt>
                <c:pt idx="320">
                  <c:v>46299.199305555558</c:v>
                </c:pt>
                <c:pt idx="321">
                  <c:v>46299.199999999997</c:v>
                </c:pt>
                <c:pt idx="322">
                  <c:v>46299.200694444437</c:v>
                </c:pt>
                <c:pt idx="323">
                  <c:v>46299.201388888891</c:v>
                </c:pt>
                <c:pt idx="324">
                  <c:v>46299.20208333333</c:v>
                </c:pt>
                <c:pt idx="325">
                  <c:v>46299.202777777777</c:v>
                </c:pt>
                <c:pt idx="326">
                  <c:v>46299.203472222223</c:v>
                </c:pt>
                <c:pt idx="327">
                  <c:v>46299.20416666667</c:v>
                </c:pt>
                <c:pt idx="328">
                  <c:v>46299.204861111109</c:v>
                </c:pt>
                <c:pt idx="329">
                  <c:v>46299.205555555563</c:v>
                </c:pt>
                <c:pt idx="330">
                  <c:v>46299.206250000003</c:v>
                </c:pt>
                <c:pt idx="331">
                  <c:v>46299.206944444442</c:v>
                </c:pt>
                <c:pt idx="332">
                  <c:v>46299.207638888889</c:v>
                </c:pt>
                <c:pt idx="333">
                  <c:v>46299.208333333343</c:v>
                </c:pt>
                <c:pt idx="334">
                  <c:v>46299.209027777782</c:v>
                </c:pt>
                <c:pt idx="335">
                  <c:v>46299.209722222222</c:v>
                </c:pt>
                <c:pt idx="336">
                  <c:v>46299.210416666669</c:v>
                </c:pt>
                <c:pt idx="337">
                  <c:v>46299.211111111108</c:v>
                </c:pt>
                <c:pt idx="338">
                  <c:v>46299.211805555547</c:v>
                </c:pt>
                <c:pt idx="339">
                  <c:v>46299.212500000001</c:v>
                </c:pt>
                <c:pt idx="340">
                  <c:v>46299.213194444441</c:v>
                </c:pt>
                <c:pt idx="341">
                  <c:v>46299.213888888888</c:v>
                </c:pt>
                <c:pt idx="342">
                  <c:v>46299.214583333327</c:v>
                </c:pt>
                <c:pt idx="343">
                  <c:v>46299.215277777781</c:v>
                </c:pt>
                <c:pt idx="344">
                  <c:v>46299.21597222222</c:v>
                </c:pt>
                <c:pt idx="345">
                  <c:v>46299.216666666667</c:v>
                </c:pt>
                <c:pt idx="346">
                  <c:v>46299.217361111107</c:v>
                </c:pt>
                <c:pt idx="347">
                  <c:v>46299.218055555553</c:v>
                </c:pt>
                <c:pt idx="348">
                  <c:v>46299.21875</c:v>
                </c:pt>
                <c:pt idx="349">
                  <c:v>46299.219444444447</c:v>
                </c:pt>
                <c:pt idx="350">
                  <c:v>46299.220138888893</c:v>
                </c:pt>
                <c:pt idx="351">
                  <c:v>46299.220833333333</c:v>
                </c:pt>
                <c:pt idx="352">
                  <c:v>46299.22152777778</c:v>
                </c:pt>
                <c:pt idx="353">
                  <c:v>46299.222222222219</c:v>
                </c:pt>
                <c:pt idx="354">
                  <c:v>46299.222916666673</c:v>
                </c:pt>
                <c:pt idx="355">
                  <c:v>46299.223611111112</c:v>
                </c:pt>
                <c:pt idx="356">
                  <c:v>46299.224305555559</c:v>
                </c:pt>
                <c:pt idx="357">
                  <c:v>46299.224999999999</c:v>
                </c:pt>
                <c:pt idx="358">
                  <c:v>46299.225694444453</c:v>
                </c:pt>
                <c:pt idx="359">
                  <c:v>46299.226388888892</c:v>
                </c:pt>
                <c:pt idx="360">
                  <c:v>46299.227083333331</c:v>
                </c:pt>
                <c:pt idx="361">
                  <c:v>46299.227777777778</c:v>
                </c:pt>
                <c:pt idx="362">
                  <c:v>46299.228472222218</c:v>
                </c:pt>
                <c:pt idx="363">
                  <c:v>46299.229166666657</c:v>
                </c:pt>
                <c:pt idx="364">
                  <c:v>46299.229861111111</c:v>
                </c:pt>
                <c:pt idx="365">
                  <c:v>46299.230555555558</c:v>
                </c:pt>
                <c:pt idx="366">
                  <c:v>46299.231249999997</c:v>
                </c:pt>
                <c:pt idx="367">
                  <c:v>46299.231944444437</c:v>
                </c:pt>
                <c:pt idx="368">
                  <c:v>46299.232638888891</c:v>
                </c:pt>
                <c:pt idx="369">
                  <c:v>46299.23333333333</c:v>
                </c:pt>
                <c:pt idx="370">
                  <c:v>46299.234027777777</c:v>
                </c:pt>
                <c:pt idx="371">
                  <c:v>46299.234722222223</c:v>
                </c:pt>
                <c:pt idx="372">
                  <c:v>46299.23541666667</c:v>
                </c:pt>
                <c:pt idx="373">
                  <c:v>46299.236111111109</c:v>
                </c:pt>
                <c:pt idx="374">
                  <c:v>46299.236805555563</c:v>
                </c:pt>
                <c:pt idx="375">
                  <c:v>46299.237500000003</c:v>
                </c:pt>
                <c:pt idx="376">
                  <c:v>46299.238194444442</c:v>
                </c:pt>
                <c:pt idx="377">
                  <c:v>46299.238888888889</c:v>
                </c:pt>
                <c:pt idx="378">
                  <c:v>46299.239583333343</c:v>
                </c:pt>
                <c:pt idx="379">
                  <c:v>46299.240277777782</c:v>
                </c:pt>
                <c:pt idx="380">
                  <c:v>46299.240972222222</c:v>
                </c:pt>
                <c:pt idx="381">
                  <c:v>46299.241666666669</c:v>
                </c:pt>
                <c:pt idx="382">
                  <c:v>46299.242361111108</c:v>
                </c:pt>
                <c:pt idx="383">
                  <c:v>46299.243055555547</c:v>
                </c:pt>
                <c:pt idx="384">
                  <c:v>46299.243750000001</c:v>
                </c:pt>
                <c:pt idx="385">
                  <c:v>46299.244444444441</c:v>
                </c:pt>
                <c:pt idx="386">
                  <c:v>46299.245138888888</c:v>
                </c:pt>
                <c:pt idx="387">
                  <c:v>46299.245833333327</c:v>
                </c:pt>
                <c:pt idx="388">
                  <c:v>46299.246527777781</c:v>
                </c:pt>
                <c:pt idx="389">
                  <c:v>46299.24722222222</c:v>
                </c:pt>
                <c:pt idx="390">
                  <c:v>46299.247916666667</c:v>
                </c:pt>
                <c:pt idx="391">
                  <c:v>46299.248611111107</c:v>
                </c:pt>
                <c:pt idx="392">
                  <c:v>46299.249305555553</c:v>
                </c:pt>
                <c:pt idx="393">
                  <c:v>46299.25</c:v>
                </c:pt>
                <c:pt idx="394">
                  <c:v>46299.250694444447</c:v>
                </c:pt>
                <c:pt idx="395">
                  <c:v>46299.251388888893</c:v>
                </c:pt>
                <c:pt idx="396">
                  <c:v>46299.252083333333</c:v>
                </c:pt>
                <c:pt idx="397">
                  <c:v>46299.25277777778</c:v>
                </c:pt>
                <c:pt idx="398">
                  <c:v>46299.253472222219</c:v>
                </c:pt>
                <c:pt idx="399">
                  <c:v>46299.254166666673</c:v>
                </c:pt>
                <c:pt idx="400">
                  <c:v>46299.254861111112</c:v>
                </c:pt>
                <c:pt idx="401">
                  <c:v>46299.255555555559</c:v>
                </c:pt>
                <c:pt idx="402">
                  <c:v>46299.256249999999</c:v>
                </c:pt>
                <c:pt idx="403">
                  <c:v>46299.256944444453</c:v>
                </c:pt>
                <c:pt idx="404">
                  <c:v>46299.257638888892</c:v>
                </c:pt>
                <c:pt idx="405">
                  <c:v>46299.258333333331</c:v>
                </c:pt>
                <c:pt idx="406">
                  <c:v>46299.259027777778</c:v>
                </c:pt>
                <c:pt idx="407">
                  <c:v>46299.259722222218</c:v>
                </c:pt>
                <c:pt idx="408">
                  <c:v>46299.260416666657</c:v>
                </c:pt>
                <c:pt idx="409">
                  <c:v>46299.261111111111</c:v>
                </c:pt>
                <c:pt idx="410">
                  <c:v>46299.261805555558</c:v>
                </c:pt>
                <c:pt idx="411">
                  <c:v>46299.262499999997</c:v>
                </c:pt>
                <c:pt idx="412">
                  <c:v>46299.263194444437</c:v>
                </c:pt>
                <c:pt idx="413">
                  <c:v>46299.263888888891</c:v>
                </c:pt>
                <c:pt idx="414">
                  <c:v>46299.26458333333</c:v>
                </c:pt>
                <c:pt idx="415">
                  <c:v>46299.265277777777</c:v>
                </c:pt>
                <c:pt idx="416">
                  <c:v>46299.265972222223</c:v>
                </c:pt>
                <c:pt idx="417">
                  <c:v>46299.26666666667</c:v>
                </c:pt>
                <c:pt idx="418">
                  <c:v>46299.267361111109</c:v>
                </c:pt>
                <c:pt idx="419">
                  <c:v>46299.268055555563</c:v>
                </c:pt>
                <c:pt idx="420">
                  <c:v>46299.268750000003</c:v>
                </c:pt>
                <c:pt idx="421">
                  <c:v>46299.269444444442</c:v>
                </c:pt>
                <c:pt idx="422">
                  <c:v>46299.270138888889</c:v>
                </c:pt>
                <c:pt idx="423">
                  <c:v>46299.270833333343</c:v>
                </c:pt>
                <c:pt idx="424">
                  <c:v>46299.271527777782</c:v>
                </c:pt>
                <c:pt idx="425">
                  <c:v>46299.272222222222</c:v>
                </c:pt>
                <c:pt idx="426">
                  <c:v>46299.272916666669</c:v>
                </c:pt>
                <c:pt idx="427">
                  <c:v>46299.273611111108</c:v>
                </c:pt>
                <c:pt idx="428">
                  <c:v>46299.274305555547</c:v>
                </c:pt>
                <c:pt idx="429">
                  <c:v>46299.275000000001</c:v>
                </c:pt>
                <c:pt idx="430">
                  <c:v>46299.275694444441</c:v>
                </c:pt>
                <c:pt idx="431">
                  <c:v>46299.276388888888</c:v>
                </c:pt>
                <c:pt idx="432">
                  <c:v>46299.277083333327</c:v>
                </c:pt>
                <c:pt idx="433">
                  <c:v>46299.277777777781</c:v>
                </c:pt>
                <c:pt idx="434">
                  <c:v>46299.27847222222</c:v>
                </c:pt>
                <c:pt idx="435">
                  <c:v>46299.279166666667</c:v>
                </c:pt>
                <c:pt idx="436">
                  <c:v>46299.279861111107</c:v>
                </c:pt>
                <c:pt idx="437">
                  <c:v>46299.280555555553</c:v>
                </c:pt>
                <c:pt idx="438">
                  <c:v>46299.28125</c:v>
                </c:pt>
                <c:pt idx="439">
                  <c:v>46299.281944444447</c:v>
                </c:pt>
                <c:pt idx="440">
                  <c:v>46299.282638888893</c:v>
                </c:pt>
                <c:pt idx="441">
                  <c:v>46299.283333333333</c:v>
                </c:pt>
                <c:pt idx="442">
                  <c:v>46299.28402777778</c:v>
                </c:pt>
                <c:pt idx="443">
                  <c:v>46299.284722222219</c:v>
                </c:pt>
                <c:pt idx="444">
                  <c:v>46299.285416666673</c:v>
                </c:pt>
                <c:pt idx="445">
                  <c:v>46299.286111111112</c:v>
                </c:pt>
                <c:pt idx="446">
                  <c:v>46299.286805555559</c:v>
                </c:pt>
                <c:pt idx="447">
                  <c:v>46299.287499999999</c:v>
                </c:pt>
                <c:pt idx="448">
                  <c:v>46299.288194444453</c:v>
                </c:pt>
                <c:pt idx="449">
                  <c:v>46299.288888888892</c:v>
                </c:pt>
                <c:pt idx="450">
                  <c:v>46299.289583333331</c:v>
                </c:pt>
                <c:pt idx="451">
                  <c:v>46299.290277777778</c:v>
                </c:pt>
                <c:pt idx="452">
                  <c:v>46299.290972222218</c:v>
                </c:pt>
                <c:pt idx="453">
                  <c:v>46299.291666666657</c:v>
                </c:pt>
                <c:pt idx="454">
                  <c:v>46299.292361111111</c:v>
                </c:pt>
                <c:pt idx="455">
                  <c:v>46299.293055555558</c:v>
                </c:pt>
                <c:pt idx="456">
                  <c:v>46299.293749999997</c:v>
                </c:pt>
                <c:pt idx="457">
                  <c:v>46299.294444444437</c:v>
                </c:pt>
                <c:pt idx="458">
                  <c:v>46299.295138888891</c:v>
                </c:pt>
                <c:pt idx="459">
                  <c:v>46299.29583333333</c:v>
                </c:pt>
                <c:pt idx="460">
                  <c:v>46299.296527777777</c:v>
                </c:pt>
                <c:pt idx="461">
                  <c:v>46299.297222222223</c:v>
                </c:pt>
                <c:pt idx="462">
                  <c:v>46299.29791666667</c:v>
                </c:pt>
                <c:pt idx="463">
                  <c:v>46299.298611111109</c:v>
                </c:pt>
                <c:pt idx="464">
                  <c:v>46299.299305555563</c:v>
                </c:pt>
                <c:pt idx="465">
                  <c:v>46299.3</c:v>
                </c:pt>
                <c:pt idx="466">
                  <c:v>46299.300694444442</c:v>
                </c:pt>
                <c:pt idx="467">
                  <c:v>46299.301388888889</c:v>
                </c:pt>
                <c:pt idx="468">
                  <c:v>46299.302083333343</c:v>
                </c:pt>
                <c:pt idx="469">
                  <c:v>46299.302777777782</c:v>
                </c:pt>
                <c:pt idx="470">
                  <c:v>46299.303472222222</c:v>
                </c:pt>
                <c:pt idx="471">
                  <c:v>46299.304166666669</c:v>
                </c:pt>
                <c:pt idx="472">
                  <c:v>46299.304861111108</c:v>
                </c:pt>
                <c:pt idx="473">
                  <c:v>46299.305555555547</c:v>
                </c:pt>
                <c:pt idx="474">
                  <c:v>46299.306250000001</c:v>
                </c:pt>
                <c:pt idx="475">
                  <c:v>46299.306944444441</c:v>
                </c:pt>
                <c:pt idx="476">
                  <c:v>46299.307638888888</c:v>
                </c:pt>
                <c:pt idx="477">
                  <c:v>46299.308333333327</c:v>
                </c:pt>
                <c:pt idx="478">
                  <c:v>46299.309027777781</c:v>
                </c:pt>
                <c:pt idx="479">
                  <c:v>46299.30972222222</c:v>
                </c:pt>
                <c:pt idx="480">
                  <c:v>46299.310416666667</c:v>
                </c:pt>
                <c:pt idx="481">
                  <c:v>46299.311111111107</c:v>
                </c:pt>
                <c:pt idx="482">
                  <c:v>46299.311805555553</c:v>
                </c:pt>
                <c:pt idx="483">
                  <c:v>46299.3125</c:v>
                </c:pt>
                <c:pt idx="484">
                  <c:v>46299.313194444447</c:v>
                </c:pt>
                <c:pt idx="485">
                  <c:v>46299.313888888893</c:v>
                </c:pt>
                <c:pt idx="486">
                  <c:v>46299.314583333333</c:v>
                </c:pt>
                <c:pt idx="487">
                  <c:v>46299.31527777778</c:v>
                </c:pt>
                <c:pt idx="488">
                  <c:v>46299.315972222219</c:v>
                </c:pt>
                <c:pt idx="489">
                  <c:v>46299.316666666673</c:v>
                </c:pt>
                <c:pt idx="490">
                  <c:v>46299.317361111112</c:v>
                </c:pt>
                <c:pt idx="491">
                  <c:v>46299.318055555559</c:v>
                </c:pt>
                <c:pt idx="492">
                  <c:v>46299.318749999999</c:v>
                </c:pt>
                <c:pt idx="493">
                  <c:v>46299.319444444453</c:v>
                </c:pt>
                <c:pt idx="494">
                  <c:v>46299.320138888892</c:v>
                </c:pt>
                <c:pt idx="495">
                  <c:v>46299.320833333331</c:v>
                </c:pt>
                <c:pt idx="496">
                  <c:v>46299.321527777778</c:v>
                </c:pt>
                <c:pt idx="497">
                  <c:v>46299.322222222218</c:v>
                </c:pt>
                <c:pt idx="498">
                  <c:v>46299.322916666657</c:v>
                </c:pt>
                <c:pt idx="499">
                  <c:v>46299.323611111111</c:v>
                </c:pt>
                <c:pt idx="500">
                  <c:v>46299.324305555558</c:v>
                </c:pt>
                <c:pt idx="501">
                  <c:v>46299.324999999997</c:v>
                </c:pt>
                <c:pt idx="502">
                  <c:v>46299.325694444437</c:v>
                </c:pt>
                <c:pt idx="503">
                  <c:v>46299.326388888891</c:v>
                </c:pt>
                <c:pt idx="504">
                  <c:v>46299.32708333333</c:v>
                </c:pt>
                <c:pt idx="505">
                  <c:v>46299.327777777777</c:v>
                </c:pt>
                <c:pt idx="506">
                  <c:v>46299.328472222223</c:v>
                </c:pt>
                <c:pt idx="507">
                  <c:v>46299.32916666667</c:v>
                </c:pt>
                <c:pt idx="508">
                  <c:v>46299.329861111109</c:v>
                </c:pt>
                <c:pt idx="509">
                  <c:v>46299.330555555563</c:v>
                </c:pt>
                <c:pt idx="510">
                  <c:v>46299.331250000003</c:v>
                </c:pt>
                <c:pt idx="511">
                  <c:v>46299.331944444442</c:v>
                </c:pt>
                <c:pt idx="512">
                  <c:v>46299.332638888889</c:v>
                </c:pt>
                <c:pt idx="513">
                  <c:v>46299.333333333343</c:v>
                </c:pt>
                <c:pt idx="514">
                  <c:v>46299.334027777782</c:v>
                </c:pt>
                <c:pt idx="515">
                  <c:v>46299.334722222222</c:v>
                </c:pt>
                <c:pt idx="516">
                  <c:v>46299.335416666669</c:v>
                </c:pt>
                <c:pt idx="517">
                  <c:v>46299.336111111108</c:v>
                </c:pt>
                <c:pt idx="518">
                  <c:v>46299.336805555547</c:v>
                </c:pt>
                <c:pt idx="519">
                  <c:v>46299.337500000001</c:v>
                </c:pt>
                <c:pt idx="520">
                  <c:v>46299.338194444441</c:v>
                </c:pt>
                <c:pt idx="521">
                  <c:v>46299.338888888888</c:v>
                </c:pt>
                <c:pt idx="522">
                  <c:v>46299.339583333327</c:v>
                </c:pt>
                <c:pt idx="523">
                  <c:v>46299.340277777781</c:v>
                </c:pt>
                <c:pt idx="524">
                  <c:v>46299.34097222222</c:v>
                </c:pt>
                <c:pt idx="525">
                  <c:v>46299.341666666667</c:v>
                </c:pt>
                <c:pt idx="526">
                  <c:v>46299.342361111107</c:v>
                </c:pt>
                <c:pt idx="527">
                  <c:v>46299.343055555553</c:v>
                </c:pt>
                <c:pt idx="528">
                  <c:v>46299.34375</c:v>
                </c:pt>
                <c:pt idx="529">
                  <c:v>46299.344444444447</c:v>
                </c:pt>
                <c:pt idx="530">
                  <c:v>46299.345138888893</c:v>
                </c:pt>
                <c:pt idx="531">
                  <c:v>46299.345833333333</c:v>
                </c:pt>
                <c:pt idx="532">
                  <c:v>46299.34652777778</c:v>
                </c:pt>
                <c:pt idx="533">
                  <c:v>46299.347222222219</c:v>
                </c:pt>
                <c:pt idx="534">
                  <c:v>46299.347916666673</c:v>
                </c:pt>
                <c:pt idx="535">
                  <c:v>46299.348611111112</c:v>
                </c:pt>
                <c:pt idx="536">
                  <c:v>46299.349305555559</c:v>
                </c:pt>
                <c:pt idx="537">
                  <c:v>46299.35</c:v>
                </c:pt>
                <c:pt idx="538">
                  <c:v>46299.350694444453</c:v>
                </c:pt>
                <c:pt idx="539">
                  <c:v>46299.351388888892</c:v>
                </c:pt>
                <c:pt idx="540">
                  <c:v>46299.352083333331</c:v>
                </c:pt>
                <c:pt idx="541">
                  <c:v>46299.352777777778</c:v>
                </c:pt>
                <c:pt idx="542">
                  <c:v>46299.353472222218</c:v>
                </c:pt>
                <c:pt idx="543">
                  <c:v>46299.354166666657</c:v>
                </c:pt>
                <c:pt idx="544">
                  <c:v>46299.354861111111</c:v>
                </c:pt>
                <c:pt idx="545">
                  <c:v>46299.355555555558</c:v>
                </c:pt>
                <c:pt idx="546">
                  <c:v>46299.356249999997</c:v>
                </c:pt>
                <c:pt idx="547">
                  <c:v>46299.356944444437</c:v>
                </c:pt>
                <c:pt idx="548">
                  <c:v>46299.357638888891</c:v>
                </c:pt>
                <c:pt idx="549">
                  <c:v>46299.35833333333</c:v>
                </c:pt>
                <c:pt idx="550">
                  <c:v>46299.359027777777</c:v>
                </c:pt>
                <c:pt idx="551">
                  <c:v>46299.359722222223</c:v>
                </c:pt>
                <c:pt idx="552">
                  <c:v>46299.36041666667</c:v>
                </c:pt>
                <c:pt idx="553">
                  <c:v>46299.361111111109</c:v>
                </c:pt>
                <c:pt idx="554">
                  <c:v>46299.361805555563</c:v>
                </c:pt>
                <c:pt idx="555">
                  <c:v>46299.362500000003</c:v>
                </c:pt>
                <c:pt idx="556">
                  <c:v>46299.363194444442</c:v>
                </c:pt>
                <c:pt idx="557">
                  <c:v>46299.363888888889</c:v>
                </c:pt>
                <c:pt idx="558">
                  <c:v>46299.364583333343</c:v>
                </c:pt>
                <c:pt idx="559">
                  <c:v>46299.365277777782</c:v>
                </c:pt>
                <c:pt idx="560">
                  <c:v>46299.365972222222</c:v>
                </c:pt>
                <c:pt idx="561">
                  <c:v>46299.366666666669</c:v>
                </c:pt>
                <c:pt idx="562">
                  <c:v>46299.367361111108</c:v>
                </c:pt>
                <c:pt idx="563">
                  <c:v>46299.368055555547</c:v>
                </c:pt>
                <c:pt idx="564">
                  <c:v>46299.368750000001</c:v>
                </c:pt>
                <c:pt idx="565">
                  <c:v>46299.369444444441</c:v>
                </c:pt>
                <c:pt idx="566">
                  <c:v>46299.370138888888</c:v>
                </c:pt>
                <c:pt idx="567">
                  <c:v>46299.370833333327</c:v>
                </c:pt>
                <c:pt idx="568">
                  <c:v>46299.371527777781</c:v>
                </c:pt>
                <c:pt idx="569">
                  <c:v>46299.37222222222</c:v>
                </c:pt>
                <c:pt idx="570">
                  <c:v>46299.372916666667</c:v>
                </c:pt>
                <c:pt idx="571">
                  <c:v>46299.373611111107</c:v>
                </c:pt>
                <c:pt idx="572">
                  <c:v>46299.374305555553</c:v>
                </c:pt>
                <c:pt idx="573">
                  <c:v>46299.375</c:v>
                </c:pt>
                <c:pt idx="574">
                  <c:v>46299.375694444447</c:v>
                </c:pt>
                <c:pt idx="575">
                  <c:v>46299.376388888893</c:v>
                </c:pt>
                <c:pt idx="576">
                  <c:v>46299.377083333333</c:v>
                </c:pt>
                <c:pt idx="577">
                  <c:v>46299.37777777778</c:v>
                </c:pt>
                <c:pt idx="578">
                  <c:v>46299.378472222219</c:v>
                </c:pt>
                <c:pt idx="579">
                  <c:v>46299.379166666673</c:v>
                </c:pt>
                <c:pt idx="580">
                  <c:v>46299.379861111112</c:v>
                </c:pt>
                <c:pt idx="581">
                  <c:v>46299.380555555559</c:v>
                </c:pt>
                <c:pt idx="582">
                  <c:v>46299.381249999999</c:v>
                </c:pt>
                <c:pt idx="583">
                  <c:v>46299.381944444453</c:v>
                </c:pt>
                <c:pt idx="584">
                  <c:v>46299.382638888892</c:v>
                </c:pt>
                <c:pt idx="585">
                  <c:v>46299.383333333331</c:v>
                </c:pt>
                <c:pt idx="586">
                  <c:v>46299.384027777778</c:v>
                </c:pt>
                <c:pt idx="587">
                  <c:v>46299.384722222218</c:v>
                </c:pt>
                <c:pt idx="588">
                  <c:v>46299.385416666657</c:v>
                </c:pt>
                <c:pt idx="589">
                  <c:v>46299.386111111111</c:v>
                </c:pt>
                <c:pt idx="590">
                  <c:v>46299.386805555558</c:v>
                </c:pt>
                <c:pt idx="591">
                  <c:v>46299.387499999997</c:v>
                </c:pt>
                <c:pt idx="592">
                  <c:v>46299.388194444437</c:v>
                </c:pt>
                <c:pt idx="593">
                  <c:v>46299.388888888891</c:v>
                </c:pt>
                <c:pt idx="594">
                  <c:v>46299.38958333333</c:v>
                </c:pt>
                <c:pt idx="595">
                  <c:v>46299.390277777777</c:v>
                </c:pt>
                <c:pt idx="596">
                  <c:v>46299.390972222223</c:v>
                </c:pt>
                <c:pt idx="597">
                  <c:v>46299.39166666667</c:v>
                </c:pt>
                <c:pt idx="598">
                  <c:v>46299.392361111109</c:v>
                </c:pt>
                <c:pt idx="599">
                  <c:v>46299.393055555563</c:v>
                </c:pt>
                <c:pt idx="600">
                  <c:v>46299.393750000003</c:v>
                </c:pt>
                <c:pt idx="601">
                  <c:v>46299.394444444442</c:v>
                </c:pt>
                <c:pt idx="602">
                  <c:v>46299.395138888889</c:v>
                </c:pt>
                <c:pt idx="603">
                  <c:v>46299.395833333343</c:v>
                </c:pt>
                <c:pt idx="604">
                  <c:v>46299.396527777782</c:v>
                </c:pt>
                <c:pt idx="605">
                  <c:v>46299.397222222222</c:v>
                </c:pt>
                <c:pt idx="606">
                  <c:v>46299.397916666669</c:v>
                </c:pt>
                <c:pt idx="607">
                  <c:v>46299.398611111108</c:v>
                </c:pt>
                <c:pt idx="608">
                  <c:v>46299.399305555547</c:v>
                </c:pt>
                <c:pt idx="609">
                  <c:v>46299.4</c:v>
                </c:pt>
                <c:pt idx="610">
                  <c:v>46299.400694444441</c:v>
                </c:pt>
                <c:pt idx="611">
                  <c:v>46299.401388888888</c:v>
                </c:pt>
                <c:pt idx="612">
                  <c:v>46299.402083333327</c:v>
                </c:pt>
                <c:pt idx="613">
                  <c:v>46299.402777777781</c:v>
                </c:pt>
                <c:pt idx="614">
                  <c:v>46299.40347222222</c:v>
                </c:pt>
                <c:pt idx="615">
                  <c:v>46299.404166666667</c:v>
                </c:pt>
                <c:pt idx="616">
                  <c:v>46299.404861111107</c:v>
                </c:pt>
                <c:pt idx="617">
                  <c:v>46299.405555555553</c:v>
                </c:pt>
                <c:pt idx="618">
                  <c:v>46299.40625</c:v>
                </c:pt>
                <c:pt idx="619">
                  <c:v>46299.406944444447</c:v>
                </c:pt>
                <c:pt idx="620">
                  <c:v>46299.407638888893</c:v>
                </c:pt>
                <c:pt idx="621">
                  <c:v>46299.408333333333</c:v>
                </c:pt>
                <c:pt idx="622">
                  <c:v>46299.40902777778</c:v>
                </c:pt>
                <c:pt idx="623">
                  <c:v>46299.409722222219</c:v>
                </c:pt>
                <c:pt idx="624">
                  <c:v>46299.410416666673</c:v>
                </c:pt>
                <c:pt idx="625">
                  <c:v>46299.411111111112</c:v>
                </c:pt>
                <c:pt idx="626">
                  <c:v>46299.411805555559</c:v>
                </c:pt>
                <c:pt idx="627">
                  <c:v>46299.412499999999</c:v>
                </c:pt>
                <c:pt idx="628">
                  <c:v>46299.413194444453</c:v>
                </c:pt>
                <c:pt idx="629">
                  <c:v>46299.413888888892</c:v>
                </c:pt>
                <c:pt idx="630">
                  <c:v>46299.414583333331</c:v>
                </c:pt>
                <c:pt idx="631">
                  <c:v>46299.415277777778</c:v>
                </c:pt>
                <c:pt idx="632">
                  <c:v>46299.415972222218</c:v>
                </c:pt>
                <c:pt idx="633">
                  <c:v>46299.416666666657</c:v>
                </c:pt>
                <c:pt idx="634">
                  <c:v>46299.417361111111</c:v>
                </c:pt>
                <c:pt idx="635">
                  <c:v>46299.418055555558</c:v>
                </c:pt>
                <c:pt idx="636">
                  <c:v>46299.418749999997</c:v>
                </c:pt>
                <c:pt idx="637">
                  <c:v>46299.419444444437</c:v>
                </c:pt>
                <c:pt idx="638">
                  <c:v>46299.420138888891</c:v>
                </c:pt>
                <c:pt idx="639">
                  <c:v>46299.42083333333</c:v>
                </c:pt>
                <c:pt idx="640">
                  <c:v>46299.421527777777</c:v>
                </c:pt>
                <c:pt idx="641">
                  <c:v>46299.422222222223</c:v>
                </c:pt>
                <c:pt idx="642">
                  <c:v>46299.42291666667</c:v>
                </c:pt>
                <c:pt idx="643">
                  <c:v>46299.423611111109</c:v>
                </c:pt>
                <c:pt idx="644">
                  <c:v>46299.424305555563</c:v>
                </c:pt>
                <c:pt idx="645">
                  <c:v>46299.425000000003</c:v>
                </c:pt>
                <c:pt idx="646">
                  <c:v>46299.425694444442</c:v>
                </c:pt>
                <c:pt idx="647">
                  <c:v>46299.426388888889</c:v>
                </c:pt>
                <c:pt idx="648">
                  <c:v>46299.427083333343</c:v>
                </c:pt>
                <c:pt idx="649">
                  <c:v>46299.427777777782</c:v>
                </c:pt>
                <c:pt idx="650">
                  <c:v>46299.428472222222</c:v>
                </c:pt>
                <c:pt idx="651">
                  <c:v>46299.429166666669</c:v>
                </c:pt>
                <c:pt idx="652">
                  <c:v>46299.429861111108</c:v>
                </c:pt>
                <c:pt idx="653">
                  <c:v>46299.430555555547</c:v>
                </c:pt>
                <c:pt idx="654">
                  <c:v>46299.431250000001</c:v>
                </c:pt>
                <c:pt idx="655">
                  <c:v>46299.431944444441</c:v>
                </c:pt>
                <c:pt idx="656">
                  <c:v>46299.432638888888</c:v>
                </c:pt>
                <c:pt idx="657">
                  <c:v>46299.433333333327</c:v>
                </c:pt>
                <c:pt idx="658">
                  <c:v>46299.434027777781</c:v>
                </c:pt>
                <c:pt idx="659">
                  <c:v>46299.43472222222</c:v>
                </c:pt>
                <c:pt idx="660">
                  <c:v>46299.435416666667</c:v>
                </c:pt>
                <c:pt idx="661">
                  <c:v>46299.436111111107</c:v>
                </c:pt>
                <c:pt idx="662">
                  <c:v>46299.436805555553</c:v>
                </c:pt>
                <c:pt idx="663">
                  <c:v>46299.4375</c:v>
                </c:pt>
                <c:pt idx="664">
                  <c:v>46299.438194444447</c:v>
                </c:pt>
                <c:pt idx="665">
                  <c:v>46299.438888888893</c:v>
                </c:pt>
                <c:pt idx="666">
                  <c:v>46299.439583333333</c:v>
                </c:pt>
                <c:pt idx="667">
                  <c:v>46299.44027777778</c:v>
                </c:pt>
                <c:pt idx="668">
                  <c:v>46299.440972222219</c:v>
                </c:pt>
                <c:pt idx="669">
                  <c:v>46299.441666666673</c:v>
                </c:pt>
                <c:pt idx="670">
                  <c:v>46299.442361111112</c:v>
                </c:pt>
                <c:pt idx="671">
                  <c:v>46299.443055555559</c:v>
                </c:pt>
                <c:pt idx="672">
                  <c:v>46299.443749999999</c:v>
                </c:pt>
                <c:pt idx="673">
                  <c:v>46299.444444444453</c:v>
                </c:pt>
                <c:pt idx="674">
                  <c:v>46299.445138888892</c:v>
                </c:pt>
                <c:pt idx="675">
                  <c:v>46299.445833333331</c:v>
                </c:pt>
                <c:pt idx="676">
                  <c:v>46299.446527777778</c:v>
                </c:pt>
                <c:pt idx="677">
                  <c:v>46299.447222222218</c:v>
                </c:pt>
                <c:pt idx="678">
                  <c:v>46299.447916666657</c:v>
                </c:pt>
                <c:pt idx="679">
                  <c:v>46299.448611111111</c:v>
                </c:pt>
                <c:pt idx="680">
                  <c:v>46299.449305555558</c:v>
                </c:pt>
                <c:pt idx="681">
                  <c:v>46299.45</c:v>
                </c:pt>
                <c:pt idx="682">
                  <c:v>46299.450694444437</c:v>
                </c:pt>
                <c:pt idx="683">
                  <c:v>46299.451388888891</c:v>
                </c:pt>
                <c:pt idx="684">
                  <c:v>46299.45208333333</c:v>
                </c:pt>
                <c:pt idx="685">
                  <c:v>46299.452777777777</c:v>
                </c:pt>
                <c:pt idx="686">
                  <c:v>46299.453472222223</c:v>
                </c:pt>
                <c:pt idx="687">
                  <c:v>46299.45416666667</c:v>
                </c:pt>
                <c:pt idx="688">
                  <c:v>46299.454861111109</c:v>
                </c:pt>
                <c:pt idx="689">
                  <c:v>46299.455555555563</c:v>
                </c:pt>
                <c:pt idx="690">
                  <c:v>46299.456250000003</c:v>
                </c:pt>
                <c:pt idx="691">
                  <c:v>46299.456944444442</c:v>
                </c:pt>
                <c:pt idx="692">
                  <c:v>46299.457638888889</c:v>
                </c:pt>
                <c:pt idx="693">
                  <c:v>46299.458333333343</c:v>
                </c:pt>
                <c:pt idx="694">
                  <c:v>46299.459027777782</c:v>
                </c:pt>
                <c:pt idx="695">
                  <c:v>46299.459722222222</c:v>
                </c:pt>
                <c:pt idx="696">
                  <c:v>46299.460416666669</c:v>
                </c:pt>
                <c:pt idx="697">
                  <c:v>46299.461111111108</c:v>
                </c:pt>
                <c:pt idx="698">
                  <c:v>46299.461805555547</c:v>
                </c:pt>
                <c:pt idx="699">
                  <c:v>46299.462500000001</c:v>
                </c:pt>
                <c:pt idx="700">
                  <c:v>46299.463194444441</c:v>
                </c:pt>
                <c:pt idx="701">
                  <c:v>46299.463888888888</c:v>
                </c:pt>
                <c:pt idx="702">
                  <c:v>46299.464583333327</c:v>
                </c:pt>
                <c:pt idx="703">
                  <c:v>46299.465277777781</c:v>
                </c:pt>
                <c:pt idx="704">
                  <c:v>46299.46597222222</c:v>
                </c:pt>
                <c:pt idx="705">
                  <c:v>46299.466666666667</c:v>
                </c:pt>
                <c:pt idx="706">
                  <c:v>46299.467361111107</c:v>
                </c:pt>
                <c:pt idx="707">
                  <c:v>46299.468055555553</c:v>
                </c:pt>
                <c:pt idx="708">
                  <c:v>46299.46875</c:v>
                </c:pt>
                <c:pt idx="709">
                  <c:v>46299.469444444447</c:v>
                </c:pt>
                <c:pt idx="710">
                  <c:v>46299.470138888893</c:v>
                </c:pt>
                <c:pt idx="711">
                  <c:v>46299.470833333333</c:v>
                </c:pt>
                <c:pt idx="712">
                  <c:v>46299.47152777778</c:v>
                </c:pt>
                <c:pt idx="713">
                  <c:v>46299.472222222219</c:v>
                </c:pt>
                <c:pt idx="714">
                  <c:v>46299.472916666673</c:v>
                </c:pt>
                <c:pt idx="715">
                  <c:v>46299.473611111112</c:v>
                </c:pt>
                <c:pt idx="716">
                  <c:v>46299.474305555559</c:v>
                </c:pt>
                <c:pt idx="717">
                  <c:v>46299.474999999999</c:v>
                </c:pt>
                <c:pt idx="718">
                  <c:v>46299.475694444453</c:v>
                </c:pt>
                <c:pt idx="719">
                  <c:v>46299.476388888892</c:v>
                </c:pt>
                <c:pt idx="720">
                  <c:v>46299.477083333331</c:v>
                </c:pt>
                <c:pt idx="721">
                  <c:v>46299.477777777778</c:v>
                </c:pt>
                <c:pt idx="722">
                  <c:v>46299.478472222218</c:v>
                </c:pt>
                <c:pt idx="723">
                  <c:v>46299.479166666657</c:v>
                </c:pt>
                <c:pt idx="724">
                  <c:v>46299.479861111111</c:v>
                </c:pt>
                <c:pt idx="725">
                  <c:v>46299.480555555558</c:v>
                </c:pt>
                <c:pt idx="726">
                  <c:v>46299.481249999997</c:v>
                </c:pt>
                <c:pt idx="727">
                  <c:v>46299.481944444437</c:v>
                </c:pt>
                <c:pt idx="728">
                  <c:v>46299.482638888891</c:v>
                </c:pt>
                <c:pt idx="729">
                  <c:v>46299.48333333333</c:v>
                </c:pt>
                <c:pt idx="730">
                  <c:v>46299.484027777777</c:v>
                </c:pt>
                <c:pt idx="731">
                  <c:v>46299.484722222223</c:v>
                </c:pt>
                <c:pt idx="732">
                  <c:v>46299.48541666667</c:v>
                </c:pt>
                <c:pt idx="733">
                  <c:v>46299.486111111109</c:v>
                </c:pt>
                <c:pt idx="734">
                  <c:v>46299.486805555563</c:v>
                </c:pt>
                <c:pt idx="735">
                  <c:v>46299.487500000003</c:v>
                </c:pt>
                <c:pt idx="736">
                  <c:v>46299.488194444442</c:v>
                </c:pt>
                <c:pt idx="737">
                  <c:v>46299.488888888889</c:v>
                </c:pt>
                <c:pt idx="738">
                  <c:v>46299.489583333343</c:v>
                </c:pt>
                <c:pt idx="739">
                  <c:v>46299.490277777782</c:v>
                </c:pt>
                <c:pt idx="740">
                  <c:v>46299.490972222222</c:v>
                </c:pt>
                <c:pt idx="741">
                  <c:v>46299.491666666669</c:v>
                </c:pt>
                <c:pt idx="742">
                  <c:v>46299.492361111108</c:v>
                </c:pt>
                <c:pt idx="743">
                  <c:v>46299.493055555547</c:v>
                </c:pt>
                <c:pt idx="744">
                  <c:v>46299.493750000001</c:v>
                </c:pt>
                <c:pt idx="745">
                  <c:v>46299.494444444441</c:v>
                </c:pt>
                <c:pt idx="746">
                  <c:v>46299.495138888888</c:v>
                </c:pt>
                <c:pt idx="747">
                  <c:v>46299.495833333327</c:v>
                </c:pt>
                <c:pt idx="748">
                  <c:v>46299.496527777781</c:v>
                </c:pt>
                <c:pt idx="749">
                  <c:v>46299.49722222222</c:v>
                </c:pt>
                <c:pt idx="750">
                  <c:v>46299.497916666667</c:v>
                </c:pt>
                <c:pt idx="751">
                  <c:v>46299.498611111107</c:v>
                </c:pt>
                <c:pt idx="752">
                  <c:v>46299.499305555553</c:v>
                </c:pt>
                <c:pt idx="753">
                  <c:v>46299.5</c:v>
                </c:pt>
                <c:pt idx="754">
                  <c:v>46299.500694444447</c:v>
                </c:pt>
                <c:pt idx="755">
                  <c:v>46299.501388888893</c:v>
                </c:pt>
                <c:pt idx="756">
                  <c:v>46299.502083333333</c:v>
                </c:pt>
                <c:pt idx="757">
                  <c:v>46299.50277777778</c:v>
                </c:pt>
                <c:pt idx="758">
                  <c:v>46299.503472222219</c:v>
                </c:pt>
                <c:pt idx="759">
                  <c:v>46299.504166666673</c:v>
                </c:pt>
                <c:pt idx="760">
                  <c:v>46299.504861111112</c:v>
                </c:pt>
                <c:pt idx="761">
                  <c:v>46299.505555555559</c:v>
                </c:pt>
                <c:pt idx="762">
                  <c:v>46299.506249999999</c:v>
                </c:pt>
                <c:pt idx="763">
                  <c:v>46299.506944444453</c:v>
                </c:pt>
                <c:pt idx="764">
                  <c:v>46299.507638888892</c:v>
                </c:pt>
                <c:pt idx="765">
                  <c:v>46299.508333333331</c:v>
                </c:pt>
                <c:pt idx="766">
                  <c:v>46299.509027777778</c:v>
                </c:pt>
                <c:pt idx="767">
                  <c:v>46299.509722222218</c:v>
                </c:pt>
                <c:pt idx="768">
                  <c:v>46299.510416666657</c:v>
                </c:pt>
                <c:pt idx="769">
                  <c:v>46299.511111111111</c:v>
                </c:pt>
                <c:pt idx="770">
                  <c:v>46299.511805555558</c:v>
                </c:pt>
                <c:pt idx="771">
                  <c:v>46299.512499999997</c:v>
                </c:pt>
                <c:pt idx="772">
                  <c:v>46299.513194444437</c:v>
                </c:pt>
                <c:pt idx="773">
                  <c:v>46299.513888888891</c:v>
                </c:pt>
                <c:pt idx="774">
                  <c:v>46299.51458333333</c:v>
                </c:pt>
                <c:pt idx="775">
                  <c:v>46299.515277777777</c:v>
                </c:pt>
                <c:pt idx="776">
                  <c:v>46299.515972222223</c:v>
                </c:pt>
                <c:pt idx="777">
                  <c:v>46299.51666666667</c:v>
                </c:pt>
                <c:pt idx="778">
                  <c:v>46299.517361111109</c:v>
                </c:pt>
                <c:pt idx="779">
                  <c:v>46299.518055555563</c:v>
                </c:pt>
                <c:pt idx="780">
                  <c:v>46299.518750000003</c:v>
                </c:pt>
                <c:pt idx="781">
                  <c:v>46299.519444444442</c:v>
                </c:pt>
                <c:pt idx="782">
                  <c:v>46299.520138888889</c:v>
                </c:pt>
                <c:pt idx="783">
                  <c:v>46299.520833333343</c:v>
                </c:pt>
                <c:pt idx="784">
                  <c:v>46299.521527777782</c:v>
                </c:pt>
                <c:pt idx="785">
                  <c:v>46299.522222222222</c:v>
                </c:pt>
                <c:pt idx="786">
                  <c:v>46299.522916666669</c:v>
                </c:pt>
                <c:pt idx="787">
                  <c:v>46299.523611111108</c:v>
                </c:pt>
                <c:pt idx="788">
                  <c:v>46299.524305555547</c:v>
                </c:pt>
                <c:pt idx="789">
                  <c:v>46299.525000000001</c:v>
                </c:pt>
                <c:pt idx="790">
                  <c:v>46299.525694444441</c:v>
                </c:pt>
                <c:pt idx="791">
                  <c:v>46299.526388888888</c:v>
                </c:pt>
                <c:pt idx="792">
                  <c:v>46299.527083333327</c:v>
                </c:pt>
                <c:pt idx="793">
                  <c:v>46299.527777777781</c:v>
                </c:pt>
                <c:pt idx="794">
                  <c:v>46299.52847222222</c:v>
                </c:pt>
                <c:pt idx="795">
                  <c:v>46299.529166666667</c:v>
                </c:pt>
                <c:pt idx="796">
                  <c:v>46299.529861111107</c:v>
                </c:pt>
                <c:pt idx="797">
                  <c:v>46299.530555555553</c:v>
                </c:pt>
                <c:pt idx="798">
                  <c:v>46299.53125</c:v>
                </c:pt>
                <c:pt idx="799">
                  <c:v>46299.531944444447</c:v>
                </c:pt>
                <c:pt idx="800">
                  <c:v>46299.532638888893</c:v>
                </c:pt>
                <c:pt idx="801">
                  <c:v>46299.533333333333</c:v>
                </c:pt>
                <c:pt idx="802">
                  <c:v>46299.53402777778</c:v>
                </c:pt>
                <c:pt idx="803">
                  <c:v>46299.534722222219</c:v>
                </c:pt>
                <c:pt idx="804">
                  <c:v>46299.535416666673</c:v>
                </c:pt>
                <c:pt idx="805">
                  <c:v>46299.536111111112</c:v>
                </c:pt>
                <c:pt idx="806">
                  <c:v>46299.536805555559</c:v>
                </c:pt>
                <c:pt idx="807">
                  <c:v>46299.537499999999</c:v>
                </c:pt>
                <c:pt idx="808">
                  <c:v>46299.538194444453</c:v>
                </c:pt>
                <c:pt idx="809">
                  <c:v>46299.538888888892</c:v>
                </c:pt>
                <c:pt idx="810">
                  <c:v>46299.539583333331</c:v>
                </c:pt>
                <c:pt idx="811">
                  <c:v>46299.540277777778</c:v>
                </c:pt>
                <c:pt idx="812">
                  <c:v>46299.540972222218</c:v>
                </c:pt>
                <c:pt idx="813">
                  <c:v>46299.541666666657</c:v>
                </c:pt>
                <c:pt idx="814">
                  <c:v>46299.542361111111</c:v>
                </c:pt>
                <c:pt idx="815">
                  <c:v>46299.543055555558</c:v>
                </c:pt>
                <c:pt idx="816">
                  <c:v>46299.543749999997</c:v>
                </c:pt>
                <c:pt idx="817">
                  <c:v>46299.544444444437</c:v>
                </c:pt>
                <c:pt idx="818">
                  <c:v>46299.545138888891</c:v>
                </c:pt>
                <c:pt idx="819">
                  <c:v>46299.54583333333</c:v>
                </c:pt>
                <c:pt idx="820">
                  <c:v>46299.546527777777</c:v>
                </c:pt>
                <c:pt idx="821">
                  <c:v>46299.547222222223</c:v>
                </c:pt>
                <c:pt idx="822">
                  <c:v>46299.54791666667</c:v>
                </c:pt>
                <c:pt idx="823">
                  <c:v>46299.548611111109</c:v>
                </c:pt>
                <c:pt idx="824">
                  <c:v>46299.549305555563</c:v>
                </c:pt>
                <c:pt idx="825">
                  <c:v>46299.55</c:v>
                </c:pt>
                <c:pt idx="826">
                  <c:v>46299.550694444442</c:v>
                </c:pt>
                <c:pt idx="827">
                  <c:v>46299.551388888889</c:v>
                </c:pt>
                <c:pt idx="828">
                  <c:v>46299.552083333343</c:v>
                </c:pt>
                <c:pt idx="829">
                  <c:v>46299.552777777782</c:v>
                </c:pt>
                <c:pt idx="830">
                  <c:v>46299.553472222222</c:v>
                </c:pt>
                <c:pt idx="831">
                  <c:v>46299.554166666669</c:v>
                </c:pt>
                <c:pt idx="832">
                  <c:v>46299.554861111108</c:v>
                </c:pt>
                <c:pt idx="833">
                  <c:v>46299.555555555547</c:v>
                </c:pt>
                <c:pt idx="834">
                  <c:v>46299.556250000001</c:v>
                </c:pt>
                <c:pt idx="835">
                  <c:v>46299.556944444441</c:v>
                </c:pt>
                <c:pt idx="836">
                  <c:v>46299.557638888888</c:v>
                </c:pt>
                <c:pt idx="837">
                  <c:v>46299.558333333327</c:v>
                </c:pt>
                <c:pt idx="838">
                  <c:v>46299.559027777781</c:v>
                </c:pt>
                <c:pt idx="839">
                  <c:v>46299.55972222222</c:v>
                </c:pt>
                <c:pt idx="840">
                  <c:v>46299.560416666667</c:v>
                </c:pt>
                <c:pt idx="841">
                  <c:v>46299.561111111107</c:v>
                </c:pt>
                <c:pt idx="842">
                  <c:v>46299.561805555553</c:v>
                </c:pt>
                <c:pt idx="843">
                  <c:v>46299.5625</c:v>
                </c:pt>
                <c:pt idx="844">
                  <c:v>46299.563194444447</c:v>
                </c:pt>
                <c:pt idx="845">
                  <c:v>46299.563888888893</c:v>
                </c:pt>
                <c:pt idx="846">
                  <c:v>46299.564583333333</c:v>
                </c:pt>
                <c:pt idx="847">
                  <c:v>46299.56527777778</c:v>
                </c:pt>
                <c:pt idx="848">
                  <c:v>46299.565972222219</c:v>
                </c:pt>
                <c:pt idx="849">
                  <c:v>46299.566666666673</c:v>
                </c:pt>
                <c:pt idx="850">
                  <c:v>46299.567361111112</c:v>
                </c:pt>
                <c:pt idx="851">
                  <c:v>46299.568055555559</c:v>
                </c:pt>
                <c:pt idx="852">
                  <c:v>46299.568749999999</c:v>
                </c:pt>
                <c:pt idx="853">
                  <c:v>46299.569444444453</c:v>
                </c:pt>
                <c:pt idx="854">
                  <c:v>46299.570138888892</c:v>
                </c:pt>
                <c:pt idx="855">
                  <c:v>46299.570833333331</c:v>
                </c:pt>
                <c:pt idx="856">
                  <c:v>46299.571527777778</c:v>
                </c:pt>
                <c:pt idx="857">
                  <c:v>46299.572222222218</c:v>
                </c:pt>
                <c:pt idx="858">
                  <c:v>46299.572916666657</c:v>
                </c:pt>
                <c:pt idx="859">
                  <c:v>46299.573611111111</c:v>
                </c:pt>
                <c:pt idx="860">
                  <c:v>46299.574305555558</c:v>
                </c:pt>
                <c:pt idx="861">
                  <c:v>46299.574999999997</c:v>
                </c:pt>
                <c:pt idx="862">
                  <c:v>46299.575694444437</c:v>
                </c:pt>
                <c:pt idx="863">
                  <c:v>46299.576388888891</c:v>
                </c:pt>
                <c:pt idx="864">
                  <c:v>46299.57708333333</c:v>
                </c:pt>
                <c:pt idx="865">
                  <c:v>46299.577777777777</c:v>
                </c:pt>
                <c:pt idx="866">
                  <c:v>46299.578472222223</c:v>
                </c:pt>
                <c:pt idx="867">
                  <c:v>46299.57916666667</c:v>
                </c:pt>
                <c:pt idx="868">
                  <c:v>46299.579861111109</c:v>
                </c:pt>
                <c:pt idx="869">
                  <c:v>46299.580555555563</c:v>
                </c:pt>
                <c:pt idx="870">
                  <c:v>46299.581250000003</c:v>
                </c:pt>
                <c:pt idx="871">
                  <c:v>46299.581944444442</c:v>
                </c:pt>
                <c:pt idx="872">
                  <c:v>46299.582638888889</c:v>
                </c:pt>
                <c:pt idx="873">
                  <c:v>46299.583333333343</c:v>
                </c:pt>
                <c:pt idx="874">
                  <c:v>46299.584027777782</c:v>
                </c:pt>
                <c:pt idx="875">
                  <c:v>46299.584722222222</c:v>
                </c:pt>
                <c:pt idx="876">
                  <c:v>46299.585416666669</c:v>
                </c:pt>
                <c:pt idx="877">
                  <c:v>46299.586111111108</c:v>
                </c:pt>
                <c:pt idx="878">
                  <c:v>46299.586805555547</c:v>
                </c:pt>
                <c:pt idx="879">
                  <c:v>46299.587500000001</c:v>
                </c:pt>
                <c:pt idx="880">
                  <c:v>46299.588194444441</c:v>
                </c:pt>
                <c:pt idx="881">
                  <c:v>46299.588888888888</c:v>
                </c:pt>
                <c:pt idx="882">
                  <c:v>46299.589583333327</c:v>
                </c:pt>
                <c:pt idx="883">
                  <c:v>46299.590277777781</c:v>
                </c:pt>
                <c:pt idx="884">
                  <c:v>46299.59097222222</c:v>
                </c:pt>
                <c:pt idx="885">
                  <c:v>46299.591666666667</c:v>
                </c:pt>
                <c:pt idx="886">
                  <c:v>46299.592361111107</c:v>
                </c:pt>
                <c:pt idx="887">
                  <c:v>46299.593055555553</c:v>
                </c:pt>
                <c:pt idx="888">
                  <c:v>46299.59375</c:v>
                </c:pt>
                <c:pt idx="889">
                  <c:v>46299.594444444447</c:v>
                </c:pt>
                <c:pt idx="890">
                  <c:v>46299.595138888893</c:v>
                </c:pt>
                <c:pt idx="891">
                  <c:v>46299.595833333333</c:v>
                </c:pt>
                <c:pt idx="892">
                  <c:v>46299.59652777778</c:v>
                </c:pt>
                <c:pt idx="893">
                  <c:v>46299.597222222219</c:v>
                </c:pt>
                <c:pt idx="894">
                  <c:v>46299.597916666673</c:v>
                </c:pt>
                <c:pt idx="895">
                  <c:v>46299.598611111112</c:v>
                </c:pt>
                <c:pt idx="896">
                  <c:v>46299.599305555559</c:v>
                </c:pt>
                <c:pt idx="897">
                  <c:v>46299.6</c:v>
                </c:pt>
                <c:pt idx="898">
                  <c:v>46299.600694444453</c:v>
                </c:pt>
                <c:pt idx="899">
                  <c:v>46299.601388888892</c:v>
                </c:pt>
                <c:pt idx="900">
                  <c:v>46299.602083333331</c:v>
                </c:pt>
                <c:pt idx="901">
                  <c:v>46299.602777777778</c:v>
                </c:pt>
                <c:pt idx="902">
                  <c:v>46299.603472222218</c:v>
                </c:pt>
                <c:pt idx="903">
                  <c:v>46299.604166666657</c:v>
                </c:pt>
                <c:pt idx="904">
                  <c:v>46299.604861111111</c:v>
                </c:pt>
                <c:pt idx="905">
                  <c:v>46299.605555555558</c:v>
                </c:pt>
                <c:pt idx="906">
                  <c:v>46299.606249999997</c:v>
                </c:pt>
                <c:pt idx="907">
                  <c:v>46299.606944444437</c:v>
                </c:pt>
                <c:pt idx="908">
                  <c:v>46299.607638888891</c:v>
                </c:pt>
                <c:pt idx="909">
                  <c:v>46299.60833333333</c:v>
                </c:pt>
                <c:pt idx="910">
                  <c:v>46299.609027777777</c:v>
                </c:pt>
                <c:pt idx="911">
                  <c:v>46299.609722222223</c:v>
                </c:pt>
                <c:pt idx="912">
                  <c:v>46299.61041666667</c:v>
                </c:pt>
                <c:pt idx="913">
                  <c:v>46299.611111111109</c:v>
                </c:pt>
                <c:pt idx="914">
                  <c:v>46299.611805555563</c:v>
                </c:pt>
                <c:pt idx="915">
                  <c:v>46299.612500000003</c:v>
                </c:pt>
                <c:pt idx="916">
                  <c:v>46299.613194444442</c:v>
                </c:pt>
                <c:pt idx="917">
                  <c:v>46299.613888888889</c:v>
                </c:pt>
                <c:pt idx="918">
                  <c:v>46299.614583333343</c:v>
                </c:pt>
                <c:pt idx="919">
                  <c:v>46299.615277777782</c:v>
                </c:pt>
                <c:pt idx="920">
                  <c:v>46299.615972222222</c:v>
                </c:pt>
                <c:pt idx="921">
                  <c:v>46299.616666666669</c:v>
                </c:pt>
                <c:pt idx="922">
                  <c:v>46299.617361111108</c:v>
                </c:pt>
                <c:pt idx="923">
                  <c:v>46299.618055555547</c:v>
                </c:pt>
                <c:pt idx="924">
                  <c:v>46299.618750000001</c:v>
                </c:pt>
                <c:pt idx="925">
                  <c:v>46299.619444444441</c:v>
                </c:pt>
                <c:pt idx="926">
                  <c:v>46299.620138888888</c:v>
                </c:pt>
                <c:pt idx="927">
                  <c:v>46299.620833333327</c:v>
                </c:pt>
                <c:pt idx="928">
                  <c:v>46299.621527777781</c:v>
                </c:pt>
                <c:pt idx="929">
                  <c:v>46299.62222222222</c:v>
                </c:pt>
                <c:pt idx="930">
                  <c:v>46299.622916666667</c:v>
                </c:pt>
                <c:pt idx="931">
                  <c:v>46299.623611111107</c:v>
                </c:pt>
                <c:pt idx="932">
                  <c:v>46299.624305555553</c:v>
                </c:pt>
                <c:pt idx="933">
                  <c:v>46299.625</c:v>
                </c:pt>
                <c:pt idx="934">
                  <c:v>46299.625694444447</c:v>
                </c:pt>
                <c:pt idx="935">
                  <c:v>46299.626388888893</c:v>
                </c:pt>
                <c:pt idx="936">
                  <c:v>46299.627083333333</c:v>
                </c:pt>
                <c:pt idx="937">
                  <c:v>46299.62777777778</c:v>
                </c:pt>
                <c:pt idx="938">
                  <c:v>46299.628472222219</c:v>
                </c:pt>
                <c:pt idx="939">
                  <c:v>46299.629166666673</c:v>
                </c:pt>
                <c:pt idx="940">
                  <c:v>46299.629861111112</c:v>
                </c:pt>
                <c:pt idx="941">
                  <c:v>46299.630555555559</c:v>
                </c:pt>
                <c:pt idx="942">
                  <c:v>46299.631249999999</c:v>
                </c:pt>
                <c:pt idx="943">
                  <c:v>46299.631944444453</c:v>
                </c:pt>
                <c:pt idx="944">
                  <c:v>46299.632638888892</c:v>
                </c:pt>
                <c:pt idx="945">
                  <c:v>46299.633333333331</c:v>
                </c:pt>
                <c:pt idx="946">
                  <c:v>46299.634027777778</c:v>
                </c:pt>
                <c:pt idx="947">
                  <c:v>46299.634722222218</c:v>
                </c:pt>
                <c:pt idx="948">
                  <c:v>46299.635416666657</c:v>
                </c:pt>
                <c:pt idx="949">
                  <c:v>46299.636111111111</c:v>
                </c:pt>
                <c:pt idx="950">
                  <c:v>46299.636805555558</c:v>
                </c:pt>
                <c:pt idx="951">
                  <c:v>46299.637499999997</c:v>
                </c:pt>
                <c:pt idx="952">
                  <c:v>46299.638194444437</c:v>
                </c:pt>
                <c:pt idx="953">
                  <c:v>46299.638888888891</c:v>
                </c:pt>
                <c:pt idx="954">
                  <c:v>46299.63958333333</c:v>
                </c:pt>
                <c:pt idx="955">
                  <c:v>46299.640277777777</c:v>
                </c:pt>
                <c:pt idx="956">
                  <c:v>46299.640972222223</c:v>
                </c:pt>
                <c:pt idx="957">
                  <c:v>46299.64166666667</c:v>
                </c:pt>
                <c:pt idx="958">
                  <c:v>46299.642361111109</c:v>
                </c:pt>
                <c:pt idx="959">
                  <c:v>46299.643055555563</c:v>
                </c:pt>
              </c:numCache>
            </c:numRef>
          </c:xVal>
          <c:yVal>
            <c:numRef>
              <c:f>RoomA_Night1!$B$2:$B$961</c:f>
              <c:numCache>
                <c:formatCode>General</c:formatCode>
                <c:ptCount val="960"/>
                <c:pt idx="0">
                  <c:v>21.035</c:v>
                </c:pt>
                <c:pt idx="1">
                  <c:v>20.907</c:v>
                </c:pt>
                <c:pt idx="2">
                  <c:v>20.997</c:v>
                </c:pt>
                <c:pt idx="3">
                  <c:v>21</c:v>
                </c:pt>
                <c:pt idx="4">
                  <c:v>20.640999999999998</c:v>
                </c:pt>
                <c:pt idx="5">
                  <c:v>20.283000000000001</c:v>
                </c:pt>
                <c:pt idx="6">
                  <c:v>20.535</c:v>
                </c:pt>
                <c:pt idx="7">
                  <c:v>20.34</c:v>
                </c:pt>
                <c:pt idx="8">
                  <c:v>19.827000000000002</c:v>
                </c:pt>
                <c:pt idx="9">
                  <c:v>19.597000000000001</c:v>
                </c:pt>
                <c:pt idx="10">
                  <c:v>19.417000000000002</c:v>
                </c:pt>
                <c:pt idx="11">
                  <c:v>19.347999999999999</c:v>
                </c:pt>
                <c:pt idx="12">
                  <c:v>19.338000000000001</c:v>
                </c:pt>
                <c:pt idx="13">
                  <c:v>19.306999999999999</c:v>
                </c:pt>
                <c:pt idx="14">
                  <c:v>19.323</c:v>
                </c:pt>
                <c:pt idx="15">
                  <c:v>19.358000000000001</c:v>
                </c:pt>
                <c:pt idx="16">
                  <c:v>19.37</c:v>
                </c:pt>
                <c:pt idx="17">
                  <c:v>19.398</c:v>
                </c:pt>
                <c:pt idx="18">
                  <c:v>19.414999999999999</c:v>
                </c:pt>
                <c:pt idx="19">
                  <c:v>19.420000000000002</c:v>
                </c:pt>
                <c:pt idx="20">
                  <c:v>19.434999999999999</c:v>
                </c:pt>
                <c:pt idx="21">
                  <c:v>19.445</c:v>
                </c:pt>
                <c:pt idx="22">
                  <c:v>19.440000000000001</c:v>
                </c:pt>
                <c:pt idx="23">
                  <c:v>19.452999999999999</c:v>
                </c:pt>
                <c:pt idx="24">
                  <c:v>19.442</c:v>
                </c:pt>
                <c:pt idx="25">
                  <c:v>19.475000000000001</c:v>
                </c:pt>
                <c:pt idx="26">
                  <c:v>19.483000000000001</c:v>
                </c:pt>
                <c:pt idx="27">
                  <c:v>19.483000000000001</c:v>
                </c:pt>
                <c:pt idx="28">
                  <c:v>19.492000000000001</c:v>
                </c:pt>
                <c:pt idx="29">
                  <c:v>19.481999999999999</c:v>
                </c:pt>
                <c:pt idx="30">
                  <c:v>19.468</c:v>
                </c:pt>
                <c:pt idx="31">
                  <c:v>19.463000000000001</c:v>
                </c:pt>
                <c:pt idx="32">
                  <c:v>19.440000000000001</c:v>
                </c:pt>
                <c:pt idx="33">
                  <c:v>19.477</c:v>
                </c:pt>
                <c:pt idx="34">
                  <c:v>19.46</c:v>
                </c:pt>
                <c:pt idx="35">
                  <c:v>19.463000000000001</c:v>
                </c:pt>
                <c:pt idx="36">
                  <c:v>19.46</c:v>
                </c:pt>
                <c:pt idx="37">
                  <c:v>19.454999999999998</c:v>
                </c:pt>
                <c:pt idx="38">
                  <c:v>19.452000000000002</c:v>
                </c:pt>
                <c:pt idx="39">
                  <c:v>19.448</c:v>
                </c:pt>
                <c:pt idx="40">
                  <c:v>19.445</c:v>
                </c:pt>
                <c:pt idx="41">
                  <c:v>19.437000000000001</c:v>
                </c:pt>
                <c:pt idx="42">
                  <c:v>19.428000000000001</c:v>
                </c:pt>
                <c:pt idx="43">
                  <c:v>19.428000000000001</c:v>
                </c:pt>
                <c:pt idx="44">
                  <c:v>19.43</c:v>
                </c:pt>
                <c:pt idx="45">
                  <c:v>19.422999999999998</c:v>
                </c:pt>
                <c:pt idx="46">
                  <c:v>19.428000000000001</c:v>
                </c:pt>
                <c:pt idx="47">
                  <c:v>19.431999999999999</c:v>
                </c:pt>
                <c:pt idx="48">
                  <c:v>19.425000000000001</c:v>
                </c:pt>
                <c:pt idx="49">
                  <c:v>19.417999999999999</c:v>
                </c:pt>
                <c:pt idx="50">
                  <c:v>19.417999999999999</c:v>
                </c:pt>
                <c:pt idx="51">
                  <c:v>19.414999999999999</c:v>
                </c:pt>
                <c:pt idx="52">
                  <c:v>19.402999999999999</c:v>
                </c:pt>
                <c:pt idx="53">
                  <c:v>19.399999999999999</c:v>
                </c:pt>
                <c:pt idx="54">
                  <c:v>19.388000000000002</c:v>
                </c:pt>
                <c:pt idx="55">
                  <c:v>19.382000000000001</c:v>
                </c:pt>
                <c:pt idx="56">
                  <c:v>19.393000000000001</c:v>
                </c:pt>
                <c:pt idx="57">
                  <c:v>19.38</c:v>
                </c:pt>
                <c:pt idx="58">
                  <c:v>19.373000000000001</c:v>
                </c:pt>
                <c:pt idx="59">
                  <c:v>19.37</c:v>
                </c:pt>
                <c:pt idx="60">
                  <c:v>19.372</c:v>
                </c:pt>
                <c:pt idx="61">
                  <c:v>19.364999999999998</c:v>
                </c:pt>
                <c:pt idx="62">
                  <c:v>19.352</c:v>
                </c:pt>
                <c:pt idx="63">
                  <c:v>19.350000000000001</c:v>
                </c:pt>
                <c:pt idx="64">
                  <c:v>19.352</c:v>
                </c:pt>
                <c:pt idx="65">
                  <c:v>19.338000000000001</c:v>
                </c:pt>
                <c:pt idx="66">
                  <c:v>19.335000000000001</c:v>
                </c:pt>
                <c:pt idx="67">
                  <c:v>19.344999999999999</c:v>
                </c:pt>
                <c:pt idx="68">
                  <c:v>19.335000000000001</c:v>
                </c:pt>
                <c:pt idx="69">
                  <c:v>19.327999999999999</c:v>
                </c:pt>
                <c:pt idx="70">
                  <c:v>19.323</c:v>
                </c:pt>
                <c:pt idx="71">
                  <c:v>19.335000000000001</c:v>
                </c:pt>
                <c:pt idx="72">
                  <c:v>19.332999999999998</c:v>
                </c:pt>
                <c:pt idx="73">
                  <c:v>19.321999999999999</c:v>
                </c:pt>
                <c:pt idx="74">
                  <c:v>19.327999999999999</c:v>
                </c:pt>
                <c:pt idx="75">
                  <c:v>19.324999999999999</c:v>
                </c:pt>
                <c:pt idx="76">
                  <c:v>19.327999999999999</c:v>
                </c:pt>
                <c:pt idx="77">
                  <c:v>19.327999999999999</c:v>
                </c:pt>
                <c:pt idx="78">
                  <c:v>19.312000000000001</c:v>
                </c:pt>
                <c:pt idx="79">
                  <c:v>19.312000000000001</c:v>
                </c:pt>
                <c:pt idx="80">
                  <c:v>19.292999999999999</c:v>
                </c:pt>
                <c:pt idx="81">
                  <c:v>19.302</c:v>
                </c:pt>
                <c:pt idx="82">
                  <c:v>19.302</c:v>
                </c:pt>
                <c:pt idx="83">
                  <c:v>19.297000000000001</c:v>
                </c:pt>
                <c:pt idx="84">
                  <c:v>19.297999999999998</c:v>
                </c:pt>
                <c:pt idx="85">
                  <c:v>19.29</c:v>
                </c:pt>
                <c:pt idx="86">
                  <c:v>19.28</c:v>
                </c:pt>
                <c:pt idx="87">
                  <c:v>19.277000000000001</c:v>
                </c:pt>
                <c:pt idx="88">
                  <c:v>19.262</c:v>
                </c:pt>
                <c:pt idx="89">
                  <c:v>19.262</c:v>
                </c:pt>
                <c:pt idx="90">
                  <c:v>19.253</c:v>
                </c:pt>
                <c:pt idx="91">
                  <c:v>19.260000000000002</c:v>
                </c:pt>
                <c:pt idx="92">
                  <c:v>19.263000000000002</c:v>
                </c:pt>
                <c:pt idx="93">
                  <c:v>19.262</c:v>
                </c:pt>
                <c:pt idx="94">
                  <c:v>19.268000000000001</c:v>
                </c:pt>
                <c:pt idx="95">
                  <c:v>19.265000000000001</c:v>
                </c:pt>
                <c:pt idx="96">
                  <c:v>19.254999999999999</c:v>
                </c:pt>
                <c:pt idx="97">
                  <c:v>19.257999999999999</c:v>
                </c:pt>
                <c:pt idx="98">
                  <c:v>19.247</c:v>
                </c:pt>
                <c:pt idx="99">
                  <c:v>19.245000000000001</c:v>
                </c:pt>
                <c:pt idx="100">
                  <c:v>19.248000000000001</c:v>
                </c:pt>
                <c:pt idx="101">
                  <c:v>19.238</c:v>
                </c:pt>
                <c:pt idx="102">
                  <c:v>19.236999999999998</c:v>
                </c:pt>
                <c:pt idx="103">
                  <c:v>19.23</c:v>
                </c:pt>
                <c:pt idx="104">
                  <c:v>19.227</c:v>
                </c:pt>
                <c:pt idx="105">
                  <c:v>19.227</c:v>
                </c:pt>
                <c:pt idx="106">
                  <c:v>19.218</c:v>
                </c:pt>
                <c:pt idx="107">
                  <c:v>19.222999999999999</c:v>
                </c:pt>
                <c:pt idx="108">
                  <c:v>19.222000000000001</c:v>
                </c:pt>
                <c:pt idx="109">
                  <c:v>19.212</c:v>
                </c:pt>
                <c:pt idx="110">
                  <c:v>19.204999999999998</c:v>
                </c:pt>
                <c:pt idx="111">
                  <c:v>19.198</c:v>
                </c:pt>
                <c:pt idx="112">
                  <c:v>19.193000000000001</c:v>
                </c:pt>
                <c:pt idx="113">
                  <c:v>19.183</c:v>
                </c:pt>
                <c:pt idx="114">
                  <c:v>19.187999999999999</c:v>
                </c:pt>
                <c:pt idx="115">
                  <c:v>19.187999999999999</c:v>
                </c:pt>
                <c:pt idx="116">
                  <c:v>19.167999999999999</c:v>
                </c:pt>
                <c:pt idx="117">
                  <c:v>19.18</c:v>
                </c:pt>
                <c:pt idx="118">
                  <c:v>19.170000000000002</c:v>
                </c:pt>
                <c:pt idx="119">
                  <c:v>19.175000000000001</c:v>
                </c:pt>
                <c:pt idx="120">
                  <c:v>19.172999999999998</c:v>
                </c:pt>
                <c:pt idx="121">
                  <c:v>19.158000000000001</c:v>
                </c:pt>
                <c:pt idx="122">
                  <c:v>19.157</c:v>
                </c:pt>
                <c:pt idx="123">
                  <c:v>19.152999999999999</c:v>
                </c:pt>
                <c:pt idx="124">
                  <c:v>19.149999999999999</c:v>
                </c:pt>
                <c:pt idx="125">
                  <c:v>19.145</c:v>
                </c:pt>
                <c:pt idx="126">
                  <c:v>19.132999999999999</c:v>
                </c:pt>
                <c:pt idx="127">
                  <c:v>19.128</c:v>
                </c:pt>
                <c:pt idx="128">
                  <c:v>19.132000000000001</c:v>
                </c:pt>
                <c:pt idx="129">
                  <c:v>19.13</c:v>
                </c:pt>
                <c:pt idx="130">
                  <c:v>19.132000000000001</c:v>
                </c:pt>
                <c:pt idx="131">
                  <c:v>19.128</c:v>
                </c:pt>
                <c:pt idx="132">
                  <c:v>19.117000000000001</c:v>
                </c:pt>
                <c:pt idx="133">
                  <c:v>19.11</c:v>
                </c:pt>
                <c:pt idx="134">
                  <c:v>19.108000000000001</c:v>
                </c:pt>
                <c:pt idx="135">
                  <c:v>19.097999999999999</c:v>
                </c:pt>
                <c:pt idx="136">
                  <c:v>19.103000000000002</c:v>
                </c:pt>
                <c:pt idx="137">
                  <c:v>19.103000000000002</c:v>
                </c:pt>
                <c:pt idx="138">
                  <c:v>19.097000000000001</c:v>
                </c:pt>
                <c:pt idx="139">
                  <c:v>19.097999999999999</c:v>
                </c:pt>
                <c:pt idx="140">
                  <c:v>19.082000000000001</c:v>
                </c:pt>
                <c:pt idx="141">
                  <c:v>19.082999999999998</c:v>
                </c:pt>
                <c:pt idx="142">
                  <c:v>19.082999999999998</c:v>
                </c:pt>
                <c:pt idx="143">
                  <c:v>19.07</c:v>
                </c:pt>
                <c:pt idx="144">
                  <c:v>19.074999999999999</c:v>
                </c:pt>
                <c:pt idx="145">
                  <c:v>19.062999999999999</c:v>
                </c:pt>
                <c:pt idx="146">
                  <c:v>19.052</c:v>
                </c:pt>
                <c:pt idx="147">
                  <c:v>19.047999999999998</c:v>
                </c:pt>
                <c:pt idx="148">
                  <c:v>19.047000000000001</c:v>
                </c:pt>
                <c:pt idx="149">
                  <c:v>19.042999999999999</c:v>
                </c:pt>
                <c:pt idx="150">
                  <c:v>19.047000000000001</c:v>
                </c:pt>
                <c:pt idx="151">
                  <c:v>19.027999999999999</c:v>
                </c:pt>
                <c:pt idx="152">
                  <c:v>19.036999999999999</c:v>
                </c:pt>
                <c:pt idx="153">
                  <c:v>19.027000000000001</c:v>
                </c:pt>
                <c:pt idx="154">
                  <c:v>19.023</c:v>
                </c:pt>
                <c:pt idx="155">
                  <c:v>19.023</c:v>
                </c:pt>
                <c:pt idx="156">
                  <c:v>19.010000000000002</c:v>
                </c:pt>
                <c:pt idx="157">
                  <c:v>19.004999999999999</c:v>
                </c:pt>
                <c:pt idx="158">
                  <c:v>19</c:v>
                </c:pt>
                <c:pt idx="159">
                  <c:v>18.992999999999999</c:v>
                </c:pt>
                <c:pt idx="160">
                  <c:v>18.995000000000001</c:v>
                </c:pt>
                <c:pt idx="161">
                  <c:v>18.988</c:v>
                </c:pt>
                <c:pt idx="162">
                  <c:v>18.978000000000002</c:v>
                </c:pt>
                <c:pt idx="163">
                  <c:v>18.977</c:v>
                </c:pt>
                <c:pt idx="164">
                  <c:v>18.977</c:v>
                </c:pt>
                <c:pt idx="165">
                  <c:v>18.972999999999999</c:v>
                </c:pt>
                <c:pt idx="166">
                  <c:v>18.972000000000001</c:v>
                </c:pt>
                <c:pt idx="167">
                  <c:v>18.963000000000001</c:v>
                </c:pt>
                <c:pt idx="168">
                  <c:v>18.954999999999998</c:v>
                </c:pt>
                <c:pt idx="169">
                  <c:v>18.952999999999999</c:v>
                </c:pt>
                <c:pt idx="170">
                  <c:v>18.946999999999999</c:v>
                </c:pt>
                <c:pt idx="171">
                  <c:v>18.937000000000001</c:v>
                </c:pt>
                <c:pt idx="172">
                  <c:v>18.943000000000001</c:v>
                </c:pt>
                <c:pt idx="173">
                  <c:v>18.933</c:v>
                </c:pt>
                <c:pt idx="174">
                  <c:v>18.925000000000001</c:v>
                </c:pt>
                <c:pt idx="175">
                  <c:v>18.927</c:v>
                </c:pt>
                <c:pt idx="176">
                  <c:v>18.925000000000001</c:v>
                </c:pt>
                <c:pt idx="177">
                  <c:v>18.927</c:v>
                </c:pt>
                <c:pt idx="178">
                  <c:v>18.91</c:v>
                </c:pt>
                <c:pt idx="179">
                  <c:v>18.911999999999999</c:v>
                </c:pt>
                <c:pt idx="180">
                  <c:v>18.905000000000001</c:v>
                </c:pt>
                <c:pt idx="181">
                  <c:v>18.893000000000001</c:v>
                </c:pt>
                <c:pt idx="182">
                  <c:v>18.89</c:v>
                </c:pt>
                <c:pt idx="183">
                  <c:v>18.882999999999999</c:v>
                </c:pt>
                <c:pt idx="184">
                  <c:v>18.88</c:v>
                </c:pt>
                <c:pt idx="185">
                  <c:v>18.882000000000001</c:v>
                </c:pt>
                <c:pt idx="186">
                  <c:v>18.87</c:v>
                </c:pt>
                <c:pt idx="187">
                  <c:v>18.867999999999999</c:v>
                </c:pt>
                <c:pt idx="188">
                  <c:v>18.86</c:v>
                </c:pt>
                <c:pt idx="189">
                  <c:v>18.858000000000001</c:v>
                </c:pt>
                <c:pt idx="190">
                  <c:v>18.864999999999998</c:v>
                </c:pt>
                <c:pt idx="191">
                  <c:v>18.856999999999999</c:v>
                </c:pt>
                <c:pt idx="192">
                  <c:v>18.843</c:v>
                </c:pt>
                <c:pt idx="193">
                  <c:v>18.847999999999999</c:v>
                </c:pt>
                <c:pt idx="194">
                  <c:v>18.844999999999999</c:v>
                </c:pt>
                <c:pt idx="195">
                  <c:v>18.844999999999999</c:v>
                </c:pt>
                <c:pt idx="196">
                  <c:v>18.84</c:v>
                </c:pt>
                <c:pt idx="197">
                  <c:v>18.827999999999999</c:v>
                </c:pt>
                <c:pt idx="198">
                  <c:v>18.829999999999998</c:v>
                </c:pt>
                <c:pt idx="199">
                  <c:v>18.818000000000001</c:v>
                </c:pt>
                <c:pt idx="200">
                  <c:v>18.806999999999999</c:v>
                </c:pt>
                <c:pt idx="201">
                  <c:v>18.815000000000001</c:v>
                </c:pt>
                <c:pt idx="202">
                  <c:v>18.803000000000001</c:v>
                </c:pt>
                <c:pt idx="203">
                  <c:v>18.792999999999999</c:v>
                </c:pt>
                <c:pt idx="204">
                  <c:v>18.797999999999998</c:v>
                </c:pt>
                <c:pt idx="205">
                  <c:v>18.788</c:v>
                </c:pt>
                <c:pt idx="206">
                  <c:v>18.783000000000001</c:v>
                </c:pt>
                <c:pt idx="207">
                  <c:v>18.783000000000001</c:v>
                </c:pt>
                <c:pt idx="208">
                  <c:v>18.768000000000001</c:v>
                </c:pt>
                <c:pt idx="209">
                  <c:v>18.768000000000001</c:v>
                </c:pt>
                <c:pt idx="210">
                  <c:v>18.762</c:v>
                </c:pt>
                <c:pt idx="211">
                  <c:v>18.753</c:v>
                </c:pt>
                <c:pt idx="212">
                  <c:v>18.742999999999999</c:v>
                </c:pt>
                <c:pt idx="213">
                  <c:v>18.734999999999999</c:v>
                </c:pt>
                <c:pt idx="214">
                  <c:v>18.733000000000001</c:v>
                </c:pt>
                <c:pt idx="215">
                  <c:v>18.734999999999999</c:v>
                </c:pt>
                <c:pt idx="216">
                  <c:v>18.725000000000001</c:v>
                </c:pt>
                <c:pt idx="217">
                  <c:v>18.72</c:v>
                </c:pt>
                <c:pt idx="218">
                  <c:v>18.72</c:v>
                </c:pt>
                <c:pt idx="219">
                  <c:v>18.713000000000001</c:v>
                </c:pt>
                <c:pt idx="220">
                  <c:v>18.702000000000002</c:v>
                </c:pt>
                <c:pt idx="221">
                  <c:v>18.698</c:v>
                </c:pt>
                <c:pt idx="222">
                  <c:v>18.693000000000001</c:v>
                </c:pt>
                <c:pt idx="223">
                  <c:v>18.702000000000002</c:v>
                </c:pt>
                <c:pt idx="224">
                  <c:v>18.693000000000001</c:v>
                </c:pt>
                <c:pt idx="225">
                  <c:v>18.687000000000001</c:v>
                </c:pt>
                <c:pt idx="226">
                  <c:v>18.683</c:v>
                </c:pt>
                <c:pt idx="227">
                  <c:v>18.678000000000001</c:v>
                </c:pt>
                <c:pt idx="228">
                  <c:v>18.677</c:v>
                </c:pt>
                <c:pt idx="229">
                  <c:v>18.672999999999998</c:v>
                </c:pt>
                <c:pt idx="230">
                  <c:v>18.664999999999999</c:v>
                </c:pt>
                <c:pt idx="231">
                  <c:v>18.655000000000001</c:v>
                </c:pt>
                <c:pt idx="232">
                  <c:v>18.652999999999999</c:v>
                </c:pt>
                <c:pt idx="233">
                  <c:v>18.675000000000001</c:v>
                </c:pt>
                <c:pt idx="234">
                  <c:v>18.754999999999999</c:v>
                </c:pt>
                <c:pt idx="235">
                  <c:v>18.856999999999999</c:v>
                </c:pt>
                <c:pt idx="236">
                  <c:v>18.98</c:v>
                </c:pt>
                <c:pt idx="237">
                  <c:v>19.111999999999998</c:v>
                </c:pt>
                <c:pt idx="238">
                  <c:v>19.14</c:v>
                </c:pt>
                <c:pt idx="239">
                  <c:v>19.141999999999999</c:v>
                </c:pt>
                <c:pt idx="240">
                  <c:v>19.123000000000001</c:v>
                </c:pt>
                <c:pt idx="241">
                  <c:v>19.087</c:v>
                </c:pt>
                <c:pt idx="242">
                  <c:v>19.036999999999999</c:v>
                </c:pt>
                <c:pt idx="243">
                  <c:v>18.986999999999998</c:v>
                </c:pt>
                <c:pt idx="244">
                  <c:v>18.943000000000001</c:v>
                </c:pt>
                <c:pt idx="245">
                  <c:v>18.917000000000002</c:v>
                </c:pt>
                <c:pt idx="246">
                  <c:v>18.887</c:v>
                </c:pt>
                <c:pt idx="247">
                  <c:v>18.864999999999998</c:v>
                </c:pt>
                <c:pt idx="248">
                  <c:v>18.856999999999999</c:v>
                </c:pt>
                <c:pt idx="249">
                  <c:v>18.832999999999998</c:v>
                </c:pt>
                <c:pt idx="250">
                  <c:v>18.82</c:v>
                </c:pt>
                <c:pt idx="251">
                  <c:v>18.803000000000001</c:v>
                </c:pt>
                <c:pt idx="252">
                  <c:v>18.79</c:v>
                </c:pt>
                <c:pt idx="253">
                  <c:v>18.771999999999998</c:v>
                </c:pt>
                <c:pt idx="254">
                  <c:v>18.751999999999999</c:v>
                </c:pt>
                <c:pt idx="255">
                  <c:v>18.751999999999999</c:v>
                </c:pt>
                <c:pt idx="256">
                  <c:v>18.73</c:v>
                </c:pt>
                <c:pt idx="257">
                  <c:v>18.72</c:v>
                </c:pt>
                <c:pt idx="258">
                  <c:v>18.715</c:v>
                </c:pt>
                <c:pt idx="259">
                  <c:v>18.704999999999998</c:v>
                </c:pt>
                <c:pt idx="260">
                  <c:v>18.698</c:v>
                </c:pt>
                <c:pt idx="261">
                  <c:v>18.693000000000001</c:v>
                </c:pt>
                <c:pt idx="262">
                  <c:v>18.68</c:v>
                </c:pt>
                <c:pt idx="263">
                  <c:v>18.683</c:v>
                </c:pt>
                <c:pt idx="264">
                  <c:v>18.663</c:v>
                </c:pt>
                <c:pt idx="265">
                  <c:v>18.652000000000001</c:v>
                </c:pt>
                <c:pt idx="266">
                  <c:v>18.646999999999998</c:v>
                </c:pt>
                <c:pt idx="267">
                  <c:v>18.643000000000001</c:v>
                </c:pt>
                <c:pt idx="268">
                  <c:v>18.637</c:v>
                </c:pt>
                <c:pt idx="269">
                  <c:v>18.63</c:v>
                </c:pt>
                <c:pt idx="270">
                  <c:v>18.625</c:v>
                </c:pt>
                <c:pt idx="271">
                  <c:v>18.614999999999998</c:v>
                </c:pt>
                <c:pt idx="272">
                  <c:v>18.611999999999998</c:v>
                </c:pt>
                <c:pt idx="273">
                  <c:v>18.613</c:v>
                </c:pt>
                <c:pt idx="274">
                  <c:v>18.605</c:v>
                </c:pt>
                <c:pt idx="275">
                  <c:v>18.597999999999999</c:v>
                </c:pt>
                <c:pt idx="276">
                  <c:v>18.59</c:v>
                </c:pt>
                <c:pt idx="277">
                  <c:v>18.582000000000001</c:v>
                </c:pt>
                <c:pt idx="278">
                  <c:v>18.577000000000002</c:v>
                </c:pt>
                <c:pt idx="279">
                  <c:v>18.565000000000001</c:v>
                </c:pt>
                <c:pt idx="280">
                  <c:v>18.562999999999999</c:v>
                </c:pt>
                <c:pt idx="281">
                  <c:v>18.55</c:v>
                </c:pt>
                <c:pt idx="282">
                  <c:v>18.538</c:v>
                </c:pt>
                <c:pt idx="283">
                  <c:v>18.573</c:v>
                </c:pt>
                <c:pt idx="284">
                  <c:v>18.661999999999999</c:v>
                </c:pt>
                <c:pt idx="285">
                  <c:v>18.788</c:v>
                </c:pt>
                <c:pt idx="286">
                  <c:v>18.933</c:v>
                </c:pt>
                <c:pt idx="287">
                  <c:v>19.033000000000001</c:v>
                </c:pt>
                <c:pt idx="288">
                  <c:v>19.056999999999999</c:v>
                </c:pt>
                <c:pt idx="289">
                  <c:v>19.073</c:v>
                </c:pt>
                <c:pt idx="290">
                  <c:v>19.032</c:v>
                </c:pt>
                <c:pt idx="291">
                  <c:v>18.984999999999999</c:v>
                </c:pt>
                <c:pt idx="292">
                  <c:v>18.922999999999998</c:v>
                </c:pt>
                <c:pt idx="293">
                  <c:v>18.885000000000002</c:v>
                </c:pt>
                <c:pt idx="294">
                  <c:v>18.853000000000002</c:v>
                </c:pt>
                <c:pt idx="295">
                  <c:v>18.821999999999999</c:v>
                </c:pt>
                <c:pt idx="296">
                  <c:v>18.79</c:v>
                </c:pt>
                <c:pt idx="297">
                  <c:v>18.773</c:v>
                </c:pt>
                <c:pt idx="298">
                  <c:v>18.751999999999999</c:v>
                </c:pt>
                <c:pt idx="299">
                  <c:v>18.728000000000002</c:v>
                </c:pt>
                <c:pt idx="300">
                  <c:v>18.716999999999999</c:v>
                </c:pt>
                <c:pt idx="301">
                  <c:v>18.693000000000001</c:v>
                </c:pt>
                <c:pt idx="302">
                  <c:v>18.684999999999999</c:v>
                </c:pt>
                <c:pt idx="303">
                  <c:v>18.672999999999998</c:v>
                </c:pt>
                <c:pt idx="304">
                  <c:v>18.663</c:v>
                </c:pt>
                <c:pt idx="305">
                  <c:v>18.655000000000001</c:v>
                </c:pt>
                <c:pt idx="306">
                  <c:v>18.643000000000001</c:v>
                </c:pt>
                <c:pt idx="307">
                  <c:v>18.63</c:v>
                </c:pt>
                <c:pt idx="308">
                  <c:v>18.617000000000001</c:v>
                </c:pt>
                <c:pt idx="309">
                  <c:v>18.617999999999999</c:v>
                </c:pt>
                <c:pt idx="310">
                  <c:v>18.603000000000002</c:v>
                </c:pt>
                <c:pt idx="311">
                  <c:v>18.59</c:v>
                </c:pt>
                <c:pt idx="312">
                  <c:v>18.582000000000001</c:v>
                </c:pt>
                <c:pt idx="313">
                  <c:v>18.585000000000001</c:v>
                </c:pt>
                <c:pt idx="314">
                  <c:v>18.582999999999998</c:v>
                </c:pt>
                <c:pt idx="315">
                  <c:v>18.577999999999999</c:v>
                </c:pt>
                <c:pt idx="316">
                  <c:v>18.558</c:v>
                </c:pt>
                <c:pt idx="317">
                  <c:v>18.556999999999999</c:v>
                </c:pt>
                <c:pt idx="318">
                  <c:v>18.553000000000001</c:v>
                </c:pt>
                <c:pt idx="319">
                  <c:v>18.558</c:v>
                </c:pt>
                <c:pt idx="320">
                  <c:v>18.556999999999999</c:v>
                </c:pt>
                <c:pt idx="321">
                  <c:v>18.54</c:v>
                </c:pt>
                <c:pt idx="322">
                  <c:v>18.53</c:v>
                </c:pt>
                <c:pt idx="323">
                  <c:v>18.515000000000001</c:v>
                </c:pt>
                <c:pt idx="324">
                  <c:v>18.512</c:v>
                </c:pt>
                <c:pt idx="325">
                  <c:v>18.510000000000002</c:v>
                </c:pt>
                <c:pt idx="326">
                  <c:v>18.498000000000001</c:v>
                </c:pt>
                <c:pt idx="327">
                  <c:v>18.510000000000002</c:v>
                </c:pt>
                <c:pt idx="328">
                  <c:v>18.516999999999999</c:v>
                </c:pt>
                <c:pt idx="329">
                  <c:v>18.55</c:v>
                </c:pt>
                <c:pt idx="330">
                  <c:v>18.63</c:v>
                </c:pt>
                <c:pt idx="331">
                  <c:v>18.757999999999999</c:v>
                </c:pt>
                <c:pt idx="332">
                  <c:v>18.89</c:v>
                </c:pt>
                <c:pt idx="333">
                  <c:v>19.035</c:v>
                </c:pt>
                <c:pt idx="334">
                  <c:v>19.055</c:v>
                </c:pt>
                <c:pt idx="335">
                  <c:v>19.065000000000001</c:v>
                </c:pt>
                <c:pt idx="336">
                  <c:v>19.013000000000002</c:v>
                </c:pt>
                <c:pt idx="337">
                  <c:v>18.954999999999998</c:v>
                </c:pt>
                <c:pt idx="338">
                  <c:v>18.91</c:v>
                </c:pt>
                <c:pt idx="339">
                  <c:v>18.873000000000001</c:v>
                </c:pt>
                <c:pt idx="340">
                  <c:v>18.835000000000001</c:v>
                </c:pt>
                <c:pt idx="341">
                  <c:v>18.785</c:v>
                </c:pt>
                <c:pt idx="342">
                  <c:v>18.754999999999999</c:v>
                </c:pt>
                <c:pt idx="343">
                  <c:v>18.73</c:v>
                </c:pt>
                <c:pt idx="344">
                  <c:v>18.707000000000001</c:v>
                </c:pt>
                <c:pt idx="345">
                  <c:v>18.692</c:v>
                </c:pt>
                <c:pt idx="346">
                  <c:v>18.672000000000001</c:v>
                </c:pt>
                <c:pt idx="347">
                  <c:v>18.663</c:v>
                </c:pt>
                <c:pt idx="348">
                  <c:v>18.646999999999998</c:v>
                </c:pt>
                <c:pt idx="349">
                  <c:v>18.626999999999999</c:v>
                </c:pt>
                <c:pt idx="350">
                  <c:v>18.623000000000001</c:v>
                </c:pt>
                <c:pt idx="351">
                  <c:v>18.602</c:v>
                </c:pt>
                <c:pt idx="352">
                  <c:v>18.605</c:v>
                </c:pt>
                <c:pt idx="353">
                  <c:v>18.588000000000001</c:v>
                </c:pt>
                <c:pt idx="354">
                  <c:v>18.588000000000001</c:v>
                </c:pt>
                <c:pt idx="355">
                  <c:v>18.582000000000001</c:v>
                </c:pt>
                <c:pt idx="356">
                  <c:v>18.582000000000001</c:v>
                </c:pt>
                <c:pt idx="357">
                  <c:v>18.574999999999999</c:v>
                </c:pt>
                <c:pt idx="358">
                  <c:v>18.559999999999999</c:v>
                </c:pt>
                <c:pt idx="359">
                  <c:v>18.542999999999999</c:v>
                </c:pt>
                <c:pt idx="360">
                  <c:v>18.532</c:v>
                </c:pt>
                <c:pt idx="361">
                  <c:v>18.53</c:v>
                </c:pt>
                <c:pt idx="362">
                  <c:v>18.523</c:v>
                </c:pt>
                <c:pt idx="363">
                  <c:v>18.523</c:v>
                </c:pt>
                <c:pt idx="364">
                  <c:v>18.512</c:v>
                </c:pt>
                <c:pt idx="365">
                  <c:v>18.507999999999999</c:v>
                </c:pt>
                <c:pt idx="366">
                  <c:v>18.503</c:v>
                </c:pt>
                <c:pt idx="367">
                  <c:v>18.503</c:v>
                </c:pt>
                <c:pt idx="368">
                  <c:v>18.497</c:v>
                </c:pt>
                <c:pt idx="369">
                  <c:v>18.481999999999999</c:v>
                </c:pt>
                <c:pt idx="370">
                  <c:v>18.481999999999999</c:v>
                </c:pt>
                <c:pt idx="371">
                  <c:v>18.472999999999999</c:v>
                </c:pt>
                <c:pt idx="372">
                  <c:v>18.462</c:v>
                </c:pt>
                <c:pt idx="373">
                  <c:v>18.45</c:v>
                </c:pt>
                <c:pt idx="374">
                  <c:v>18.448</c:v>
                </c:pt>
                <c:pt idx="375">
                  <c:v>18.463000000000001</c:v>
                </c:pt>
                <c:pt idx="376">
                  <c:v>18.489999999999998</c:v>
                </c:pt>
                <c:pt idx="377">
                  <c:v>18.565000000000001</c:v>
                </c:pt>
                <c:pt idx="378">
                  <c:v>18.716999999999999</c:v>
                </c:pt>
                <c:pt idx="379">
                  <c:v>18.88</c:v>
                </c:pt>
                <c:pt idx="380">
                  <c:v>19.027000000000001</c:v>
                </c:pt>
                <c:pt idx="381">
                  <c:v>19.04</c:v>
                </c:pt>
                <c:pt idx="382">
                  <c:v>19.027999999999999</c:v>
                </c:pt>
                <c:pt idx="383">
                  <c:v>19.010000000000002</c:v>
                </c:pt>
                <c:pt idx="384">
                  <c:v>18.954999999999998</c:v>
                </c:pt>
                <c:pt idx="385">
                  <c:v>18.908000000000001</c:v>
                </c:pt>
                <c:pt idx="386">
                  <c:v>18.855</c:v>
                </c:pt>
                <c:pt idx="387">
                  <c:v>18.808</c:v>
                </c:pt>
                <c:pt idx="388">
                  <c:v>18.763000000000002</c:v>
                </c:pt>
                <c:pt idx="389">
                  <c:v>18.73</c:v>
                </c:pt>
                <c:pt idx="390">
                  <c:v>18.71</c:v>
                </c:pt>
                <c:pt idx="391">
                  <c:v>18.681999999999999</c:v>
                </c:pt>
                <c:pt idx="392">
                  <c:v>18.655000000000001</c:v>
                </c:pt>
                <c:pt idx="393">
                  <c:v>18.63</c:v>
                </c:pt>
                <c:pt idx="394">
                  <c:v>18.62</c:v>
                </c:pt>
                <c:pt idx="395">
                  <c:v>18.606999999999999</c:v>
                </c:pt>
                <c:pt idx="396">
                  <c:v>18.593</c:v>
                </c:pt>
                <c:pt idx="397">
                  <c:v>18.577999999999999</c:v>
                </c:pt>
                <c:pt idx="398">
                  <c:v>18.568000000000001</c:v>
                </c:pt>
                <c:pt idx="399">
                  <c:v>18.565000000000001</c:v>
                </c:pt>
                <c:pt idx="400">
                  <c:v>18.559999999999999</c:v>
                </c:pt>
                <c:pt idx="401">
                  <c:v>18.552</c:v>
                </c:pt>
                <c:pt idx="402">
                  <c:v>18.552</c:v>
                </c:pt>
                <c:pt idx="403">
                  <c:v>18.54</c:v>
                </c:pt>
                <c:pt idx="404">
                  <c:v>18.523</c:v>
                </c:pt>
                <c:pt idx="405">
                  <c:v>18.535</c:v>
                </c:pt>
                <c:pt idx="406">
                  <c:v>18.524999999999999</c:v>
                </c:pt>
                <c:pt idx="407">
                  <c:v>18.518000000000001</c:v>
                </c:pt>
                <c:pt idx="408">
                  <c:v>18.503</c:v>
                </c:pt>
                <c:pt idx="409">
                  <c:v>18.492999999999999</c:v>
                </c:pt>
                <c:pt idx="410">
                  <c:v>18.492000000000001</c:v>
                </c:pt>
                <c:pt idx="411">
                  <c:v>18.492999999999999</c:v>
                </c:pt>
                <c:pt idx="412">
                  <c:v>18.481999999999999</c:v>
                </c:pt>
                <c:pt idx="413">
                  <c:v>18.47</c:v>
                </c:pt>
                <c:pt idx="414">
                  <c:v>18.457999999999998</c:v>
                </c:pt>
                <c:pt idx="415">
                  <c:v>18.448</c:v>
                </c:pt>
                <c:pt idx="416">
                  <c:v>18.440000000000001</c:v>
                </c:pt>
                <c:pt idx="417">
                  <c:v>18.440000000000001</c:v>
                </c:pt>
                <c:pt idx="418">
                  <c:v>18.422999999999998</c:v>
                </c:pt>
                <c:pt idx="419">
                  <c:v>18.420000000000002</c:v>
                </c:pt>
                <c:pt idx="420">
                  <c:v>18.411999999999999</c:v>
                </c:pt>
                <c:pt idx="421">
                  <c:v>18.396999999999998</c:v>
                </c:pt>
                <c:pt idx="422">
                  <c:v>18.391999999999999</c:v>
                </c:pt>
                <c:pt idx="423">
                  <c:v>18.395</c:v>
                </c:pt>
                <c:pt idx="424">
                  <c:v>18.39</c:v>
                </c:pt>
                <c:pt idx="425">
                  <c:v>18.443000000000001</c:v>
                </c:pt>
                <c:pt idx="426">
                  <c:v>18.513000000000002</c:v>
                </c:pt>
                <c:pt idx="427">
                  <c:v>18.663</c:v>
                </c:pt>
                <c:pt idx="428">
                  <c:v>18.827000000000002</c:v>
                </c:pt>
                <c:pt idx="429">
                  <c:v>18.977</c:v>
                </c:pt>
                <c:pt idx="430">
                  <c:v>19.012</c:v>
                </c:pt>
                <c:pt idx="431">
                  <c:v>18.995000000000001</c:v>
                </c:pt>
                <c:pt idx="432">
                  <c:v>18.940000000000001</c:v>
                </c:pt>
                <c:pt idx="433">
                  <c:v>18.898</c:v>
                </c:pt>
                <c:pt idx="434">
                  <c:v>18.847999999999999</c:v>
                </c:pt>
                <c:pt idx="435">
                  <c:v>18.8</c:v>
                </c:pt>
                <c:pt idx="436">
                  <c:v>18.766999999999999</c:v>
                </c:pt>
                <c:pt idx="437">
                  <c:v>18.713000000000001</c:v>
                </c:pt>
                <c:pt idx="438">
                  <c:v>18.68</c:v>
                </c:pt>
                <c:pt idx="439">
                  <c:v>18.641999999999999</c:v>
                </c:pt>
                <c:pt idx="440">
                  <c:v>18.617000000000001</c:v>
                </c:pt>
                <c:pt idx="441">
                  <c:v>18.59</c:v>
                </c:pt>
                <c:pt idx="442">
                  <c:v>18.573</c:v>
                </c:pt>
                <c:pt idx="443">
                  <c:v>18.553000000000001</c:v>
                </c:pt>
                <c:pt idx="444">
                  <c:v>18.545000000000002</c:v>
                </c:pt>
                <c:pt idx="445">
                  <c:v>18.527000000000001</c:v>
                </c:pt>
                <c:pt idx="446">
                  <c:v>18.524999999999999</c:v>
                </c:pt>
                <c:pt idx="447">
                  <c:v>18.524999999999999</c:v>
                </c:pt>
                <c:pt idx="448">
                  <c:v>18.523</c:v>
                </c:pt>
                <c:pt idx="449">
                  <c:v>18.501999999999999</c:v>
                </c:pt>
                <c:pt idx="450">
                  <c:v>18.492999999999999</c:v>
                </c:pt>
                <c:pt idx="451">
                  <c:v>18.484999999999999</c:v>
                </c:pt>
                <c:pt idx="452">
                  <c:v>18.48</c:v>
                </c:pt>
                <c:pt idx="453">
                  <c:v>18.468</c:v>
                </c:pt>
                <c:pt idx="454">
                  <c:v>18.457000000000001</c:v>
                </c:pt>
                <c:pt idx="455">
                  <c:v>18.443000000000001</c:v>
                </c:pt>
                <c:pt idx="456">
                  <c:v>18.452000000000002</c:v>
                </c:pt>
                <c:pt idx="457">
                  <c:v>18.445</c:v>
                </c:pt>
                <c:pt idx="458">
                  <c:v>18.448</c:v>
                </c:pt>
                <c:pt idx="459">
                  <c:v>18.437000000000001</c:v>
                </c:pt>
                <c:pt idx="460">
                  <c:v>18.427</c:v>
                </c:pt>
                <c:pt idx="461">
                  <c:v>18.428000000000001</c:v>
                </c:pt>
                <c:pt idx="462">
                  <c:v>18.422999999999998</c:v>
                </c:pt>
                <c:pt idx="463">
                  <c:v>18.402000000000001</c:v>
                </c:pt>
                <c:pt idx="464">
                  <c:v>18.395</c:v>
                </c:pt>
                <c:pt idx="465">
                  <c:v>18.395</c:v>
                </c:pt>
                <c:pt idx="466">
                  <c:v>18.38</c:v>
                </c:pt>
                <c:pt idx="467">
                  <c:v>18.367000000000001</c:v>
                </c:pt>
                <c:pt idx="468">
                  <c:v>18.361999999999998</c:v>
                </c:pt>
                <c:pt idx="469">
                  <c:v>18.37</c:v>
                </c:pt>
                <c:pt idx="470">
                  <c:v>18.43</c:v>
                </c:pt>
                <c:pt idx="471">
                  <c:v>18.52</c:v>
                </c:pt>
                <c:pt idx="472">
                  <c:v>18.667999999999999</c:v>
                </c:pt>
                <c:pt idx="473">
                  <c:v>18.818000000000001</c:v>
                </c:pt>
                <c:pt idx="474">
                  <c:v>18.920000000000002</c:v>
                </c:pt>
                <c:pt idx="475">
                  <c:v>18.989999999999998</c:v>
                </c:pt>
                <c:pt idx="476">
                  <c:v>18.986999999999998</c:v>
                </c:pt>
                <c:pt idx="477">
                  <c:v>18.942</c:v>
                </c:pt>
                <c:pt idx="478">
                  <c:v>18.911999999999999</c:v>
                </c:pt>
                <c:pt idx="479">
                  <c:v>18.847999999999999</c:v>
                </c:pt>
                <c:pt idx="480">
                  <c:v>18.785</c:v>
                </c:pt>
                <c:pt idx="481">
                  <c:v>18.757999999999999</c:v>
                </c:pt>
                <c:pt idx="482">
                  <c:v>18.707000000000001</c:v>
                </c:pt>
                <c:pt idx="483">
                  <c:v>18.661999999999999</c:v>
                </c:pt>
                <c:pt idx="484">
                  <c:v>18.632999999999999</c:v>
                </c:pt>
                <c:pt idx="485">
                  <c:v>18.606999999999999</c:v>
                </c:pt>
                <c:pt idx="486">
                  <c:v>18.593</c:v>
                </c:pt>
                <c:pt idx="487">
                  <c:v>18.579999999999998</c:v>
                </c:pt>
                <c:pt idx="488">
                  <c:v>18.558</c:v>
                </c:pt>
                <c:pt idx="489">
                  <c:v>18.542999999999999</c:v>
                </c:pt>
                <c:pt idx="490">
                  <c:v>18.535</c:v>
                </c:pt>
                <c:pt idx="491">
                  <c:v>18.532</c:v>
                </c:pt>
                <c:pt idx="492">
                  <c:v>18.515000000000001</c:v>
                </c:pt>
                <c:pt idx="493">
                  <c:v>18.515000000000001</c:v>
                </c:pt>
                <c:pt idx="494">
                  <c:v>18.492999999999999</c:v>
                </c:pt>
                <c:pt idx="495">
                  <c:v>18.492000000000001</c:v>
                </c:pt>
                <c:pt idx="496">
                  <c:v>18.488</c:v>
                </c:pt>
                <c:pt idx="497">
                  <c:v>18.472999999999999</c:v>
                </c:pt>
                <c:pt idx="498">
                  <c:v>18.457000000000001</c:v>
                </c:pt>
                <c:pt idx="499">
                  <c:v>18.463000000000001</c:v>
                </c:pt>
                <c:pt idx="500">
                  <c:v>18.454999999999998</c:v>
                </c:pt>
                <c:pt idx="501">
                  <c:v>18.443000000000001</c:v>
                </c:pt>
                <c:pt idx="502">
                  <c:v>18.443000000000001</c:v>
                </c:pt>
                <c:pt idx="503">
                  <c:v>18.440000000000001</c:v>
                </c:pt>
                <c:pt idx="504">
                  <c:v>18.428000000000001</c:v>
                </c:pt>
                <c:pt idx="505">
                  <c:v>18.431999999999999</c:v>
                </c:pt>
                <c:pt idx="506">
                  <c:v>18.417000000000002</c:v>
                </c:pt>
                <c:pt idx="507">
                  <c:v>18.417000000000002</c:v>
                </c:pt>
                <c:pt idx="508">
                  <c:v>18.417999999999999</c:v>
                </c:pt>
                <c:pt idx="509">
                  <c:v>18.411999999999999</c:v>
                </c:pt>
                <c:pt idx="510">
                  <c:v>18.402000000000001</c:v>
                </c:pt>
                <c:pt idx="511">
                  <c:v>18.398</c:v>
                </c:pt>
                <c:pt idx="512">
                  <c:v>18.385000000000002</c:v>
                </c:pt>
                <c:pt idx="513">
                  <c:v>18.387</c:v>
                </c:pt>
                <c:pt idx="514">
                  <c:v>18.388000000000002</c:v>
                </c:pt>
                <c:pt idx="515">
                  <c:v>18.388000000000002</c:v>
                </c:pt>
                <c:pt idx="516">
                  <c:v>18.375</c:v>
                </c:pt>
                <c:pt idx="517">
                  <c:v>18.367999999999999</c:v>
                </c:pt>
                <c:pt idx="518">
                  <c:v>18.37</c:v>
                </c:pt>
                <c:pt idx="519">
                  <c:v>18.361999999999998</c:v>
                </c:pt>
                <c:pt idx="520">
                  <c:v>18.372</c:v>
                </c:pt>
                <c:pt idx="521">
                  <c:v>18.372</c:v>
                </c:pt>
                <c:pt idx="522">
                  <c:v>18.361999999999998</c:v>
                </c:pt>
                <c:pt idx="523">
                  <c:v>18.347999999999999</c:v>
                </c:pt>
                <c:pt idx="524">
                  <c:v>18.343</c:v>
                </c:pt>
                <c:pt idx="525">
                  <c:v>18.335000000000001</c:v>
                </c:pt>
                <c:pt idx="526">
                  <c:v>18.329999999999998</c:v>
                </c:pt>
                <c:pt idx="527">
                  <c:v>18.321999999999999</c:v>
                </c:pt>
                <c:pt idx="528">
                  <c:v>18.312999999999999</c:v>
                </c:pt>
                <c:pt idx="529">
                  <c:v>18.309999999999999</c:v>
                </c:pt>
                <c:pt idx="530">
                  <c:v>18.32</c:v>
                </c:pt>
                <c:pt idx="531">
                  <c:v>18.3</c:v>
                </c:pt>
                <c:pt idx="532">
                  <c:v>18.303000000000001</c:v>
                </c:pt>
                <c:pt idx="533">
                  <c:v>18.353000000000002</c:v>
                </c:pt>
                <c:pt idx="534">
                  <c:v>18.413</c:v>
                </c:pt>
                <c:pt idx="535">
                  <c:v>18.545000000000002</c:v>
                </c:pt>
                <c:pt idx="536">
                  <c:v>18.702000000000002</c:v>
                </c:pt>
                <c:pt idx="537">
                  <c:v>18.838000000000001</c:v>
                </c:pt>
                <c:pt idx="538">
                  <c:v>18.922000000000001</c:v>
                </c:pt>
                <c:pt idx="539">
                  <c:v>18.972000000000001</c:v>
                </c:pt>
                <c:pt idx="540">
                  <c:v>18.95</c:v>
                </c:pt>
                <c:pt idx="541">
                  <c:v>18.942</c:v>
                </c:pt>
                <c:pt idx="542">
                  <c:v>18.896999999999998</c:v>
                </c:pt>
                <c:pt idx="543">
                  <c:v>18.815000000000001</c:v>
                </c:pt>
                <c:pt idx="544">
                  <c:v>18.771999999999998</c:v>
                </c:pt>
                <c:pt idx="545">
                  <c:v>18.728000000000002</c:v>
                </c:pt>
                <c:pt idx="546">
                  <c:v>18.657</c:v>
                </c:pt>
                <c:pt idx="547">
                  <c:v>18.641999999999999</c:v>
                </c:pt>
                <c:pt idx="548">
                  <c:v>18.625</c:v>
                </c:pt>
                <c:pt idx="549">
                  <c:v>18.582000000000001</c:v>
                </c:pt>
                <c:pt idx="550">
                  <c:v>18.552</c:v>
                </c:pt>
                <c:pt idx="551">
                  <c:v>18.547999999999998</c:v>
                </c:pt>
                <c:pt idx="552">
                  <c:v>18.524999999999999</c:v>
                </c:pt>
                <c:pt idx="553">
                  <c:v>18.515000000000001</c:v>
                </c:pt>
                <c:pt idx="554">
                  <c:v>18.504999999999999</c:v>
                </c:pt>
                <c:pt idx="555">
                  <c:v>18.483000000000001</c:v>
                </c:pt>
                <c:pt idx="556">
                  <c:v>18.468</c:v>
                </c:pt>
                <c:pt idx="557">
                  <c:v>18.465</c:v>
                </c:pt>
                <c:pt idx="558">
                  <c:v>18.457999999999998</c:v>
                </c:pt>
                <c:pt idx="559">
                  <c:v>18.452999999999999</c:v>
                </c:pt>
                <c:pt idx="560">
                  <c:v>18.446999999999999</c:v>
                </c:pt>
                <c:pt idx="561">
                  <c:v>18.434999999999999</c:v>
                </c:pt>
                <c:pt idx="562">
                  <c:v>18.434999999999999</c:v>
                </c:pt>
                <c:pt idx="563">
                  <c:v>18.433</c:v>
                </c:pt>
                <c:pt idx="564">
                  <c:v>18.414999999999999</c:v>
                </c:pt>
                <c:pt idx="565">
                  <c:v>18.407</c:v>
                </c:pt>
                <c:pt idx="566">
                  <c:v>18.417000000000002</c:v>
                </c:pt>
                <c:pt idx="567">
                  <c:v>18.399999999999999</c:v>
                </c:pt>
                <c:pt idx="568">
                  <c:v>18.399999999999999</c:v>
                </c:pt>
                <c:pt idx="569">
                  <c:v>18.38</c:v>
                </c:pt>
                <c:pt idx="570">
                  <c:v>18.372</c:v>
                </c:pt>
                <c:pt idx="571">
                  <c:v>18.372</c:v>
                </c:pt>
                <c:pt idx="572">
                  <c:v>18.363</c:v>
                </c:pt>
                <c:pt idx="573">
                  <c:v>18.367000000000001</c:v>
                </c:pt>
                <c:pt idx="574">
                  <c:v>18.356999999999999</c:v>
                </c:pt>
                <c:pt idx="575">
                  <c:v>18.355</c:v>
                </c:pt>
                <c:pt idx="576">
                  <c:v>18.358000000000001</c:v>
                </c:pt>
                <c:pt idx="577">
                  <c:v>18.361999999999998</c:v>
                </c:pt>
                <c:pt idx="578">
                  <c:v>18.347000000000001</c:v>
                </c:pt>
                <c:pt idx="579">
                  <c:v>18.350000000000001</c:v>
                </c:pt>
                <c:pt idx="580">
                  <c:v>18.332999999999998</c:v>
                </c:pt>
                <c:pt idx="581">
                  <c:v>18.327000000000002</c:v>
                </c:pt>
                <c:pt idx="582">
                  <c:v>18.329999999999998</c:v>
                </c:pt>
                <c:pt idx="583">
                  <c:v>18.321999999999999</c:v>
                </c:pt>
                <c:pt idx="584">
                  <c:v>18.315000000000001</c:v>
                </c:pt>
                <c:pt idx="585">
                  <c:v>18.312000000000001</c:v>
                </c:pt>
                <c:pt idx="586">
                  <c:v>18.347999999999999</c:v>
                </c:pt>
                <c:pt idx="587">
                  <c:v>18.422000000000001</c:v>
                </c:pt>
                <c:pt idx="588">
                  <c:v>18.559999999999999</c:v>
                </c:pt>
                <c:pt idx="589">
                  <c:v>18.698</c:v>
                </c:pt>
                <c:pt idx="590">
                  <c:v>18.844999999999999</c:v>
                </c:pt>
                <c:pt idx="591">
                  <c:v>18.917000000000002</c:v>
                </c:pt>
                <c:pt idx="592">
                  <c:v>18.984999999999999</c:v>
                </c:pt>
                <c:pt idx="593">
                  <c:v>18.992000000000001</c:v>
                </c:pt>
                <c:pt idx="594">
                  <c:v>19.001999999999999</c:v>
                </c:pt>
                <c:pt idx="595">
                  <c:v>18.975000000000001</c:v>
                </c:pt>
                <c:pt idx="596">
                  <c:v>18.905000000000001</c:v>
                </c:pt>
                <c:pt idx="597">
                  <c:v>18.850000000000001</c:v>
                </c:pt>
                <c:pt idx="598">
                  <c:v>18.808</c:v>
                </c:pt>
                <c:pt idx="599">
                  <c:v>18.765000000000001</c:v>
                </c:pt>
                <c:pt idx="600">
                  <c:v>18.731999999999999</c:v>
                </c:pt>
                <c:pt idx="601">
                  <c:v>18.702999999999999</c:v>
                </c:pt>
                <c:pt idx="602">
                  <c:v>18.68</c:v>
                </c:pt>
                <c:pt idx="603">
                  <c:v>18.655000000000001</c:v>
                </c:pt>
                <c:pt idx="604">
                  <c:v>18.641999999999999</c:v>
                </c:pt>
                <c:pt idx="605">
                  <c:v>18.623000000000001</c:v>
                </c:pt>
                <c:pt idx="606">
                  <c:v>18.594999999999999</c:v>
                </c:pt>
                <c:pt idx="607">
                  <c:v>18.582999999999998</c:v>
                </c:pt>
                <c:pt idx="608">
                  <c:v>18.573</c:v>
                </c:pt>
                <c:pt idx="609">
                  <c:v>18.577999999999999</c:v>
                </c:pt>
                <c:pt idx="610">
                  <c:v>18.565000000000001</c:v>
                </c:pt>
                <c:pt idx="611">
                  <c:v>18.55</c:v>
                </c:pt>
                <c:pt idx="612">
                  <c:v>18.567</c:v>
                </c:pt>
                <c:pt idx="613">
                  <c:v>18.552</c:v>
                </c:pt>
                <c:pt idx="614">
                  <c:v>18.533000000000001</c:v>
                </c:pt>
                <c:pt idx="615">
                  <c:v>18.547000000000001</c:v>
                </c:pt>
                <c:pt idx="616">
                  <c:v>18.552</c:v>
                </c:pt>
                <c:pt idx="617">
                  <c:v>18.536999999999999</c:v>
                </c:pt>
                <c:pt idx="618">
                  <c:v>18.547000000000001</c:v>
                </c:pt>
                <c:pt idx="619">
                  <c:v>18.532</c:v>
                </c:pt>
                <c:pt idx="620">
                  <c:v>18.52</c:v>
                </c:pt>
                <c:pt idx="621">
                  <c:v>18.533000000000001</c:v>
                </c:pt>
                <c:pt idx="622">
                  <c:v>18.54</c:v>
                </c:pt>
                <c:pt idx="623">
                  <c:v>18.536999999999999</c:v>
                </c:pt>
                <c:pt idx="624">
                  <c:v>18.54</c:v>
                </c:pt>
                <c:pt idx="625">
                  <c:v>18.542000000000002</c:v>
                </c:pt>
                <c:pt idx="626">
                  <c:v>18.535</c:v>
                </c:pt>
                <c:pt idx="627">
                  <c:v>18.542000000000002</c:v>
                </c:pt>
                <c:pt idx="628">
                  <c:v>18.527999999999999</c:v>
                </c:pt>
                <c:pt idx="629">
                  <c:v>18.53</c:v>
                </c:pt>
                <c:pt idx="630">
                  <c:v>18.524999999999999</c:v>
                </c:pt>
                <c:pt idx="631">
                  <c:v>18.523</c:v>
                </c:pt>
                <c:pt idx="632">
                  <c:v>18.542999999999999</c:v>
                </c:pt>
                <c:pt idx="633">
                  <c:v>18.547000000000001</c:v>
                </c:pt>
                <c:pt idx="634">
                  <c:v>18.538</c:v>
                </c:pt>
                <c:pt idx="635">
                  <c:v>18.552</c:v>
                </c:pt>
                <c:pt idx="636">
                  <c:v>18.547999999999998</c:v>
                </c:pt>
                <c:pt idx="637">
                  <c:v>18.535</c:v>
                </c:pt>
                <c:pt idx="638">
                  <c:v>18.547000000000001</c:v>
                </c:pt>
                <c:pt idx="639">
                  <c:v>18.552</c:v>
                </c:pt>
                <c:pt idx="640">
                  <c:v>18.547000000000001</c:v>
                </c:pt>
                <c:pt idx="641">
                  <c:v>18.552</c:v>
                </c:pt>
                <c:pt idx="642">
                  <c:v>18.527000000000001</c:v>
                </c:pt>
                <c:pt idx="643">
                  <c:v>18.524999999999999</c:v>
                </c:pt>
                <c:pt idx="644">
                  <c:v>18.533000000000001</c:v>
                </c:pt>
                <c:pt idx="645">
                  <c:v>18.52</c:v>
                </c:pt>
                <c:pt idx="646">
                  <c:v>18.513000000000002</c:v>
                </c:pt>
                <c:pt idx="647">
                  <c:v>18.527000000000001</c:v>
                </c:pt>
                <c:pt idx="648">
                  <c:v>18.52</c:v>
                </c:pt>
                <c:pt idx="649">
                  <c:v>18.515000000000001</c:v>
                </c:pt>
                <c:pt idx="650">
                  <c:v>18.510000000000002</c:v>
                </c:pt>
                <c:pt idx="651">
                  <c:v>18.513000000000002</c:v>
                </c:pt>
                <c:pt idx="652">
                  <c:v>18.515000000000001</c:v>
                </c:pt>
                <c:pt idx="653">
                  <c:v>18.52</c:v>
                </c:pt>
                <c:pt idx="654">
                  <c:v>18.512</c:v>
                </c:pt>
                <c:pt idx="655">
                  <c:v>18.510000000000002</c:v>
                </c:pt>
                <c:pt idx="656">
                  <c:v>18.524999999999999</c:v>
                </c:pt>
                <c:pt idx="657">
                  <c:v>18.518000000000001</c:v>
                </c:pt>
                <c:pt idx="658">
                  <c:v>18.52</c:v>
                </c:pt>
                <c:pt idx="659">
                  <c:v>18.52</c:v>
                </c:pt>
                <c:pt idx="660">
                  <c:v>18.518000000000001</c:v>
                </c:pt>
                <c:pt idx="661">
                  <c:v>18.512</c:v>
                </c:pt>
                <c:pt idx="662">
                  <c:v>18.489999999999998</c:v>
                </c:pt>
                <c:pt idx="663">
                  <c:v>18.488</c:v>
                </c:pt>
                <c:pt idx="664">
                  <c:v>18.501999999999999</c:v>
                </c:pt>
                <c:pt idx="665">
                  <c:v>18.492999999999999</c:v>
                </c:pt>
                <c:pt idx="666">
                  <c:v>18.498000000000001</c:v>
                </c:pt>
                <c:pt idx="667">
                  <c:v>18.492999999999999</c:v>
                </c:pt>
                <c:pt idx="668">
                  <c:v>18.5</c:v>
                </c:pt>
                <c:pt idx="669">
                  <c:v>18.5</c:v>
                </c:pt>
                <c:pt idx="670">
                  <c:v>18.495000000000001</c:v>
                </c:pt>
                <c:pt idx="671">
                  <c:v>18.512</c:v>
                </c:pt>
                <c:pt idx="672">
                  <c:v>18.507999999999999</c:v>
                </c:pt>
                <c:pt idx="673">
                  <c:v>18.492999999999999</c:v>
                </c:pt>
                <c:pt idx="674">
                  <c:v>18.510000000000002</c:v>
                </c:pt>
                <c:pt idx="675">
                  <c:v>18.512</c:v>
                </c:pt>
                <c:pt idx="676">
                  <c:v>18.497</c:v>
                </c:pt>
                <c:pt idx="677">
                  <c:v>18.501999999999999</c:v>
                </c:pt>
                <c:pt idx="678">
                  <c:v>18.504999999999999</c:v>
                </c:pt>
                <c:pt idx="679">
                  <c:v>18.498000000000001</c:v>
                </c:pt>
                <c:pt idx="680">
                  <c:v>18.492000000000001</c:v>
                </c:pt>
                <c:pt idx="681">
                  <c:v>18.504999999999999</c:v>
                </c:pt>
                <c:pt idx="682">
                  <c:v>18.512</c:v>
                </c:pt>
                <c:pt idx="683">
                  <c:v>18.52</c:v>
                </c:pt>
                <c:pt idx="684">
                  <c:v>18.527000000000001</c:v>
                </c:pt>
                <c:pt idx="685">
                  <c:v>18.510000000000002</c:v>
                </c:pt>
                <c:pt idx="686">
                  <c:v>18.518000000000001</c:v>
                </c:pt>
                <c:pt idx="687">
                  <c:v>18.521999999999998</c:v>
                </c:pt>
                <c:pt idx="688">
                  <c:v>18.521999999999998</c:v>
                </c:pt>
                <c:pt idx="689">
                  <c:v>18.527000000000001</c:v>
                </c:pt>
                <c:pt idx="690">
                  <c:v>18.535</c:v>
                </c:pt>
                <c:pt idx="691">
                  <c:v>18.521999999999998</c:v>
                </c:pt>
                <c:pt idx="692">
                  <c:v>18.523</c:v>
                </c:pt>
                <c:pt idx="693">
                  <c:v>18.533000000000001</c:v>
                </c:pt>
                <c:pt idx="694">
                  <c:v>18.538</c:v>
                </c:pt>
                <c:pt idx="695">
                  <c:v>18.527999999999999</c:v>
                </c:pt>
                <c:pt idx="696">
                  <c:v>18.54</c:v>
                </c:pt>
                <c:pt idx="697">
                  <c:v>18.54</c:v>
                </c:pt>
                <c:pt idx="698">
                  <c:v>18.547000000000001</c:v>
                </c:pt>
                <c:pt idx="699">
                  <c:v>18.571999999999999</c:v>
                </c:pt>
                <c:pt idx="700">
                  <c:v>18.562999999999999</c:v>
                </c:pt>
                <c:pt idx="701">
                  <c:v>18.568000000000001</c:v>
                </c:pt>
                <c:pt idx="702">
                  <c:v>18.571999999999999</c:v>
                </c:pt>
                <c:pt idx="703">
                  <c:v>18.565000000000001</c:v>
                </c:pt>
                <c:pt idx="704">
                  <c:v>18.577000000000002</c:v>
                </c:pt>
                <c:pt idx="705">
                  <c:v>18.571999999999999</c:v>
                </c:pt>
                <c:pt idx="706">
                  <c:v>18.57</c:v>
                </c:pt>
                <c:pt idx="707">
                  <c:v>18.573</c:v>
                </c:pt>
                <c:pt idx="708">
                  <c:v>18.579999999999998</c:v>
                </c:pt>
                <c:pt idx="709">
                  <c:v>18.577000000000002</c:v>
                </c:pt>
                <c:pt idx="710">
                  <c:v>18.562999999999999</c:v>
                </c:pt>
                <c:pt idx="711">
                  <c:v>18.587</c:v>
                </c:pt>
                <c:pt idx="712">
                  <c:v>18.577999999999999</c:v>
                </c:pt>
                <c:pt idx="713">
                  <c:v>18.585000000000001</c:v>
                </c:pt>
                <c:pt idx="714">
                  <c:v>18.603000000000002</c:v>
                </c:pt>
                <c:pt idx="715">
                  <c:v>18.61</c:v>
                </c:pt>
                <c:pt idx="716">
                  <c:v>18.622</c:v>
                </c:pt>
                <c:pt idx="717">
                  <c:v>18.645</c:v>
                </c:pt>
                <c:pt idx="718">
                  <c:v>18.643000000000001</c:v>
                </c:pt>
                <c:pt idx="719">
                  <c:v>18.638000000000002</c:v>
                </c:pt>
                <c:pt idx="720">
                  <c:v>18.657</c:v>
                </c:pt>
                <c:pt idx="721">
                  <c:v>18.66</c:v>
                </c:pt>
                <c:pt idx="722">
                  <c:v>18.658000000000001</c:v>
                </c:pt>
                <c:pt idx="723">
                  <c:v>18.675000000000001</c:v>
                </c:pt>
                <c:pt idx="724">
                  <c:v>18.684999999999999</c:v>
                </c:pt>
                <c:pt idx="725">
                  <c:v>18.690000000000001</c:v>
                </c:pt>
                <c:pt idx="726">
                  <c:v>18.707000000000001</c:v>
                </c:pt>
                <c:pt idx="727">
                  <c:v>18.71</c:v>
                </c:pt>
                <c:pt idx="728">
                  <c:v>18.731999999999999</c:v>
                </c:pt>
                <c:pt idx="729">
                  <c:v>18.75</c:v>
                </c:pt>
                <c:pt idx="730">
                  <c:v>18.742999999999999</c:v>
                </c:pt>
                <c:pt idx="731">
                  <c:v>18.75</c:v>
                </c:pt>
                <c:pt idx="732">
                  <c:v>18.757999999999999</c:v>
                </c:pt>
                <c:pt idx="733">
                  <c:v>18.768000000000001</c:v>
                </c:pt>
                <c:pt idx="734">
                  <c:v>18.777000000000001</c:v>
                </c:pt>
                <c:pt idx="735">
                  <c:v>18.777000000000001</c:v>
                </c:pt>
                <c:pt idx="736">
                  <c:v>18.777999999999999</c:v>
                </c:pt>
                <c:pt idx="737">
                  <c:v>18.773</c:v>
                </c:pt>
                <c:pt idx="738">
                  <c:v>18.783000000000001</c:v>
                </c:pt>
                <c:pt idx="739">
                  <c:v>18.783000000000001</c:v>
                </c:pt>
                <c:pt idx="740">
                  <c:v>18.786999999999999</c:v>
                </c:pt>
                <c:pt idx="741">
                  <c:v>18.797999999999998</c:v>
                </c:pt>
                <c:pt idx="742">
                  <c:v>18.805</c:v>
                </c:pt>
                <c:pt idx="743">
                  <c:v>18.818000000000001</c:v>
                </c:pt>
                <c:pt idx="744">
                  <c:v>18.823</c:v>
                </c:pt>
                <c:pt idx="745">
                  <c:v>18.821999999999999</c:v>
                </c:pt>
                <c:pt idx="746">
                  <c:v>18.827000000000002</c:v>
                </c:pt>
                <c:pt idx="747">
                  <c:v>18.847000000000001</c:v>
                </c:pt>
                <c:pt idx="748">
                  <c:v>18.855</c:v>
                </c:pt>
                <c:pt idx="749">
                  <c:v>18.878</c:v>
                </c:pt>
                <c:pt idx="750">
                  <c:v>18.899999999999999</c:v>
                </c:pt>
                <c:pt idx="751">
                  <c:v>18.91</c:v>
                </c:pt>
                <c:pt idx="752">
                  <c:v>18.91</c:v>
                </c:pt>
                <c:pt idx="753">
                  <c:v>18.917000000000002</c:v>
                </c:pt>
                <c:pt idx="754">
                  <c:v>18.925000000000001</c:v>
                </c:pt>
                <c:pt idx="755">
                  <c:v>18.931999999999999</c:v>
                </c:pt>
                <c:pt idx="756">
                  <c:v>18.937999999999999</c:v>
                </c:pt>
                <c:pt idx="757">
                  <c:v>18.943000000000001</c:v>
                </c:pt>
                <c:pt idx="758">
                  <c:v>18.96</c:v>
                </c:pt>
                <c:pt idx="759">
                  <c:v>18.96</c:v>
                </c:pt>
                <c:pt idx="760">
                  <c:v>18.97</c:v>
                </c:pt>
                <c:pt idx="761">
                  <c:v>18.983000000000001</c:v>
                </c:pt>
                <c:pt idx="762">
                  <c:v>18.997</c:v>
                </c:pt>
                <c:pt idx="763">
                  <c:v>19</c:v>
                </c:pt>
                <c:pt idx="764">
                  <c:v>18.997</c:v>
                </c:pt>
                <c:pt idx="765">
                  <c:v>19.004999999999999</c:v>
                </c:pt>
                <c:pt idx="766">
                  <c:v>19.007000000000001</c:v>
                </c:pt>
                <c:pt idx="767">
                  <c:v>19.018000000000001</c:v>
                </c:pt>
                <c:pt idx="768">
                  <c:v>19.023</c:v>
                </c:pt>
                <c:pt idx="769">
                  <c:v>19.027999999999999</c:v>
                </c:pt>
                <c:pt idx="770">
                  <c:v>19.03</c:v>
                </c:pt>
                <c:pt idx="771">
                  <c:v>19.04</c:v>
                </c:pt>
                <c:pt idx="772">
                  <c:v>19.065000000000001</c:v>
                </c:pt>
                <c:pt idx="773">
                  <c:v>19.126999999999999</c:v>
                </c:pt>
                <c:pt idx="774">
                  <c:v>19.228000000000002</c:v>
                </c:pt>
                <c:pt idx="775">
                  <c:v>19.34</c:v>
                </c:pt>
                <c:pt idx="776">
                  <c:v>19.465</c:v>
                </c:pt>
                <c:pt idx="777">
                  <c:v>19.532</c:v>
                </c:pt>
                <c:pt idx="778">
                  <c:v>19.515000000000001</c:v>
                </c:pt>
                <c:pt idx="779">
                  <c:v>19.497</c:v>
                </c:pt>
                <c:pt idx="780">
                  <c:v>19.483000000000001</c:v>
                </c:pt>
                <c:pt idx="781">
                  <c:v>19.463000000000001</c:v>
                </c:pt>
                <c:pt idx="782">
                  <c:v>19.442</c:v>
                </c:pt>
                <c:pt idx="783">
                  <c:v>19.417999999999999</c:v>
                </c:pt>
                <c:pt idx="784">
                  <c:v>19.398</c:v>
                </c:pt>
                <c:pt idx="785">
                  <c:v>19.382999999999999</c:v>
                </c:pt>
                <c:pt idx="786">
                  <c:v>19.376999999999999</c:v>
                </c:pt>
                <c:pt idx="787">
                  <c:v>19.378</c:v>
                </c:pt>
                <c:pt idx="788">
                  <c:v>19.375</c:v>
                </c:pt>
                <c:pt idx="789">
                  <c:v>19.36</c:v>
                </c:pt>
                <c:pt idx="790">
                  <c:v>19.363</c:v>
                </c:pt>
                <c:pt idx="791">
                  <c:v>19.367999999999999</c:v>
                </c:pt>
                <c:pt idx="792">
                  <c:v>19.373000000000001</c:v>
                </c:pt>
                <c:pt idx="793">
                  <c:v>19.387</c:v>
                </c:pt>
                <c:pt idx="794">
                  <c:v>19.393000000000001</c:v>
                </c:pt>
                <c:pt idx="795">
                  <c:v>19.402000000000001</c:v>
                </c:pt>
                <c:pt idx="796">
                  <c:v>19.41</c:v>
                </c:pt>
                <c:pt idx="797">
                  <c:v>19.411999999999999</c:v>
                </c:pt>
                <c:pt idx="798">
                  <c:v>19.417000000000002</c:v>
                </c:pt>
                <c:pt idx="799">
                  <c:v>19.420000000000002</c:v>
                </c:pt>
                <c:pt idx="800">
                  <c:v>19.425000000000001</c:v>
                </c:pt>
                <c:pt idx="801">
                  <c:v>19.431999999999999</c:v>
                </c:pt>
                <c:pt idx="802">
                  <c:v>19.446999999999999</c:v>
                </c:pt>
                <c:pt idx="803">
                  <c:v>19.446999999999999</c:v>
                </c:pt>
                <c:pt idx="804">
                  <c:v>19.462</c:v>
                </c:pt>
                <c:pt idx="805">
                  <c:v>19.468</c:v>
                </c:pt>
                <c:pt idx="806">
                  <c:v>19.48</c:v>
                </c:pt>
                <c:pt idx="807">
                  <c:v>19.495000000000001</c:v>
                </c:pt>
                <c:pt idx="808">
                  <c:v>19.5</c:v>
                </c:pt>
                <c:pt idx="809">
                  <c:v>19.492999999999999</c:v>
                </c:pt>
                <c:pt idx="810">
                  <c:v>19.48</c:v>
                </c:pt>
                <c:pt idx="811">
                  <c:v>19.495000000000001</c:v>
                </c:pt>
                <c:pt idx="812">
                  <c:v>19.507999999999999</c:v>
                </c:pt>
                <c:pt idx="813">
                  <c:v>19.472000000000001</c:v>
                </c:pt>
                <c:pt idx="814">
                  <c:v>19.448</c:v>
                </c:pt>
                <c:pt idx="815">
                  <c:v>19.443000000000001</c:v>
                </c:pt>
                <c:pt idx="816">
                  <c:v>19.437999999999999</c:v>
                </c:pt>
                <c:pt idx="817">
                  <c:v>19.437000000000001</c:v>
                </c:pt>
                <c:pt idx="818">
                  <c:v>19.442</c:v>
                </c:pt>
                <c:pt idx="819">
                  <c:v>19.437999999999999</c:v>
                </c:pt>
                <c:pt idx="820">
                  <c:v>19.446999999999999</c:v>
                </c:pt>
                <c:pt idx="821">
                  <c:v>19.452000000000002</c:v>
                </c:pt>
                <c:pt idx="822">
                  <c:v>19.448</c:v>
                </c:pt>
                <c:pt idx="823">
                  <c:v>19.446999999999999</c:v>
                </c:pt>
                <c:pt idx="824">
                  <c:v>19.452000000000002</c:v>
                </c:pt>
                <c:pt idx="825">
                  <c:v>19.452000000000002</c:v>
                </c:pt>
                <c:pt idx="826">
                  <c:v>19.45</c:v>
                </c:pt>
                <c:pt idx="827">
                  <c:v>19.457999999999998</c:v>
                </c:pt>
                <c:pt idx="828">
                  <c:v>19.462</c:v>
                </c:pt>
                <c:pt idx="829">
                  <c:v>19.465</c:v>
                </c:pt>
                <c:pt idx="830">
                  <c:v>19.466999999999999</c:v>
                </c:pt>
                <c:pt idx="831">
                  <c:v>19.472000000000001</c:v>
                </c:pt>
                <c:pt idx="832">
                  <c:v>19.477</c:v>
                </c:pt>
                <c:pt idx="833">
                  <c:v>19.481999999999999</c:v>
                </c:pt>
                <c:pt idx="834">
                  <c:v>19.481999999999999</c:v>
                </c:pt>
                <c:pt idx="835">
                  <c:v>19.489999999999998</c:v>
                </c:pt>
                <c:pt idx="836">
                  <c:v>19.495000000000001</c:v>
                </c:pt>
                <c:pt idx="837">
                  <c:v>19.504999999999999</c:v>
                </c:pt>
                <c:pt idx="838">
                  <c:v>19.510000000000002</c:v>
                </c:pt>
                <c:pt idx="839">
                  <c:v>19.512</c:v>
                </c:pt>
                <c:pt idx="840">
                  <c:v>19.52</c:v>
                </c:pt>
                <c:pt idx="841">
                  <c:v>19.523</c:v>
                </c:pt>
                <c:pt idx="842">
                  <c:v>19.527999999999999</c:v>
                </c:pt>
                <c:pt idx="843">
                  <c:v>19.533000000000001</c:v>
                </c:pt>
                <c:pt idx="844">
                  <c:v>19.533000000000001</c:v>
                </c:pt>
                <c:pt idx="845">
                  <c:v>19.535</c:v>
                </c:pt>
                <c:pt idx="846">
                  <c:v>19.542999999999999</c:v>
                </c:pt>
                <c:pt idx="847">
                  <c:v>19.552</c:v>
                </c:pt>
                <c:pt idx="848">
                  <c:v>19.556999999999999</c:v>
                </c:pt>
                <c:pt idx="849">
                  <c:v>19.559999999999999</c:v>
                </c:pt>
                <c:pt idx="850">
                  <c:v>19.568000000000001</c:v>
                </c:pt>
                <c:pt idx="851">
                  <c:v>19.574999999999999</c:v>
                </c:pt>
                <c:pt idx="852">
                  <c:v>19.577999999999999</c:v>
                </c:pt>
                <c:pt idx="853">
                  <c:v>19.582000000000001</c:v>
                </c:pt>
                <c:pt idx="854">
                  <c:v>19.585000000000001</c:v>
                </c:pt>
                <c:pt idx="855">
                  <c:v>19.588000000000001</c:v>
                </c:pt>
                <c:pt idx="856">
                  <c:v>19.594999999999999</c:v>
                </c:pt>
                <c:pt idx="857">
                  <c:v>19.602</c:v>
                </c:pt>
                <c:pt idx="858">
                  <c:v>19.602</c:v>
                </c:pt>
                <c:pt idx="859">
                  <c:v>19.605</c:v>
                </c:pt>
                <c:pt idx="860">
                  <c:v>19.61</c:v>
                </c:pt>
                <c:pt idx="861">
                  <c:v>19.611999999999998</c:v>
                </c:pt>
                <c:pt idx="862">
                  <c:v>19.622</c:v>
                </c:pt>
                <c:pt idx="863">
                  <c:v>19.62</c:v>
                </c:pt>
                <c:pt idx="864">
                  <c:v>19.623000000000001</c:v>
                </c:pt>
                <c:pt idx="865">
                  <c:v>19.625</c:v>
                </c:pt>
                <c:pt idx="866">
                  <c:v>19.632999999999999</c:v>
                </c:pt>
                <c:pt idx="867">
                  <c:v>19.632000000000001</c:v>
                </c:pt>
                <c:pt idx="868">
                  <c:v>19.635000000000002</c:v>
                </c:pt>
                <c:pt idx="869">
                  <c:v>19.641999999999999</c:v>
                </c:pt>
                <c:pt idx="870">
                  <c:v>19.648</c:v>
                </c:pt>
                <c:pt idx="871">
                  <c:v>19.646999999999998</c:v>
                </c:pt>
                <c:pt idx="872">
                  <c:v>19.652000000000001</c:v>
                </c:pt>
                <c:pt idx="873">
                  <c:v>19.652999999999999</c:v>
                </c:pt>
                <c:pt idx="874">
                  <c:v>19.652000000000001</c:v>
                </c:pt>
                <c:pt idx="875">
                  <c:v>19.657</c:v>
                </c:pt>
                <c:pt idx="876">
                  <c:v>19.66</c:v>
                </c:pt>
                <c:pt idx="877">
                  <c:v>19.664999999999999</c:v>
                </c:pt>
                <c:pt idx="878">
                  <c:v>19.664999999999999</c:v>
                </c:pt>
                <c:pt idx="879">
                  <c:v>19.667999999999999</c:v>
                </c:pt>
                <c:pt idx="880">
                  <c:v>19.670000000000002</c:v>
                </c:pt>
                <c:pt idx="881">
                  <c:v>19.670000000000002</c:v>
                </c:pt>
                <c:pt idx="882">
                  <c:v>19.670000000000002</c:v>
                </c:pt>
                <c:pt idx="883">
                  <c:v>19.667999999999999</c:v>
                </c:pt>
                <c:pt idx="884">
                  <c:v>19.675000000000001</c:v>
                </c:pt>
                <c:pt idx="885">
                  <c:v>19.683</c:v>
                </c:pt>
                <c:pt idx="886">
                  <c:v>19.681999999999999</c:v>
                </c:pt>
                <c:pt idx="887">
                  <c:v>19.678000000000001</c:v>
                </c:pt>
                <c:pt idx="888">
                  <c:v>19.684999999999999</c:v>
                </c:pt>
                <c:pt idx="889">
                  <c:v>19.687000000000001</c:v>
                </c:pt>
                <c:pt idx="890">
                  <c:v>19.690000000000001</c:v>
                </c:pt>
                <c:pt idx="891">
                  <c:v>19.687999999999999</c:v>
                </c:pt>
                <c:pt idx="892">
                  <c:v>19.687999999999999</c:v>
                </c:pt>
                <c:pt idx="893">
                  <c:v>19.687999999999999</c:v>
                </c:pt>
                <c:pt idx="894">
                  <c:v>19.690000000000001</c:v>
                </c:pt>
                <c:pt idx="895">
                  <c:v>19.690000000000001</c:v>
                </c:pt>
                <c:pt idx="896">
                  <c:v>19.692</c:v>
                </c:pt>
                <c:pt idx="897">
                  <c:v>19.692</c:v>
                </c:pt>
                <c:pt idx="898">
                  <c:v>19.692</c:v>
                </c:pt>
                <c:pt idx="899">
                  <c:v>19.690000000000001</c:v>
                </c:pt>
                <c:pt idx="900">
                  <c:v>19.693000000000001</c:v>
                </c:pt>
                <c:pt idx="901">
                  <c:v>19.693000000000001</c:v>
                </c:pt>
                <c:pt idx="902">
                  <c:v>19.7</c:v>
                </c:pt>
                <c:pt idx="903">
                  <c:v>19.695</c:v>
                </c:pt>
                <c:pt idx="904">
                  <c:v>19.696999999999999</c:v>
                </c:pt>
                <c:pt idx="905">
                  <c:v>19.707999999999998</c:v>
                </c:pt>
                <c:pt idx="906">
                  <c:v>19.695</c:v>
                </c:pt>
                <c:pt idx="907">
                  <c:v>19.707000000000001</c:v>
                </c:pt>
                <c:pt idx="908">
                  <c:v>19.718</c:v>
                </c:pt>
                <c:pt idx="909">
                  <c:v>19.718</c:v>
                </c:pt>
                <c:pt idx="910">
                  <c:v>19.712</c:v>
                </c:pt>
                <c:pt idx="911">
                  <c:v>19.713000000000001</c:v>
                </c:pt>
                <c:pt idx="912">
                  <c:v>19.715</c:v>
                </c:pt>
                <c:pt idx="913">
                  <c:v>19.718</c:v>
                </c:pt>
                <c:pt idx="914">
                  <c:v>19.716999999999999</c:v>
                </c:pt>
                <c:pt idx="915">
                  <c:v>19.712</c:v>
                </c:pt>
                <c:pt idx="916">
                  <c:v>19.713000000000001</c:v>
                </c:pt>
                <c:pt idx="917">
                  <c:v>19.716999999999999</c:v>
                </c:pt>
                <c:pt idx="918">
                  <c:v>19.704999999999998</c:v>
                </c:pt>
                <c:pt idx="919">
                  <c:v>19.712</c:v>
                </c:pt>
                <c:pt idx="920">
                  <c:v>19.712</c:v>
                </c:pt>
                <c:pt idx="921">
                  <c:v>19.713000000000001</c:v>
                </c:pt>
                <c:pt idx="922">
                  <c:v>19.715</c:v>
                </c:pt>
                <c:pt idx="923">
                  <c:v>19.702000000000002</c:v>
                </c:pt>
                <c:pt idx="924">
                  <c:v>19.707000000000001</c:v>
                </c:pt>
                <c:pt idx="925">
                  <c:v>19.707000000000001</c:v>
                </c:pt>
                <c:pt idx="926">
                  <c:v>19.71</c:v>
                </c:pt>
                <c:pt idx="927">
                  <c:v>19.704999999999998</c:v>
                </c:pt>
                <c:pt idx="928">
                  <c:v>19.702999999999999</c:v>
                </c:pt>
                <c:pt idx="929">
                  <c:v>19.704999999999998</c:v>
                </c:pt>
                <c:pt idx="930">
                  <c:v>19.696999999999999</c:v>
                </c:pt>
                <c:pt idx="931">
                  <c:v>19.693000000000001</c:v>
                </c:pt>
                <c:pt idx="932">
                  <c:v>19.693000000000001</c:v>
                </c:pt>
                <c:pt idx="933">
                  <c:v>19.695</c:v>
                </c:pt>
                <c:pt idx="934">
                  <c:v>19.695</c:v>
                </c:pt>
                <c:pt idx="935">
                  <c:v>19.704999999999998</c:v>
                </c:pt>
                <c:pt idx="936">
                  <c:v>19.695</c:v>
                </c:pt>
                <c:pt idx="937">
                  <c:v>19.693000000000001</c:v>
                </c:pt>
                <c:pt idx="938">
                  <c:v>19.696999999999999</c:v>
                </c:pt>
                <c:pt idx="939">
                  <c:v>19.693000000000001</c:v>
                </c:pt>
                <c:pt idx="940">
                  <c:v>19.693000000000001</c:v>
                </c:pt>
                <c:pt idx="941">
                  <c:v>19.690000000000001</c:v>
                </c:pt>
                <c:pt idx="942">
                  <c:v>19.693000000000001</c:v>
                </c:pt>
                <c:pt idx="943">
                  <c:v>19.695</c:v>
                </c:pt>
                <c:pt idx="944">
                  <c:v>19.687999999999999</c:v>
                </c:pt>
                <c:pt idx="945">
                  <c:v>19.687999999999999</c:v>
                </c:pt>
                <c:pt idx="946">
                  <c:v>19.692</c:v>
                </c:pt>
                <c:pt idx="947">
                  <c:v>19.687999999999999</c:v>
                </c:pt>
                <c:pt idx="948">
                  <c:v>19.72</c:v>
                </c:pt>
                <c:pt idx="949">
                  <c:v>19.777999999999999</c:v>
                </c:pt>
                <c:pt idx="950">
                  <c:v>19.797000000000001</c:v>
                </c:pt>
                <c:pt idx="951">
                  <c:v>19.806999999999999</c:v>
                </c:pt>
                <c:pt idx="952">
                  <c:v>19.812999999999999</c:v>
                </c:pt>
                <c:pt idx="953">
                  <c:v>19.824999999999999</c:v>
                </c:pt>
                <c:pt idx="954">
                  <c:v>19.896999999999998</c:v>
                </c:pt>
                <c:pt idx="955">
                  <c:v>19.898</c:v>
                </c:pt>
                <c:pt idx="956">
                  <c:v>19.896999999999998</c:v>
                </c:pt>
                <c:pt idx="957">
                  <c:v>19.898</c:v>
                </c:pt>
                <c:pt idx="958">
                  <c:v>19.917999999999999</c:v>
                </c:pt>
                <c:pt idx="959">
                  <c:v>19.928000000000001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C4-4F30-93A5-C57B477CF0BA}"/>
            </c:ext>
          </c:extLst>
        </c:ser>
        <c:ser>
          <c:idx val="1"/>
          <c:order val="1"/>
          <c:tx>
            <c:v>Outdoor (Open-Meteo)</c:v>
          </c:tx>
          <c:spPr>
            <a:ln w="22000">
              <a:solidFill>
                <a:srgbClr val="2A9D8F"/>
              </a:solidFill>
              <a:prstDash val="solid"/>
            </a:ln>
          </c:spPr>
          <c:marker>
            <c:symbol val="none"/>
          </c:marker>
          <c:xVal>
            <c:numRef>
              <c:f>RoomA_Night1!$A$2:$A$961</c:f>
              <c:numCache>
                <c:formatCode>yyyy\-mm\-dd\ hh:mm</c:formatCode>
                <c:ptCount val="960"/>
                <c:pt idx="0">
                  <c:v>46298.977083333331</c:v>
                </c:pt>
                <c:pt idx="1">
                  <c:v>46298.977777777778</c:v>
                </c:pt>
                <c:pt idx="2">
                  <c:v>46298.978472222218</c:v>
                </c:pt>
                <c:pt idx="3">
                  <c:v>46298.979166666657</c:v>
                </c:pt>
                <c:pt idx="4">
                  <c:v>46298.979861111111</c:v>
                </c:pt>
                <c:pt idx="5">
                  <c:v>46298.980555555558</c:v>
                </c:pt>
                <c:pt idx="6">
                  <c:v>46298.981249999997</c:v>
                </c:pt>
                <c:pt idx="7">
                  <c:v>46298.981944444437</c:v>
                </c:pt>
                <c:pt idx="8">
                  <c:v>46298.982638888891</c:v>
                </c:pt>
                <c:pt idx="9">
                  <c:v>46298.98333333333</c:v>
                </c:pt>
                <c:pt idx="10">
                  <c:v>46298.984027777777</c:v>
                </c:pt>
                <c:pt idx="11">
                  <c:v>46298.984722222223</c:v>
                </c:pt>
                <c:pt idx="12">
                  <c:v>46298.98541666667</c:v>
                </c:pt>
                <c:pt idx="13">
                  <c:v>46298.986111111109</c:v>
                </c:pt>
                <c:pt idx="14">
                  <c:v>46298.986805555563</c:v>
                </c:pt>
                <c:pt idx="15">
                  <c:v>46298.987500000003</c:v>
                </c:pt>
                <c:pt idx="16">
                  <c:v>46298.988194444442</c:v>
                </c:pt>
                <c:pt idx="17">
                  <c:v>46298.988888888889</c:v>
                </c:pt>
                <c:pt idx="18">
                  <c:v>46298.989583333343</c:v>
                </c:pt>
                <c:pt idx="19">
                  <c:v>46298.990277777782</c:v>
                </c:pt>
                <c:pt idx="20">
                  <c:v>46298.990972222222</c:v>
                </c:pt>
                <c:pt idx="21">
                  <c:v>46298.991666666669</c:v>
                </c:pt>
                <c:pt idx="22">
                  <c:v>46298.992361111108</c:v>
                </c:pt>
                <c:pt idx="23">
                  <c:v>46298.993055555547</c:v>
                </c:pt>
                <c:pt idx="24">
                  <c:v>46298.993750000001</c:v>
                </c:pt>
                <c:pt idx="25">
                  <c:v>46298.994444444441</c:v>
                </c:pt>
                <c:pt idx="26">
                  <c:v>46298.995138888888</c:v>
                </c:pt>
                <c:pt idx="27">
                  <c:v>46298.995833333327</c:v>
                </c:pt>
                <c:pt idx="28">
                  <c:v>46298.996527777781</c:v>
                </c:pt>
                <c:pt idx="29">
                  <c:v>46298.99722222222</c:v>
                </c:pt>
                <c:pt idx="30">
                  <c:v>46298.997916666667</c:v>
                </c:pt>
                <c:pt idx="31">
                  <c:v>46298.998611111107</c:v>
                </c:pt>
                <c:pt idx="32">
                  <c:v>46298.999305555553</c:v>
                </c:pt>
                <c:pt idx="33">
                  <c:v>46299</c:v>
                </c:pt>
                <c:pt idx="34">
                  <c:v>46299.000694444447</c:v>
                </c:pt>
                <c:pt idx="35">
                  <c:v>46299.001388888893</c:v>
                </c:pt>
                <c:pt idx="36">
                  <c:v>46299.002083333333</c:v>
                </c:pt>
                <c:pt idx="37">
                  <c:v>46299.00277777778</c:v>
                </c:pt>
                <c:pt idx="38">
                  <c:v>46299.003472222219</c:v>
                </c:pt>
                <c:pt idx="39">
                  <c:v>46299.004166666673</c:v>
                </c:pt>
                <c:pt idx="40">
                  <c:v>46299.004861111112</c:v>
                </c:pt>
                <c:pt idx="41">
                  <c:v>46299.005555555559</c:v>
                </c:pt>
                <c:pt idx="42">
                  <c:v>46299.006249999999</c:v>
                </c:pt>
                <c:pt idx="43">
                  <c:v>46299.006944444453</c:v>
                </c:pt>
                <c:pt idx="44">
                  <c:v>46299.007638888892</c:v>
                </c:pt>
                <c:pt idx="45">
                  <c:v>46299.008333333331</c:v>
                </c:pt>
                <c:pt idx="46">
                  <c:v>46299.009027777778</c:v>
                </c:pt>
                <c:pt idx="47">
                  <c:v>46299.009722222218</c:v>
                </c:pt>
                <c:pt idx="48">
                  <c:v>46299.010416666657</c:v>
                </c:pt>
                <c:pt idx="49">
                  <c:v>46299.011111111111</c:v>
                </c:pt>
                <c:pt idx="50">
                  <c:v>46299.011805555558</c:v>
                </c:pt>
                <c:pt idx="51">
                  <c:v>46299.012499999997</c:v>
                </c:pt>
                <c:pt idx="52">
                  <c:v>46299.013194444437</c:v>
                </c:pt>
                <c:pt idx="53">
                  <c:v>46299.013888888891</c:v>
                </c:pt>
                <c:pt idx="54">
                  <c:v>46299.01458333333</c:v>
                </c:pt>
                <c:pt idx="55">
                  <c:v>46299.015277777777</c:v>
                </c:pt>
                <c:pt idx="56">
                  <c:v>46299.015972222223</c:v>
                </c:pt>
                <c:pt idx="57">
                  <c:v>46299.01666666667</c:v>
                </c:pt>
                <c:pt idx="58">
                  <c:v>46299.017361111109</c:v>
                </c:pt>
                <c:pt idx="59">
                  <c:v>46299.018055555563</c:v>
                </c:pt>
                <c:pt idx="60">
                  <c:v>46299.018750000003</c:v>
                </c:pt>
                <c:pt idx="61">
                  <c:v>46299.019444444442</c:v>
                </c:pt>
                <c:pt idx="62">
                  <c:v>46299.020138888889</c:v>
                </c:pt>
                <c:pt idx="63">
                  <c:v>46299.020833333343</c:v>
                </c:pt>
                <c:pt idx="64">
                  <c:v>46299.021527777782</c:v>
                </c:pt>
                <c:pt idx="65">
                  <c:v>46299.022222222222</c:v>
                </c:pt>
                <c:pt idx="66">
                  <c:v>46299.022916666669</c:v>
                </c:pt>
                <c:pt idx="67">
                  <c:v>46299.023611111108</c:v>
                </c:pt>
                <c:pt idx="68">
                  <c:v>46299.024305555547</c:v>
                </c:pt>
                <c:pt idx="69">
                  <c:v>46299.025000000001</c:v>
                </c:pt>
                <c:pt idx="70">
                  <c:v>46299.025694444441</c:v>
                </c:pt>
                <c:pt idx="71">
                  <c:v>46299.026388888888</c:v>
                </c:pt>
                <c:pt idx="72">
                  <c:v>46299.027083333327</c:v>
                </c:pt>
                <c:pt idx="73">
                  <c:v>46299.027777777781</c:v>
                </c:pt>
                <c:pt idx="74">
                  <c:v>46299.02847222222</c:v>
                </c:pt>
                <c:pt idx="75">
                  <c:v>46299.029166666667</c:v>
                </c:pt>
                <c:pt idx="76">
                  <c:v>46299.029861111107</c:v>
                </c:pt>
                <c:pt idx="77">
                  <c:v>46299.030555555553</c:v>
                </c:pt>
                <c:pt idx="78">
                  <c:v>46299.03125</c:v>
                </c:pt>
                <c:pt idx="79">
                  <c:v>46299.031944444447</c:v>
                </c:pt>
                <c:pt idx="80">
                  <c:v>46299.032638888893</c:v>
                </c:pt>
                <c:pt idx="81">
                  <c:v>46299.033333333333</c:v>
                </c:pt>
                <c:pt idx="82">
                  <c:v>46299.03402777778</c:v>
                </c:pt>
                <c:pt idx="83">
                  <c:v>46299.034722222219</c:v>
                </c:pt>
                <c:pt idx="84">
                  <c:v>46299.035416666673</c:v>
                </c:pt>
                <c:pt idx="85">
                  <c:v>46299.036111111112</c:v>
                </c:pt>
                <c:pt idx="86">
                  <c:v>46299.036805555559</c:v>
                </c:pt>
                <c:pt idx="87">
                  <c:v>46299.037499999999</c:v>
                </c:pt>
                <c:pt idx="88">
                  <c:v>46299.038194444453</c:v>
                </c:pt>
                <c:pt idx="89">
                  <c:v>46299.038888888892</c:v>
                </c:pt>
                <c:pt idx="90">
                  <c:v>46299.039583333331</c:v>
                </c:pt>
                <c:pt idx="91">
                  <c:v>46299.040277777778</c:v>
                </c:pt>
                <c:pt idx="92">
                  <c:v>46299.040972222218</c:v>
                </c:pt>
                <c:pt idx="93">
                  <c:v>46299.041666666657</c:v>
                </c:pt>
                <c:pt idx="94">
                  <c:v>46299.042361111111</c:v>
                </c:pt>
                <c:pt idx="95">
                  <c:v>46299.043055555558</c:v>
                </c:pt>
                <c:pt idx="96">
                  <c:v>46299.043749999997</c:v>
                </c:pt>
                <c:pt idx="97">
                  <c:v>46299.044444444437</c:v>
                </c:pt>
                <c:pt idx="98">
                  <c:v>46299.045138888891</c:v>
                </c:pt>
                <c:pt idx="99">
                  <c:v>46299.04583333333</c:v>
                </c:pt>
                <c:pt idx="100">
                  <c:v>46299.046527777777</c:v>
                </c:pt>
                <c:pt idx="101">
                  <c:v>46299.047222222223</c:v>
                </c:pt>
                <c:pt idx="102">
                  <c:v>46299.04791666667</c:v>
                </c:pt>
                <c:pt idx="103">
                  <c:v>46299.048611111109</c:v>
                </c:pt>
                <c:pt idx="104">
                  <c:v>46299.049305555563</c:v>
                </c:pt>
                <c:pt idx="105">
                  <c:v>46299.05</c:v>
                </c:pt>
                <c:pt idx="106">
                  <c:v>46299.050694444442</c:v>
                </c:pt>
                <c:pt idx="107">
                  <c:v>46299.051388888889</c:v>
                </c:pt>
                <c:pt idx="108">
                  <c:v>46299.052083333343</c:v>
                </c:pt>
                <c:pt idx="109">
                  <c:v>46299.052777777782</c:v>
                </c:pt>
                <c:pt idx="110">
                  <c:v>46299.053472222222</c:v>
                </c:pt>
                <c:pt idx="111">
                  <c:v>46299.054166666669</c:v>
                </c:pt>
                <c:pt idx="112">
                  <c:v>46299.054861111108</c:v>
                </c:pt>
                <c:pt idx="113">
                  <c:v>46299.055555555547</c:v>
                </c:pt>
                <c:pt idx="114">
                  <c:v>46299.056250000001</c:v>
                </c:pt>
                <c:pt idx="115">
                  <c:v>46299.056944444441</c:v>
                </c:pt>
                <c:pt idx="116">
                  <c:v>46299.057638888888</c:v>
                </c:pt>
                <c:pt idx="117">
                  <c:v>46299.058333333327</c:v>
                </c:pt>
                <c:pt idx="118">
                  <c:v>46299.059027777781</c:v>
                </c:pt>
                <c:pt idx="119">
                  <c:v>46299.05972222222</c:v>
                </c:pt>
                <c:pt idx="120">
                  <c:v>46299.060416666667</c:v>
                </c:pt>
                <c:pt idx="121">
                  <c:v>46299.061111111107</c:v>
                </c:pt>
                <c:pt idx="122">
                  <c:v>46299.061805555553</c:v>
                </c:pt>
                <c:pt idx="123">
                  <c:v>46299.0625</c:v>
                </c:pt>
                <c:pt idx="124">
                  <c:v>46299.063194444447</c:v>
                </c:pt>
                <c:pt idx="125">
                  <c:v>46299.063888888893</c:v>
                </c:pt>
                <c:pt idx="126">
                  <c:v>46299.064583333333</c:v>
                </c:pt>
                <c:pt idx="127">
                  <c:v>46299.06527777778</c:v>
                </c:pt>
                <c:pt idx="128">
                  <c:v>46299.065972222219</c:v>
                </c:pt>
                <c:pt idx="129">
                  <c:v>46299.066666666673</c:v>
                </c:pt>
                <c:pt idx="130">
                  <c:v>46299.067361111112</c:v>
                </c:pt>
                <c:pt idx="131">
                  <c:v>46299.068055555559</c:v>
                </c:pt>
                <c:pt idx="132">
                  <c:v>46299.068749999999</c:v>
                </c:pt>
                <c:pt idx="133">
                  <c:v>46299.069444444453</c:v>
                </c:pt>
                <c:pt idx="134">
                  <c:v>46299.070138888892</c:v>
                </c:pt>
                <c:pt idx="135">
                  <c:v>46299.070833333331</c:v>
                </c:pt>
                <c:pt idx="136">
                  <c:v>46299.071527777778</c:v>
                </c:pt>
                <c:pt idx="137">
                  <c:v>46299.072222222218</c:v>
                </c:pt>
                <c:pt idx="138">
                  <c:v>46299.072916666657</c:v>
                </c:pt>
                <c:pt idx="139">
                  <c:v>46299.073611111111</c:v>
                </c:pt>
                <c:pt idx="140">
                  <c:v>46299.074305555558</c:v>
                </c:pt>
                <c:pt idx="141">
                  <c:v>46299.074999999997</c:v>
                </c:pt>
                <c:pt idx="142">
                  <c:v>46299.075694444437</c:v>
                </c:pt>
                <c:pt idx="143">
                  <c:v>46299.076388888891</c:v>
                </c:pt>
                <c:pt idx="144">
                  <c:v>46299.07708333333</c:v>
                </c:pt>
                <c:pt idx="145">
                  <c:v>46299.077777777777</c:v>
                </c:pt>
                <c:pt idx="146">
                  <c:v>46299.078472222223</c:v>
                </c:pt>
                <c:pt idx="147">
                  <c:v>46299.07916666667</c:v>
                </c:pt>
                <c:pt idx="148">
                  <c:v>46299.079861111109</c:v>
                </c:pt>
                <c:pt idx="149">
                  <c:v>46299.080555555563</c:v>
                </c:pt>
                <c:pt idx="150">
                  <c:v>46299.081250000003</c:v>
                </c:pt>
                <c:pt idx="151">
                  <c:v>46299.081944444442</c:v>
                </c:pt>
                <c:pt idx="152">
                  <c:v>46299.082638888889</c:v>
                </c:pt>
                <c:pt idx="153">
                  <c:v>46299.083333333343</c:v>
                </c:pt>
                <c:pt idx="154">
                  <c:v>46299.084027777782</c:v>
                </c:pt>
                <c:pt idx="155">
                  <c:v>46299.084722222222</c:v>
                </c:pt>
                <c:pt idx="156">
                  <c:v>46299.085416666669</c:v>
                </c:pt>
                <c:pt idx="157">
                  <c:v>46299.086111111108</c:v>
                </c:pt>
                <c:pt idx="158">
                  <c:v>46299.086805555547</c:v>
                </c:pt>
                <c:pt idx="159">
                  <c:v>46299.087500000001</c:v>
                </c:pt>
                <c:pt idx="160">
                  <c:v>46299.088194444441</c:v>
                </c:pt>
                <c:pt idx="161">
                  <c:v>46299.088888888888</c:v>
                </c:pt>
                <c:pt idx="162">
                  <c:v>46299.089583333327</c:v>
                </c:pt>
                <c:pt idx="163">
                  <c:v>46299.090277777781</c:v>
                </c:pt>
                <c:pt idx="164">
                  <c:v>46299.09097222222</c:v>
                </c:pt>
                <c:pt idx="165">
                  <c:v>46299.091666666667</c:v>
                </c:pt>
                <c:pt idx="166">
                  <c:v>46299.092361111107</c:v>
                </c:pt>
                <c:pt idx="167">
                  <c:v>46299.093055555553</c:v>
                </c:pt>
                <c:pt idx="168">
                  <c:v>46299.09375</c:v>
                </c:pt>
                <c:pt idx="169">
                  <c:v>46299.094444444447</c:v>
                </c:pt>
                <c:pt idx="170">
                  <c:v>46299.095138888893</c:v>
                </c:pt>
                <c:pt idx="171">
                  <c:v>46299.095833333333</c:v>
                </c:pt>
                <c:pt idx="172">
                  <c:v>46299.09652777778</c:v>
                </c:pt>
                <c:pt idx="173">
                  <c:v>46299.097222222219</c:v>
                </c:pt>
                <c:pt idx="174">
                  <c:v>46299.097916666673</c:v>
                </c:pt>
                <c:pt idx="175">
                  <c:v>46299.098611111112</c:v>
                </c:pt>
                <c:pt idx="176">
                  <c:v>46299.099305555559</c:v>
                </c:pt>
                <c:pt idx="177">
                  <c:v>46299.1</c:v>
                </c:pt>
                <c:pt idx="178">
                  <c:v>46299.100694444453</c:v>
                </c:pt>
                <c:pt idx="179">
                  <c:v>46299.101388888892</c:v>
                </c:pt>
                <c:pt idx="180">
                  <c:v>46299.102083333331</c:v>
                </c:pt>
                <c:pt idx="181">
                  <c:v>46299.102777777778</c:v>
                </c:pt>
                <c:pt idx="182">
                  <c:v>46299.103472222218</c:v>
                </c:pt>
                <c:pt idx="183">
                  <c:v>46299.104166666657</c:v>
                </c:pt>
                <c:pt idx="184">
                  <c:v>46299.104861111111</c:v>
                </c:pt>
                <c:pt idx="185">
                  <c:v>46299.105555555558</c:v>
                </c:pt>
                <c:pt idx="186">
                  <c:v>46299.106249999997</c:v>
                </c:pt>
                <c:pt idx="187">
                  <c:v>46299.106944444437</c:v>
                </c:pt>
                <c:pt idx="188">
                  <c:v>46299.107638888891</c:v>
                </c:pt>
                <c:pt idx="189">
                  <c:v>46299.10833333333</c:v>
                </c:pt>
                <c:pt idx="190">
                  <c:v>46299.109027777777</c:v>
                </c:pt>
                <c:pt idx="191">
                  <c:v>46299.109722222223</c:v>
                </c:pt>
                <c:pt idx="192">
                  <c:v>46299.11041666667</c:v>
                </c:pt>
                <c:pt idx="193">
                  <c:v>46299.111111111109</c:v>
                </c:pt>
                <c:pt idx="194">
                  <c:v>46299.111805555563</c:v>
                </c:pt>
                <c:pt idx="195">
                  <c:v>46299.112500000003</c:v>
                </c:pt>
                <c:pt idx="196">
                  <c:v>46299.113194444442</c:v>
                </c:pt>
                <c:pt idx="197">
                  <c:v>46299.113888888889</c:v>
                </c:pt>
                <c:pt idx="198">
                  <c:v>46299.114583333343</c:v>
                </c:pt>
                <c:pt idx="199">
                  <c:v>46299.115277777782</c:v>
                </c:pt>
                <c:pt idx="200">
                  <c:v>46299.115972222222</c:v>
                </c:pt>
                <c:pt idx="201">
                  <c:v>46299.116666666669</c:v>
                </c:pt>
                <c:pt idx="202">
                  <c:v>46299.117361111108</c:v>
                </c:pt>
                <c:pt idx="203">
                  <c:v>46299.118055555547</c:v>
                </c:pt>
                <c:pt idx="204">
                  <c:v>46299.118750000001</c:v>
                </c:pt>
                <c:pt idx="205">
                  <c:v>46299.119444444441</c:v>
                </c:pt>
                <c:pt idx="206">
                  <c:v>46299.120138888888</c:v>
                </c:pt>
                <c:pt idx="207">
                  <c:v>46299.120833333327</c:v>
                </c:pt>
                <c:pt idx="208">
                  <c:v>46299.121527777781</c:v>
                </c:pt>
                <c:pt idx="209">
                  <c:v>46299.12222222222</c:v>
                </c:pt>
                <c:pt idx="210">
                  <c:v>46299.122916666667</c:v>
                </c:pt>
                <c:pt idx="211">
                  <c:v>46299.123611111107</c:v>
                </c:pt>
                <c:pt idx="212">
                  <c:v>46299.124305555553</c:v>
                </c:pt>
                <c:pt idx="213">
                  <c:v>46299.125</c:v>
                </c:pt>
                <c:pt idx="214">
                  <c:v>46299.125694444447</c:v>
                </c:pt>
                <c:pt idx="215">
                  <c:v>46299.126388888893</c:v>
                </c:pt>
                <c:pt idx="216">
                  <c:v>46299.127083333333</c:v>
                </c:pt>
                <c:pt idx="217">
                  <c:v>46299.12777777778</c:v>
                </c:pt>
                <c:pt idx="218">
                  <c:v>46299.128472222219</c:v>
                </c:pt>
                <c:pt idx="219">
                  <c:v>46299.129166666673</c:v>
                </c:pt>
                <c:pt idx="220">
                  <c:v>46299.129861111112</c:v>
                </c:pt>
                <c:pt idx="221">
                  <c:v>46299.130555555559</c:v>
                </c:pt>
                <c:pt idx="222">
                  <c:v>46299.131249999999</c:v>
                </c:pt>
                <c:pt idx="223">
                  <c:v>46299.131944444453</c:v>
                </c:pt>
                <c:pt idx="224">
                  <c:v>46299.132638888892</c:v>
                </c:pt>
                <c:pt idx="225">
                  <c:v>46299.133333333331</c:v>
                </c:pt>
                <c:pt idx="226">
                  <c:v>46299.134027777778</c:v>
                </c:pt>
                <c:pt idx="227">
                  <c:v>46299.134722222218</c:v>
                </c:pt>
                <c:pt idx="228">
                  <c:v>46299.135416666657</c:v>
                </c:pt>
                <c:pt idx="229">
                  <c:v>46299.136111111111</c:v>
                </c:pt>
                <c:pt idx="230">
                  <c:v>46299.136805555558</c:v>
                </c:pt>
                <c:pt idx="231">
                  <c:v>46299.137499999997</c:v>
                </c:pt>
                <c:pt idx="232">
                  <c:v>46299.138194444437</c:v>
                </c:pt>
                <c:pt idx="233">
                  <c:v>46299.138888888891</c:v>
                </c:pt>
                <c:pt idx="234">
                  <c:v>46299.13958333333</c:v>
                </c:pt>
                <c:pt idx="235">
                  <c:v>46299.140277777777</c:v>
                </c:pt>
                <c:pt idx="236">
                  <c:v>46299.140972222223</c:v>
                </c:pt>
                <c:pt idx="237">
                  <c:v>46299.14166666667</c:v>
                </c:pt>
                <c:pt idx="238">
                  <c:v>46299.142361111109</c:v>
                </c:pt>
                <c:pt idx="239">
                  <c:v>46299.143055555563</c:v>
                </c:pt>
                <c:pt idx="240">
                  <c:v>46299.143750000003</c:v>
                </c:pt>
                <c:pt idx="241">
                  <c:v>46299.144444444442</c:v>
                </c:pt>
                <c:pt idx="242">
                  <c:v>46299.145138888889</c:v>
                </c:pt>
                <c:pt idx="243">
                  <c:v>46299.145833333343</c:v>
                </c:pt>
                <c:pt idx="244">
                  <c:v>46299.146527777782</c:v>
                </c:pt>
                <c:pt idx="245">
                  <c:v>46299.147222222222</c:v>
                </c:pt>
                <c:pt idx="246">
                  <c:v>46299.147916666669</c:v>
                </c:pt>
                <c:pt idx="247">
                  <c:v>46299.148611111108</c:v>
                </c:pt>
                <c:pt idx="248">
                  <c:v>46299.149305555547</c:v>
                </c:pt>
                <c:pt idx="249">
                  <c:v>46299.15</c:v>
                </c:pt>
                <c:pt idx="250">
                  <c:v>46299.150694444441</c:v>
                </c:pt>
                <c:pt idx="251">
                  <c:v>46299.151388888888</c:v>
                </c:pt>
                <c:pt idx="252">
                  <c:v>46299.152083333327</c:v>
                </c:pt>
                <c:pt idx="253">
                  <c:v>46299.152777777781</c:v>
                </c:pt>
                <c:pt idx="254">
                  <c:v>46299.15347222222</c:v>
                </c:pt>
                <c:pt idx="255">
                  <c:v>46299.154166666667</c:v>
                </c:pt>
                <c:pt idx="256">
                  <c:v>46299.154861111107</c:v>
                </c:pt>
                <c:pt idx="257">
                  <c:v>46299.155555555553</c:v>
                </c:pt>
                <c:pt idx="258">
                  <c:v>46299.15625</c:v>
                </c:pt>
                <c:pt idx="259">
                  <c:v>46299.156944444447</c:v>
                </c:pt>
                <c:pt idx="260">
                  <c:v>46299.157638888893</c:v>
                </c:pt>
                <c:pt idx="261">
                  <c:v>46299.158333333333</c:v>
                </c:pt>
                <c:pt idx="262">
                  <c:v>46299.15902777778</c:v>
                </c:pt>
                <c:pt idx="263">
                  <c:v>46299.159722222219</c:v>
                </c:pt>
                <c:pt idx="264">
                  <c:v>46299.160416666673</c:v>
                </c:pt>
                <c:pt idx="265">
                  <c:v>46299.161111111112</c:v>
                </c:pt>
                <c:pt idx="266">
                  <c:v>46299.161805555559</c:v>
                </c:pt>
                <c:pt idx="267">
                  <c:v>46299.162499999999</c:v>
                </c:pt>
                <c:pt idx="268">
                  <c:v>46299.163194444453</c:v>
                </c:pt>
                <c:pt idx="269">
                  <c:v>46299.163888888892</c:v>
                </c:pt>
                <c:pt idx="270">
                  <c:v>46299.164583333331</c:v>
                </c:pt>
                <c:pt idx="271">
                  <c:v>46299.165277777778</c:v>
                </c:pt>
                <c:pt idx="272">
                  <c:v>46299.165972222218</c:v>
                </c:pt>
                <c:pt idx="273">
                  <c:v>46299.166666666657</c:v>
                </c:pt>
                <c:pt idx="274">
                  <c:v>46299.167361111111</c:v>
                </c:pt>
                <c:pt idx="275">
                  <c:v>46299.168055555558</c:v>
                </c:pt>
                <c:pt idx="276">
                  <c:v>46299.168749999997</c:v>
                </c:pt>
                <c:pt idx="277">
                  <c:v>46299.169444444437</c:v>
                </c:pt>
                <c:pt idx="278">
                  <c:v>46299.170138888891</c:v>
                </c:pt>
                <c:pt idx="279">
                  <c:v>46299.17083333333</c:v>
                </c:pt>
                <c:pt idx="280">
                  <c:v>46299.171527777777</c:v>
                </c:pt>
                <c:pt idx="281">
                  <c:v>46299.172222222223</c:v>
                </c:pt>
                <c:pt idx="282">
                  <c:v>46299.17291666667</c:v>
                </c:pt>
                <c:pt idx="283">
                  <c:v>46299.173611111109</c:v>
                </c:pt>
                <c:pt idx="284">
                  <c:v>46299.174305555563</c:v>
                </c:pt>
                <c:pt idx="285">
                  <c:v>46299.175000000003</c:v>
                </c:pt>
                <c:pt idx="286">
                  <c:v>46299.175694444442</c:v>
                </c:pt>
                <c:pt idx="287">
                  <c:v>46299.176388888889</c:v>
                </c:pt>
                <c:pt idx="288">
                  <c:v>46299.177083333343</c:v>
                </c:pt>
                <c:pt idx="289">
                  <c:v>46299.177777777782</c:v>
                </c:pt>
                <c:pt idx="290">
                  <c:v>46299.178472222222</c:v>
                </c:pt>
                <c:pt idx="291">
                  <c:v>46299.179166666669</c:v>
                </c:pt>
                <c:pt idx="292">
                  <c:v>46299.179861111108</c:v>
                </c:pt>
                <c:pt idx="293">
                  <c:v>46299.180555555547</c:v>
                </c:pt>
                <c:pt idx="294">
                  <c:v>46299.181250000001</c:v>
                </c:pt>
                <c:pt idx="295">
                  <c:v>46299.181944444441</c:v>
                </c:pt>
                <c:pt idx="296">
                  <c:v>46299.182638888888</c:v>
                </c:pt>
                <c:pt idx="297">
                  <c:v>46299.183333333327</c:v>
                </c:pt>
                <c:pt idx="298">
                  <c:v>46299.184027777781</c:v>
                </c:pt>
                <c:pt idx="299">
                  <c:v>46299.18472222222</c:v>
                </c:pt>
                <c:pt idx="300">
                  <c:v>46299.185416666667</c:v>
                </c:pt>
                <c:pt idx="301">
                  <c:v>46299.186111111107</c:v>
                </c:pt>
                <c:pt idx="302">
                  <c:v>46299.186805555553</c:v>
                </c:pt>
                <c:pt idx="303">
                  <c:v>46299.1875</c:v>
                </c:pt>
                <c:pt idx="304">
                  <c:v>46299.188194444447</c:v>
                </c:pt>
                <c:pt idx="305">
                  <c:v>46299.188888888893</c:v>
                </c:pt>
                <c:pt idx="306">
                  <c:v>46299.189583333333</c:v>
                </c:pt>
                <c:pt idx="307">
                  <c:v>46299.19027777778</c:v>
                </c:pt>
                <c:pt idx="308">
                  <c:v>46299.190972222219</c:v>
                </c:pt>
                <c:pt idx="309">
                  <c:v>46299.191666666673</c:v>
                </c:pt>
                <c:pt idx="310">
                  <c:v>46299.192361111112</c:v>
                </c:pt>
                <c:pt idx="311">
                  <c:v>46299.193055555559</c:v>
                </c:pt>
                <c:pt idx="312">
                  <c:v>46299.193749999999</c:v>
                </c:pt>
                <c:pt idx="313">
                  <c:v>46299.194444444453</c:v>
                </c:pt>
                <c:pt idx="314">
                  <c:v>46299.195138888892</c:v>
                </c:pt>
                <c:pt idx="315">
                  <c:v>46299.195833333331</c:v>
                </c:pt>
                <c:pt idx="316">
                  <c:v>46299.196527777778</c:v>
                </c:pt>
                <c:pt idx="317">
                  <c:v>46299.197222222218</c:v>
                </c:pt>
                <c:pt idx="318">
                  <c:v>46299.197916666657</c:v>
                </c:pt>
                <c:pt idx="319">
                  <c:v>46299.198611111111</c:v>
                </c:pt>
                <c:pt idx="320">
                  <c:v>46299.199305555558</c:v>
                </c:pt>
                <c:pt idx="321">
                  <c:v>46299.199999999997</c:v>
                </c:pt>
                <c:pt idx="322">
                  <c:v>46299.200694444437</c:v>
                </c:pt>
                <c:pt idx="323">
                  <c:v>46299.201388888891</c:v>
                </c:pt>
                <c:pt idx="324">
                  <c:v>46299.20208333333</c:v>
                </c:pt>
                <c:pt idx="325">
                  <c:v>46299.202777777777</c:v>
                </c:pt>
                <c:pt idx="326">
                  <c:v>46299.203472222223</c:v>
                </c:pt>
                <c:pt idx="327">
                  <c:v>46299.20416666667</c:v>
                </c:pt>
                <c:pt idx="328">
                  <c:v>46299.204861111109</c:v>
                </c:pt>
                <c:pt idx="329">
                  <c:v>46299.205555555563</c:v>
                </c:pt>
                <c:pt idx="330">
                  <c:v>46299.206250000003</c:v>
                </c:pt>
                <c:pt idx="331">
                  <c:v>46299.206944444442</c:v>
                </c:pt>
                <c:pt idx="332">
                  <c:v>46299.207638888889</c:v>
                </c:pt>
                <c:pt idx="333">
                  <c:v>46299.208333333343</c:v>
                </c:pt>
                <c:pt idx="334">
                  <c:v>46299.209027777782</c:v>
                </c:pt>
                <c:pt idx="335">
                  <c:v>46299.209722222222</c:v>
                </c:pt>
                <c:pt idx="336">
                  <c:v>46299.210416666669</c:v>
                </c:pt>
                <c:pt idx="337">
                  <c:v>46299.211111111108</c:v>
                </c:pt>
                <c:pt idx="338">
                  <c:v>46299.211805555547</c:v>
                </c:pt>
                <c:pt idx="339">
                  <c:v>46299.212500000001</c:v>
                </c:pt>
                <c:pt idx="340">
                  <c:v>46299.213194444441</c:v>
                </c:pt>
                <c:pt idx="341">
                  <c:v>46299.213888888888</c:v>
                </c:pt>
                <c:pt idx="342">
                  <c:v>46299.214583333327</c:v>
                </c:pt>
                <c:pt idx="343">
                  <c:v>46299.215277777781</c:v>
                </c:pt>
                <c:pt idx="344">
                  <c:v>46299.21597222222</c:v>
                </c:pt>
                <c:pt idx="345">
                  <c:v>46299.216666666667</c:v>
                </c:pt>
                <c:pt idx="346">
                  <c:v>46299.217361111107</c:v>
                </c:pt>
                <c:pt idx="347">
                  <c:v>46299.218055555553</c:v>
                </c:pt>
                <c:pt idx="348">
                  <c:v>46299.21875</c:v>
                </c:pt>
                <c:pt idx="349">
                  <c:v>46299.219444444447</c:v>
                </c:pt>
                <c:pt idx="350">
                  <c:v>46299.220138888893</c:v>
                </c:pt>
                <c:pt idx="351">
                  <c:v>46299.220833333333</c:v>
                </c:pt>
                <c:pt idx="352">
                  <c:v>46299.22152777778</c:v>
                </c:pt>
                <c:pt idx="353">
                  <c:v>46299.222222222219</c:v>
                </c:pt>
                <c:pt idx="354">
                  <c:v>46299.222916666673</c:v>
                </c:pt>
                <c:pt idx="355">
                  <c:v>46299.223611111112</c:v>
                </c:pt>
                <c:pt idx="356">
                  <c:v>46299.224305555559</c:v>
                </c:pt>
                <c:pt idx="357">
                  <c:v>46299.224999999999</c:v>
                </c:pt>
                <c:pt idx="358">
                  <c:v>46299.225694444453</c:v>
                </c:pt>
                <c:pt idx="359">
                  <c:v>46299.226388888892</c:v>
                </c:pt>
                <c:pt idx="360">
                  <c:v>46299.227083333331</c:v>
                </c:pt>
                <c:pt idx="361">
                  <c:v>46299.227777777778</c:v>
                </c:pt>
                <c:pt idx="362">
                  <c:v>46299.228472222218</c:v>
                </c:pt>
                <c:pt idx="363">
                  <c:v>46299.229166666657</c:v>
                </c:pt>
                <c:pt idx="364">
                  <c:v>46299.229861111111</c:v>
                </c:pt>
                <c:pt idx="365">
                  <c:v>46299.230555555558</c:v>
                </c:pt>
                <c:pt idx="366">
                  <c:v>46299.231249999997</c:v>
                </c:pt>
                <c:pt idx="367">
                  <c:v>46299.231944444437</c:v>
                </c:pt>
                <c:pt idx="368">
                  <c:v>46299.232638888891</c:v>
                </c:pt>
                <c:pt idx="369">
                  <c:v>46299.23333333333</c:v>
                </c:pt>
                <c:pt idx="370">
                  <c:v>46299.234027777777</c:v>
                </c:pt>
                <c:pt idx="371">
                  <c:v>46299.234722222223</c:v>
                </c:pt>
                <c:pt idx="372">
                  <c:v>46299.23541666667</c:v>
                </c:pt>
                <c:pt idx="373">
                  <c:v>46299.236111111109</c:v>
                </c:pt>
                <c:pt idx="374">
                  <c:v>46299.236805555563</c:v>
                </c:pt>
                <c:pt idx="375">
                  <c:v>46299.237500000003</c:v>
                </c:pt>
                <c:pt idx="376">
                  <c:v>46299.238194444442</c:v>
                </c:pt>
                <c:pt idx="377">
                  <c:v>46299.238888888889</c:v>
                </c:pt>
                <c:pt idx="378">
                  <c:v>46299.239583333343</c:v>
                </c:pt>
                <c:pt idx="379">
                  <c:v>46299.240277777782</c:v>
                </c:pt>
                <c:pt idx="380">
                  <c:v>46299.240972222222</c:v>
                </c:pt>
                <c:pt idx="381">
                  <c:v>46299.241666666669</c:v>
                </c:pt>
                <c:pt idx="382">
                  <c:v>46299.242361111108</c:v>
                </c:pt>
                <c:pt idx="383">
                  <c:v>46299.243055555547</c:v>
                </c:pt>
                <c:pt idx="384">
                  <c:v>46299.243750000001</c:v>
                </c:pt>
                <c:pt idx="385">
                  <c:v>46299.244444444441</c:v>
                </c:pt>
                <c:pt idx="386">
                  <c:v>46299.245138888888</c:v>
                </c:pt>
                <c:pt idx="387">
                  <c:v>46299.245833333327</c:v>
                </c:pt>
                <c:pt idx="388">
                  <c:v>46299.246527777781</c:v>
                </c:pt>
                <c:pt idx="389">
                  <c:v>46299.24722222222</c:v>
                </c:pt>
                <c:pt idx="390">
                  <c:v>46299.247916666667</c:v>
                </c:pt>
                <c:pt idx="391">
                  <c:v>46299.248611111107</c:v>
                </c:pt>
                <c:pt idx="392">
                  <c:v>46299.249305555553</c:v>
                </c:pt>
                <c:pt idx="393">
                  <c:v>46299.25</c:v>
                </c:pt>
                <c:pt idx="394">
                  <c:v>46299.250694444447</c:v>
                </c:pt>
                <c:pt idx="395">
                  <c:v>46299.251388888893</c:v>
                </c:pt>
                <c:pt idx="396">
                  <c:v>46299.252083333333</c:v>
                </c:pt>
                <c:pt idx="397">
                  <c:v>46299.25277777778</c:v>
                </c:pt>
                <c:pt idx="398">
                  <c:v>46299.253472222219</c:v>
                </c:pt>
                <c:pt idx="399">
                  <c:v>46299.254166666673</c:v>
                </c:pt>
                <c:pt idx="400">
                  <c:v>46299.254861111112</c:v>
                </c:pt>
                <c:pt idx="401">
                  <c:v>46299.255555555559</c:v>
                </c:pt>
                <c:pt idx="402">
                  <c:v>46299.256249999999</c:v>
                </c:pt>
                <c:pt idx="403">
                  <c:v>46299.256944444453</c:v>
                </c:pt>
                <c:pt idx="404">
                  <c:v>46299.257638888892</c:v>
                </c:pt>
                <c:pt idx="405">
                  <c:v>46299.258333333331</c:v>
                </c:pt>
                <c:pt idx="406">
                  <c:v>46299.259027777778</c:v>
                </c:pt>
                <c:pt idx="407">
                  <c:v>46299.259722222218</c:v>
                </c:pt>
                <c:pt idx="408">
                  <c:v>46299.260416666657</c:v>
                </c:pt>
                <c:pt idx="409">
                  <c:v>46299.261111111111</c:v>
                </c:pt>
                <c:pt idx="410">
                  <c:v>46299.261805555558</c:v>
                </c:pt>
                <c:pt idx="411">
                  <c:v>46299.262499999997</c:v>
                </c:pt>
                <c:pt idx="412">
                  <c:v>46299.263194444437</c:v>
                </c:pt>
                <c:pt idx="413">
                  <c:v>46299.263888888891</c:v>
                </c:pt>
                <c:pt idx="414">
                  <c:v>46299.26458333333</c:v>
                </c:pt>
                <c:pt idx="415">
                  <c:v>46299.265277777777</c:v>
                </c:pt>
                <c:pt idx="416">
                  <c:v>46299.265972222223</c:v>
                </c:pt>
                <c:pt idx="417">
                  <c:v>46299.26666666667</c:v>
                </c:pt>
                <c:pt idx="418">
                  <c:v>46299.267361111109</c:v>
                </c:pt>
                <c:pt idx="419">
                  <c:v>46299.268055555563</c:v>
                </c:pt>
                <c:pt idx="420">
                  <c:v>46299.268750000003</c:v>
                </c:pt>
                <c:pt idx="421">
                  <c:v>46299.269444444442</c:v>
                </c:pt>
                <c:pt idx="422">
                  <c:v>46299.270138888889</c:v>
                </c:pt>
                <c:pt idx="423">
                  <c:v>46299.270833333343</c:v>
                </c:pt>
                <c:pt idx="424">
                  <c:v>46299.271527777782</c:v>
                </c:pt>
                <c:pt idx="425">
                  <c:v>46299.272222222222</c:v>
                </c:pt>
                <c:pt idx="426">
                  <c:v>46299.272916666669</c:v>
                </c:pt>
                <c:pt idx="427">
                  <c:v>46299.273611111108</c:v>
                </c:pt>
                <c:pt idx="428">
                  <c:v>46299.274305555547</c:v>
                </c:pt>
                <c:pt idx="429">
                  <c:v>46299.275000000001</c:v>
                </c:pt>
                <c:pt idx="430">
                  <c:v>46299.275694444441</c:v>
                </c:pt>
                <c:pt idx="431">
                  <c:v>46299.276388888888</c:v>
                </c:pt>
                <c:pt idx="432">
                  <c:v>46299.277083333327</c:v>
                </c:pt>
                <c:pt idx="433">
                  <c:v>46299.277777777781</c:v>
                </c:pt>
                <c:pt idx="434">
                  <c:v>46299.27847222222</c:v>
                </c:pt>
                <c:pt idx="435">
                  <c:v>46299.279166666667</c:v>
                </c:pt>
                <c:pt idx="436">
                  <c:v>46299.279861111107</c:v>
                </c:pt>
                <c:pt idx="437">
                  <c:v>46299.280555555553</c:v>
                </c:pt>
                <c:pt idx="438">
                  <c:v>46299.28125</c:v>
                </c:pt>
                <c:pt idx="439">
                  <c:v>46299.281944444447</c:v>
                </c:pt>
                <c:pt idx="440">
                  <c:v>46299.282638888893</c:v>
                </c:pt>
                <c:pt idx="441">
                  <c:v>46299.283333333333</c:v>
                </c:pt>
                <c:pt idx="442">
                  <c:v>46299.28402777778</c:v>
                </c:pt>
                <c:pt idx="443">
                  <c:v>46299.284722222219</c:v>
                </c:pt>
                <c:pt idx="444">
                  <c:v>46299.285416666673</c:v>
                </c:pt>
                <c:pt idx="445">
                  <c:v>46299.286111111112</c:v>
                </c:pt>
                <c:pt idx="446">
                  <c:v>46299.286805555559</c:v>
                </c:pt>
                <c:pt idx="447">
                  <c:v>46299.287499999999</c:v>
                </c:pt>
                <c:pt idx="448">
                  <c:v>46299.288194444453</c:v>
                </c:pt>
                <c:pt idx="449">
                  <c:v>46299.288888888892</c:v>
                </c:pt>
                <c:pt idx="450">
                  <c:v>46299.289583333331</c:v>
                </c:pt>
                <c:pt idx="451">
                  <c:v>46299.290277777778</c:v>
                </c:pt>
                <c:pt idx="452">
                  <c:v>46299.290972222218</c:v>
                </c:pt>
                <c:pt idx="453">
                  <c:v>46299.291666666657</c:v>
                </c:pt>
                <c:pt idx="454">
                  <c:v>46299.292361111111</c:v>
                </c:pt>
                <c:pt idx="455">
                  <c:v>46299.293055555558</c:v>
                </c:pt>
                <c:pt idx="456">
                  <c:v>46299.293749999997</c:v>
                </c:pt>
                <c:pt idx="457">
                  <c:v>46299.294444444437</c:v>
                </c:pt>
                <c:pt idx="458">
                  <c:v>46299.295138888891</c:v>
                </c:pt>
                <c:pt idx="459">
                  <c:v>46299.29583333333</c:v>
                </c:pt>
                <c:pt idx="460">
                  <c:v>46299.296527777777</c:v>
                </c:pt>
                <c:pt idx="461">
                  <c:v>46299.297222222223</c:v>
                </c:pt>
                <c:pt idx="462">
                  <c:v>46299.29791666667</c:v>
                </c:pt>
                <c:pt idx="463">
                  <c:v>46299.298611111109</c:v>
                </c:pt>
                <c:pt idx="464">
                  <c:v>46299.299305555563</c:v>
                </c:pt>
                <c:pt idx="465">
                  <c:v>46299.3</c:v>
                </c:pt>
                <c:pt idx="466">
                  <c:v>46299.300694444442</c:v>
                </c:pt>
                <c:pt idx="467">
                  <c:v>46299.301388888889</c:v>
                </c:pt>
                <c:pt idx="468">
                  <c:v>46299.302083333343</c:v>
                </c:pt>
                <c:pt idx="469">
                  <c:v>46299.302777777782</c:v>
                </c:pt>
                <c:pt idx="470">
                  <c:v>46299.303472222222</c:v>
                </c:pt>
                <c:pt idx="471">
                  <c:v>46299.304166666669</c:v>
                </c:pt>
                <c:pt idx="472">
                  <c:v>46299.304861111108</c:v>
                </c:pt>
                <c:pt idx="473">
                  <c:v>46299.305555555547</c:v>
                </c:pt>
                <c:pt idx="474">
                  <c:v>46299.306250000001</c:v>
                </c:pt>
                <c:pt idx="475">
                  <c:v>46299.306944444441</c:v>
                </c:pt>
                <c:pt idx="476">
                  <c:v>46299.307638888888</c:v>
                </c:pt>
                <c:pt idx="477">
                  <c:v>46299.308333333327</c:v>
                </c:pt>
                <c:pt idx="478">
                  <c:v>46299.309027777781</c:v>
                </c:pt>
                <c:pt idx="479">
                  <c:v>46299.30972222222</c:v>
                </c:pt>
                <c:pt idx="480">
                  <c:v>46299.310416666667</c:v>
                </c:pt>
                <c:pt idx="481">
                  <c:v>46299.311111111107</c:v>
                </c:pt>
                <c:pt idx="482">
                  <c:v>46299.311805555553</c:v>
                </c:pt>
                <c:pt idx="483">
                  <c:v>46299.3125</c:v>
                </c:pt>
                <c:pt idx="484">
                  <c:v>46299.313194444447</c:v>
                </c:pt>
                <c:pt idx="485">
                  <c:v>46299.313888888893</c:v>
                </c:pt>
                <c:pt idx="486">
                  <c:v>46299.314583333333</c:v>
                </c:pt>
                <c:pt idx="487">
                  <c:v>46299.31527777778</c:v>
                </c:pt>
                <c:pt idx="488">
                  <c:v>46299.315972222219</c:v>
                </c:pt>
                <c:pt idx="489">
                  <c:v>46299.316666666673</c:v>
                </c:pt>
                <c:pt idx="490">
                  <c:v>46299.317361111112</c:v>
                </c:pt>
                <c:pt idx="491">
                  <c:v>46299.318055555559</c:v>
                </c:pt>
                <c:pt idx="492">
                  <c:v>46299.318749999999</c:v>
                </c:pt>
                <c:pt idx="493">
                  <c:v>46299.319444444453</c:v>
                </c:pt>
                <c:pt idx="494">
                  <c:v>46299.320138888892</c:v>
                </c:pt>
                <c:pt idx="495">
                  <c:v>46299.320833333331</c:v>
                </c:pt>
                <c:pt idx="496">
                  <c:v>46299.321527777778</c:v>
                </c:pt>
                <c:pt idx="497">
                  <c:v>46299.322222222218</c:v>
                </c:pt>
                <c:pt idx="498">
                  <c:v>46299.322916666657</c:v>
                </c:pt>
                <c:pt idx="499">
                  <c:v>46299.323611111111</c:v>
                </c:pt>
                <c:pt idx="500">
                  <c:v>46299.324305555558</c:v>
                </c:pt>
                <c:pt idx="501">
                  <c:v>46299.324999999997</c:v>
                </c:pt>
                <c:pt idx="502">
                  <c:v>46299.325694444437</c:v>
                </c:pt>
                <c:pt idx="503">
                  <c:v>46299.326388888891</c:v>
                </c:pt>
                <c:pt idx="504">
                  <c:v>46299.32708333333</c:v>
                </c:pt>
                <c:pt idx="505">
                  <c:v>46299.327777777777</c:v>
                </c:pt>
                <c:pt idx="506">
                  <c:v>46299.328472222223</c:v>
                </c:pt>
                <c:pt idx="507">
                  <c:v>46299.32916666667</c:v>
                </c:pt>
                <c:pt idx="508">
                  <c:v>46299.329861111109</c:v>
                </c:pt>
                <c:pt idx="509">
                  <c:v>46299.330555555563</c:v>
                </c:pt>
                <c:pt idx="510">
                  <c:v>46299.331250000003</c:v>
                </c:pt>
                <c:pt idx="511">
                  <c:v>46299.331944444442</c:v>
                </c:pt>
                <c:pt idx="512">
                  <c:v>46299.332638888889</c:v>
                </c:pt>
                <c:pt idx="513">
                  <c:v>46299.333333333343</c:v>
                </c:pt>
                <c:pt idx="514">
                  <c:v>46299.334027777782</c:v>
                </c:pt>
                <c:pt idx="515">
                  <c:v>46299.334722222222</c:v>
                </c:pt>
                <c:pt idx="516">
                  <c:v>46299.335416666669</c:v>
                </c:pt>
                <c:pt idx="517">
                  <c:v>46299.336111111108</c:v>
                </c:pt>
                <c:pt idx="518">
                  <c:v>46299.336805555547</c:v>
                </c:pt>
                <c:pt idx="519">
                  <c:v>46299.337500000001</c:v>
                </c:pt>
                <c:pt idx="520">
                  <c:v>46299.338194444441</c:v>
                </c:pt>
                <c:pt idx="521">
                  <c:v>46299.338888888888</c:v>
                </c:pt>
                <c:pt idx="522">
                  <c:v>46299.339583333327</c:v>
                </c:pt>
                <c:pt idx="523">
                  <c:v>46299.340277777781</c:v>
                </c:pt>
                <c:pt idx="524">
                  <c:v>46299.34097222222</c:v>
                </c:pt>
                <c:pt idx="525">
                  <c:v>46299.341666666667</c:v>
                </c:pt>
                <c:pt idx="526">
                  <c:v>46299.342361111107</c:v>
                </c:pt>
                <c:pt idx="527">
                  <c:v>46299.343055555553</c:v>
                </c:pt>
                <c:pt idx="528">
                  <c:v>46299.34375</c:v>
                </c:pt>
                <c:pt idx="529">
                  <c:v>46299.344444444447</c:v>
                </c:pt>
                <c:pt idx="530">
                  <c:v>46299.345138888893</c:v>
                </c:pt>
                <c:pt idx="531">
                  <c:v>46299.345833333333</c:v>
                </c:pt>
                <c:pt idx="532">
                  <c:v>46299.34652777778</c:v>
                </c:pt>
                <c:pt idx="533">
                  <c:v>46299.347222222219</c:v>
                </c:pt>
                <c:pt idx="534">
                  <c:v>46299.347916666673</c:v>
                </c:pt>
                <c:pt idx="535">
                  <c:v>46299.348611111112</c:v>
                </c:pt>
                <c:pt idx="536">
                  <c:v>46299.349305555559</c:v>
                </c:pt>
                <c:pt idx="537">
                  <c:v>46299.35</c:v>
                </c:pt>
                <c:pt idx="538">
                  <c:v>46299.350694444453</c:v>
                </c:pt>
                <c:pt idx="539">
                  <c:v>46299.351388888892</c:v>
                </c:pt>
                <c:pt idx="540">
                  <c:v>46299.352083333331</c:v>
                </c:pt>
                <c:pt idx="541">
                  <c:v>46299.352777777778</c:v>
                </c:pt>
                <c:pt idx="542">
                  <c:v>46299.353472222218</c:v>
                </c:pt>
                <c:pt idx="543">
                  <c:v>46299.354166666657</c:v>
                </c:pt>
                <c:pt idx="544">
                  <c:v>46299.354861111111</c:v>
                </c:pt>
                <c:pt idx="545">
                  <c:v>46299.355555555558</c:v>
                </c:pt>
                <c:pt idx="546">
                  <c:v>46299.356249999997</c:v>
                </c:pt>
                <c:pt idx="547">
                  <c:v>46299.356944444437</c:v>
                </c:pt>
                <c:pt idx="548">
                  <c:v>46299.357638888891</c:v>
                </c:pt>
                <c:pt idx="549">
                  <c:v>46299.35833333333</c:v>
                </c:pt>
                <c:pt idx="550">
                  <c:v>46299.359027777777</c:v>
                </c:pt>
                <c:pt idx="551">
                  <c:v>46299.359722222223</c:v>
                </c:pt>
                <c:pt idx="552">
                  <c:v>46299.36041666667</c:v>
                </c:pt>
                <c:pt idx="553">
                  <c:v>46299.361111111109</c:v>
                </c:pt>
                <c:pt idx="554">
                  <c:v>46299.361805555563</c:v>
                </c:pt>
                <c:pt idx="555">
                  <c:v>46299.362500000003</c:v>
                </c:pt>
                <c:pt idx="556">
                  <c:v>46299.363194444442</c:v>
                </c:pt>
                <c:pt idx="557">
                  <c:v>46299.363888888889</c:v>
                </c:pt>
                <c:pt idx="558">
                  <c:v>46299.364583333343</c:v>
                </c:pt>
                <c:pt idx="559">
                  <c:v>46299.365277777782</c:v>
                </c:pt>
                <c:pt idx="560">
                  <c:v>46299.365972222222</c:v>
                </c:pt>
                <c:pt idx="561">
                  <c:v>46299.366666666669</c:v>
                </c:pt>
                <c:pt idx="562">
                  <c:v>46299.367361111108</c:v>
                </c:pt>
                <c:pt idx="563">
                  <c:v>46299.368055555547</c:v>
                </c:pt>
                <c:pt idx="564">
                  <c:v>46299.368750000001</c:v>
                </c:pt>
                <c:pt idx="565">
                  <c:v>46299.369444444441</c:v>
                </c:pt>
                <c:pt idx="566">
                  <c:v>46299.370138888888</c:v>
                </c:pt>
                <c:pt idx="567">
                  <c:v>46299.370833333327</c:v>
                </c:pt>
                <c:pt idx="568">
                  <c:v>46299.371527777781</c:v>
                </c:pt>
                <c:pt idx="569">
                  <c:v>46299.37222222222</c:v>
                </c:pt>
                <c:pt idx="570">
                  <c:v>46299.372916666667</c:v>
                </c:pt>
                <c:pt idx="571">
                  <c:v>46299.373611111107</c:v>
                </c:pt>
                <c:pt idx="572">
                  <c:v>46299.374305555553</c:v>
                </c:pt>
                <c:pt idx="573">
                  <c:v>46299.375</c:v>
                </c:pt>
                <c:pt idx="574">
                  <c:v>46299.375694444447</c:v>
                </c:pt>
                <c:pt idx="575">
                  <c:v>46299.376388888893</c:v>
                </c:pt>
                <c:pt idx="576">
                  <c:v>46299.377083333333</c:v>
                </c:pt>
                <c:pt idx="577">
                  <c:v>46299.37777777778</c:v>
                </c:pt>
                <c:pt idx="578">
                  <c:v>46299.378472222219</c:v>
                </c:pt>
                <c:pt idx="579">
                  <c:v>46299.379166666673</c:v>
                </c:pt>
                <c:pt idx="580">
                  <c:v>46299.379861111112</c:v>
                </c:pt>
                <c:pt idx="581">
                  <c:v>46299.380555555559</c:v>
                </c:pt>
                <c:pt idx="582">
                  <c:v>46299.381249999999</c:v>
                </c:pt>
                <c:pt idx="583">
                  <c:v>46299.381944444453</c:v>
                </c:pt>
                <c:pt idx="584">
                  <c:v>46299.382638888892</c:v>
                </c:pt>
                <c:pt idx="585">
                  <c:v>46299.383333333331</c:v>
                </c:pt>
                <c:pt idx="586">
                  <c:v>46299.384027777778</c:v>
                </c:pt>
                <c:pt idx="587">
                  <c:v>46299.384722222218</c:v>
                </c:pt>
                <c:pt idx="588">
                  <c:v>46299.385416666657</c:v>
                </c:pt>
                <c:pt idx="589">
                  <c:v>46299.386111111111</c:v>
                </c:pt>
                <c:pt idx="590">
                  <c:v>46299.386805555558</c:v>
                </c:pt>
                <c:pt idx="591">
                  <c:v>46299.387499999997</c:v>
                </c:pt>
                <c:pt idx="592">
                  <c:v>46299.388194444437</c:v>
                </c:pt>
                <c:pt idx="593">
                  <c:v>46299.388888888891</c:v>
                </c:pt>
                <c:pt idx="594">
                  <c:v>46299.38958333333</c:v>
                </c:pt>
                <c:pt idx="595">
                  <c:v>46299.390277777777</c:v>
                </c:pt>
                <c:pt idx="596">
                  <c:v>46299.390972222223</c:v>
                </c:pt>
                <c:pt idx="597">
                  <c:v>46299.39166666667</c:v>
                </c:pt>
                <c:pt idx="598">
                  <c:v>46299.392361111109</c:v>
                </c:pt>
                <c:pt idx="599">
                  <c:v>46299.393055555563</c:v>
                </c:pt>
                <c:pt idx="600">
                  <c:v>46299.393750000003</c:v>
                </c:pt>
                <c:pt idx="601">
                  <c:v>46299.394444444442</c:v>
                </c:pt>
                <c:pt idx="602">
                  <c:v>46299.395138888889</c:v>
                </c:pt>
                <c:pt idx="603">
                  <c:v>46299.395833333343</c:v>
                </c:pt>
                <c:pt idx="604">
                  <c:v>46299.396527777782</c:v>
                </c:pt>
                <c:pt idx="605">
                  <c:v>46299.397222222222</c:v>
                </c:pt>
                <c:pt idx="606">
                  <c:v>46299.397916666669</c:v>
                </c:pt>
                <c:pt idx="607">
                  <c:v>46299.398611111108</c:v>
                </c:pt>
                <c:pt idx="608">
                  <c:v>46299.399305555547</c:v>
                </c:pt>
                <c:pt idx="609">
                  <c:v>46299.4</c:v>
                </c:pt>
                <c:pt idx="610">
                  <c:v>46299.400694444441</c:v>
                </c:pt>
                <c:pt idx="611">
                  <c:v>46299.401388888888</c:v>
                </c:pt>
                <c:pt idx="612">
                  <c:v>46299.402083333327</c:v>
                </c:pt>
                <c:pt idx="613">
                  <c:v>46299.402777777781</c:v>
                </c:pt>
                <c:pt idx="614">
                  <c:v>46299.40347222222</c:v>
                </c:pt>
                <c:pt idx="615">
                  <c:v>46299.404166666667</c:v>
                </c:pt>
                <c:pt idx="616">
                  <c:v>46299.404861111107</c:v>
                </c:pt>
                <c:pt idx="617">
                  <c:v>46299.405555555553</c:v>
                </c:pt>
                <c:pt idx="618">
                  <c:v>46299.40625</c:v>
                </c:pt>
                <c:pt idx="619">
                  <c:v>46299.406944444447</c:v>
                </c:pt>
                <c:pt idx="620">
                  <c:v>46299.407638888893</c:v>
                </c:pt>
                <c:pt idx="621">
                  <c:v>46299.408333333333</c:v>
                </c:pt>
                <c:pt idx="622">
                  <c:v>46299.40902777778</c:v>
                </c:pt>
                <c:pt idx="623">
                  <c:v>46299.409722222219</c:v>
                </c:pt>
                <c:pt idx="624">
                  <c:v>46299.410416666673</c:v>
                </c:pt>
                <c:pt idx="625">
                  <c:v>46299.411111111112</c:v>
                </c:pt>
                <c:pt idx="626">
                  <c:v>46299.411805555559</c:v>
                </c:pt>
                <c:pt idx="627">
                  <c:v>46299.412499999999</c:v>
                </c:pt>
                <c:pt idx="628">
                  <c:v>46299.413194444453</c:v>
                </c:pt>
                <c:pt idx="629">
                  <c:v>46299.413888888892</c:v>
                </c:pt>
                <c:pt idx="630">
                  <c:v>46299.414583333331</c:v>
                </c:pt>
                <c:pt idx="631">
                  <c:v>46299.415277777778</c:v>
                </c:pt>
                <c:pt idx="632">
                  <c:v>46299.415972222218</c:v>
                </c:pt>
                <c:pt idx="633">
                  <c:v>46299.416666666657</c:v>
                </c:pt>
                <c:pt idx="634">
                  <c:v>46299.417361111111</c:v>
                </c:pt>
                <c:pt idx="635">
                  <c:v>46299.418055555558</c:v>
                </c:pt>
                <c:pt idx="636">
                  <c:v>46299.418749999997</c:v>
                </c:pt>
                <c:pt idx="637">
                  <c:v>46299.419444444437</c:v>
                </c:pt>
                <c:pt idx="638">
                  <c:v>46299.420138888891</c:v>
                </c:pt>
                <c:pt idx="639">
                  <c:v>46299.42083333333</c:v>
                </c:pt>
                <c:pt idx="640">
                  <c:v>46299.421527777777</c:v>
                </c:pt>
                <c:pt idx="641">
                  <c:v>46299.422222222223</c:v>
                </c:pt>
                <c:pt idx="642">
                  <c:v>46299.42291666667</c:v>
                </c:pt>
                <c:pt idx="643">
                  <c:v>46299.423611111109</c:v>
                </c:pt>
                <c:pt idx="644">
                  <c:v>46299.424305555563</c:v>
                </c:pt>
                <c:pt idx="645">
                  <c:v>46299.425000000003</c:v>
                </c:pt>
                <c:pt idx="646">
                  <c:v>46299.425694444442</c:v>
                </c:pt>
                <c:pt idx="647">
                  <c:v>46299.426388888889</c:v>
                </c:pt>
                <c:pt idx="648">
                  <c:v>46299.427083333343</c:v>
                </c:pt>
                <c:pt idx="649">
                  <c:v>46299.427777777782</c:v>
                </c:pt>
                <c:pt idx="650">
                  <c:v>46299.428472222222</c:v>
                </c:pt>
                <c:pt idx="651">
                  <c:v>46299.429166666669</c:v>
                </c:pt>
                <c:pt idx="652">
                  <c:v>46299.429861111108</c:v>
                </c:pt>
                <c:pt idx="653">
                  <c:v>46299.430555555547</c:v>
                </c:pt>
                <c:pt idx="654">
                  <c:v>46299.431250000001</c:v>
                </c:pt>
                <c:pt idx="655">
                  <c:v>46299.431944444441</c:v>
                </c:pt>
                <c:pt idx="656">
                  <c:v>46299.432638888888</c:v>
                </c:pt>
                <c:pt idx="657">
                  <c:v>46299.433333333327</c:v>
                </c:pt>
                <c:pt idx="658">
                  <c:v>46299.434027777781</c:v>
                </c:pt>
                <c:pt idx="659">
                  <c:v>46299.43472222222</c:v>
                </c:pt>
                <c:pt idx="660">
                  <c:v>46299.435416666667</c:v>
                </c:pt>
                <c:pt idx="661">
                  <c:v>46299.436111111107</c:v>
                </c:pt>
                <c:pt idx="662">
                  <c:v>46299.436805555553</c:v>
                </c:pt>
                <c:pt idx="663">
                  <c:v>46299.4375</c:v>
                </c:pt>
                <c:pt idx="664">
                  <c:v>46299.438194444447</c:v>
                </c:pt>
                <c:pt idx="665">
                  <c:v>46299.438888888893</c:v>
                </c:pt>
                <c:pt idx="666">
                  <c:v>46299.439583333333</c:v>
                </c:pt>
                <c:pt idx="667">
                  <c:v>46299.44027777778</c:v>
                </c:pt>
                <c:pt idx="668">
                  <c:v>46299.440972222219</c:v>
                </c:pt>
                <c:pt idx="669">
                  <c:v>46299.441666666673</c:v>
                </c:pt>
                <c:pt idx="670">
                  <c:v>46299.442361111112</c:v>
                </c:pt>
                <c:pt idx="671">
                  <c:v>46299.443055555559</c:v>
                </c:pt>
                <c:pt idx="672">
                  <c:v>46299.443749999999</c:v>
                </c:pt>
                <c:pt idx="673">
                  <c:v>46299.444444444453</c:v>
                </c:pt>
                <c:pt idx="674">
                  <c:v>46299.445138888892</c:v>
                </c:pt>
                <c:pt idx="675">
                  <c:v>46299.445833333331</c:v>
                </c:pt>
                <c:pt idx="676">
                  <c:v>46299.446527777778</c:v>
                </c:pt>
                <c:pt idx="677">
                  <c:v>46299.447222222218</c:v>
                </c:pt>
                <c:pt idx="678">
                  <c:v>46299.447916666657</c:v>
                </c:pt>
                <c:pt idx="679">
                  <c:v>46299.448611111111</c:v>
                </c:pt>
                <c:pt idx="680">
                  <c:v>46299.449305555558</c:v>
                </c:pt>
                <c:pt idx="681">
                  <c:v>46299.45</c:v>
                </c:pt>
                <c:pt idx="682">
                  <c:v>46299.450694444437</c:v>
                </c:pt>
                <c:pt idx="683">
                  <c:v>46299.451388888891</c:v>
                </c:pt>
                <c:pt idx="684">
                  <c:v>46299.45208333333</c:v>
                </c:pt>
                <c:pt idx="685">
                  <c:v>46299.452777777777</c:v>
                </c:pt>
                <c:pt idx="686">
                  <c:v>46299.453472222223</c:v>
                </c:pt>
                <c:pt idx="687">
                  <c:v>46299.45416666667</c:v>
                </c:pt>
                <c:pt idx="688">
                  <c:v>46299.454861111109</c:v>
                </c:pt>
                <c:pt idx="689">
                  <c:v>46299.455555555563</c:v>
                </c:pt>
                <c:pt idx="690">
                  <c:v>46299.456250000003</c:v>
                </c:pt>
                <c:pt idx="691">
                  <c:v>46299.456944444442</c:v>
                </c:pt>
                <c:pt idx="692">
                  <c:v>46299.457638888889</c:v>
                </c:pt>
                <c:pt idx="693">
                  <c:v>46299.458333333343</c:v>
                </c:pt>
                <c:pt idx="694">
                  <c:v>46299.459027777782</c:v>
                </c:pt>
                <c:pt idx="695">
                  <c:v>46299.459722222222</c:v>
                </c:pt>
                <c:pt idx="696">
                  <c:v>46299.460416666669</c:v>
                </c:pt>
                <c:pt idx="697">
                  <c:v>46299.461111111108</c:v>
                </c:pt>
                <c:pt idx="698">
                  <c:v>46299.461805555547</c:v>
                </c:pt>
                <c:pt idx="699">
                  <c:v>46299.462500000001</c:v>
                </c:pt>
                <c:pt idx="700">
                  <c:v>46299.463194444441</c:v>
                </c:pt>
                <c:pt idx="701">
                  <c:v>46299.463888888888</c:v>
                </c:pt>
                <c:pt idx="702">
                  <c:v>46299.464583333327</c:v>
                </c:pt>
                <c:pt idx="703">
                  <c:v>46299.465277777781</c:v>
                </c:pt>
                <c:pt idx="704">
                  <c:v>46299.46597222222</c:v>
                </c:pt>
                <c:pt idx="705">
                  <c:v>46299.466666666667</c:v>
                </c:pt>
                <c:pt idx="706">
                  <c:v>46299.467361111107</c:v>
                </c:pt>
                <c:pt idx="707">
                  <c:v>46299.468055555553</c:v>
                </c:pt>
                <c:pt idx="708">
                  <c:v>46299.46875</c:v>
                </c:pt>
                <c:pt idx="709">
                  <c:v>46299.469444444447</c:v>
                </c:pt>
                <c:pt idx="710">
                  <c:v>46299.470138888893</c:v>
                </c:pt>
                <c:pt idx="711">
                  <c:v>46299.470833333333</c:v>
                </c:pt>
                <c:pt idx="712">
                  <c:v>46299.47152777778</c:v>
                </c:pt>
                <c:pt idx="713">
                  <c:v>46299.472222222219</c:v>
                </c:pt>
                <c:pt idx="714">
                  <c:v>46299.472916666673</c:v>
                </c:pt>
                <c:pt idx="715">
                  <c:v>46299.473611111112</c:v>
                </c:pt>
                <c:pt idx="716">
                  <c:v>46299.474305555559</c:v>
                </c:pt>
                <c:pt idx="717">
                  <c:v>46299.474999999999</c:v>
                </c:pt>
                <c:pt idx="718">
                  <c:v>46299.475694444453</c:v>
                </c:pt>
                <c:pt idx="719">
                  <c:v>46299.476388888892</c:v>
                </c:pt>
                <c:pt idx="720">
                  <c:v>46299.477083333331</c:v>
                </c:pt>
                <c:pt idx="721">
                  <c:v>46299.477777777778</c:v>
                </c:pt>
                <c:pt idx="722">
                  <c:v>46299.478472222218</c:v>
                </c:pt>
                <c:pt idx="723">
                  <c:v>46299.479166666657</c:v>
                </c:pt>
                <c:pt idx="724">
                  <c:v>46299.479861111111</c:v>
                </c:pt>
                <c:pt idx="725">
                  <c:v>46299.480555555558</c:v>
                </c:pt>
                <c:pt idx="726">
                  <c:v>46299.481249999997</c:v>
                </c:pt>
                <c:pt idx="727">
                  <c:v>46299.481944444437</c:v>
                </c:pt>
                <c:pt idx="728">
                  <c:v>46299.482638888891</c:v>
                </c:pt>
                <c:pt idx="729">
                  <c:v>46299.48333333333</c:v>
                </c:pt>
                <c:pt idx="730">
                  <c:v>46299.484027777777</c:v>
                </c:pt>
                <c:pt idx="731">
                  <c:v>46299.484722222223</c:v>
                </c:pt>
                <c:pt idx="732">
                  <c:v>46299.48541666667</c:v>
                </c:pt>
                <c:pt idx="733">
                  <c:v>46299.486111111109</c:v>
                </c:pt>
                <c:pt idx="734">
                  <c:v>46299.486805555563</c:v>
                </c:pt>
                <c:pt idx="735">
                  <c:v>46299.487500000003</c:v>
                </c:pt>
                <c:pt idx="736">
                  <c:v>46299.488194444442</c:v>
                </c:pt>
                <c:pt idx="737">
                  <c:v>46299.488888888889</c:v>
                </c:pt>
                <c:pt idx="738">
                  <c:v>46299.489583333343</c:v>
                </c:pt>
                <c:pt idx="739">
                  <c:v>46299.490277777782</c:v>
                </c:pt>
                <c:pt idx="740">
                  <c:v>46299.490972222222</c:v>
                </c:pt>
                <c:pt idx="741">
                  <c:v>46299.491666666669</c:v>
                </c:pt>
                <c:pt idx="742">
                  <c:v>46299.492361111108</c:v>
                </c:pt>
                <c:pt idx="743">
                  <c:v>46299.493055555547</c:v>
                </c:pt>
                <c:pt idx="744">
                  <c:v>46299.493750000001</c:v>
                </c:pt>
                <c:pt idx="745">
                  <c:v>46299.494444444441</c:v>
                </c:pt>
                <c:pt idx="746">
                  <c:v>46299.495138888888</c:v>
                </c:pt>
                <c:pt idx="747">
                  <c:v>46299.495833333327</c:v>
                </c:pt>
                <c:pt idx="748">
                  <c:v>46299.496527777781</c:v>
                </c:pt>
                <c:pt idx="749">
                  <c:v>46299.49722222222</c:v>
                </c:pt>
                <c:pt idx="750">
                  <c:v>46299.497916666667</c:v>
                </c:pt>
                <c:pt idx="751">
                  <c:v>46299.498611111107</c:v>
                </c:pt>
                <c:pt idx="752">
                  <c:v>46299.499305555553</c:v>
                </c:pt>
                <c:pt idx="753">
                  <c:v>46299.5</c:v>
                </c:pt>
                <c:pt idx="754">
                  <c:v>46299.500694444447</c:v>
                </c:pt>
                <c:pt idx="755">
                  <c:v>46299.501388888893</c:v>
                </c:pt>
                <c:pt idx="756">
                  <c:v>46299.502083333333</c:v>
                </c:pt>
                <c:pt idx="757">
                  <c:v>46299.50277777778</c:v>
                </c:pt>
                <c:pt idx="758">
                  <c:v>46299.503472222219</c:v>
                </c:pt>
                <c:pt idx="759">
                  <c:v>46299.504166666673</c:v>
                </c:pt>
                <c:pt idx="760">
                  <c:v>46299.504861111112</c:v>
                </c:pt>
                <c:pt idx="761">
                  <c:v>46299.505555555559</c:v>
                </c:pt>
                <c:pt idx="762">
                  <c:v>46299.506249999999</c:v>
                </c:pt>
                <c:pt idx="763">
                  <c:v>46299.506944444453</c:v>
                </c:pt>
                <c:pt idx="764">
                  <c:v>46299.507638888892</c:v>
                </c:pt>
                <c:pt idx="765">
                  <c:v>46299.508333333331</c:v>
                </c:pt>
                <c:pt idx="766">
                  <c:v>46299.509027777778</c:v>
                </c:pt>
                <c:pt idx="767">
                  <c:v>46299.509722222218</c:v>
                </c:pt>
                <c:pt idx="768">
                  <c:v>46299.510416666657</c:v>
                </c:pt>
                <c:pt idx="769">
                  <c:v>46299.511111111111</c:v>
                </c:pt>
                <c:pt idx="770">
                  <c:v>46299.511805555558</c:v>
                </c:pt>
                <c:pt idx="771">
                  <c:v>46299.512499999997</c:v>
                </c:pt>
                <c:pt idx="772">
                  <c:v>46299.513194444437</c:v>
                </c:pt>
                <c:pt idx="773">
                  <c:v>46299.513888888891</c:v>
                </c:pt>
                <c:pt idx="774">
                  <c:v>46299.51458333333</c:v>
                </c:pt>
                <c:pt idx="775">
                  <c:v>46299.515277777777</c:v>
                </c:pt>
                <c:pt idx="776">
                  <c:v>46299.515972222223</c:v>
                </c:pt>
                <c:pt idx="777">
                  <c:v>46299.51666666667</c:v>
                </c:pt>
                <c:pt idx="778">
                  <c:v>46299.517361111109</c:v>
                </c:pt>
                <c:pt idx="779">
                  <c:v>46299.518055555563</c:v>
                </c:pt>
                <c:pt idx="780">
                  <c:v>46299.518750000003</c:v>
                </c:pt>
                <c:pt idx="781">
                  <c:v>46299.519444444442</c:v>
                </c:pt>
                <c:pt idx="782">
                  <c:v>46299.520138888889</c:v>
                </c:pt>
                <c:pt idx="783">
                  <c:v>46299.520833333343</c:v>
                </c:pt>
                <c:pt idx="784">
                  <c:v>46299.521527777782</c:v>
                </c:pt>
                <c:pt idx="785">
                  <c:v>46299.522222222222</c:v>
                </c:pt>
                <c:pt idx="786">
                  <c:v>46299.522916666669</c:v>
                </c:pt>
                <c:pt idx="787">
                  <c:v>46299.523611111108</c:v>
                </c:pt>
                <c:pt idx="788">
                  <c:v>46299.524305555547</c:v>
                </c:pt>
                <c:pt idx="789">
                  <c:v>46299.525000000001</c:v>
                </c:pt>
                <c:pt idx="790">
                  <c:v>46299.525694444441</c:v>
                </c:pt>
                <c:pt idx="791">
                  <c:v>46299.526388888888</c:v>
                </c:pt>
                <c:pt idx="792">
                  <c:v>46299.527083333327</c:v>
                </c:pt>
                <c:pt idx="793">
                  <c:v>46299.527777777781</c:v>
                </c:pt>
                <c:pt idx="794">
                  <c:v>46299.52847222222</c:v>
                </c:pt>
                <c:pt idx="795">
                  <c:v>46299.529166666667</c:v>
                </c:pt>
                <c:pt idx="796">
                  <c:v>46299.529861111107</c:v>
                </c:pt>
                <c:pt idx="797">
                  <c:v>46299.530555555553</c:v>
                </c:pt>
                <c:pt idx="798">
                  <c:v>46299.53125</c:v>
                </c:pt>
                <c:pt idx="799">
                  <c:v>46299.531944444447</c:v>
                </c:pt>
                <c:pt idx="800">
                  <c:v>46299.532638888893</c:v>
                </c:pt>
                <c:pt idx="801">
                  <c:v>46299.533333333333</c:v>
                </c:pt>
                <c:pt idx="802">
                  <c:v>46299.53402777778</c:v>
                </c:pt>
                <c:pt idx="803">
                  <c:v>46299.534722222219</c:v>
                </c:pt>
                <c:pt idx="804">
                  <c:v>46299.535416666673</c:v>
                </c:pt>
                <c:pt idx="805">
                  <c:v>46299.536111111112</c:v>
                </c:pt>
                <c:pt idx="806">
                  <c:v>46299.536805555559</c:v>
                </c:pt>
                <c:pt idx="807">
                  <c:v>46299.537499999999</c:v>
                </c:pt>
                <c:pt idx="808">
                  <c:v>46299.538194444453</c:v>
                </c:pt>
                <c:pt idx="809">
                  <c:v>46299.538888888892</c:v>
                </c:pt>
                <c:pt idx="810">
                  <c:v>46299.539583333331</c:v>
                </c:pt>
                <c:pt idx="811">
                  <c:v>46299.540277777778</c:v>
                </c:pt>
                <c:pt idx="812">
                  <c:v>46299.540972222218</c:v>
                </c:pt>
                <c:pt idx="813">
                  <c:v>46299.541666666657</c:v>
                </c:pt>
                <c:pt idx="814">
                  <c:v>46299.542361111111</c:v>
                </c:pt>
                <c:pt idx="815">
                  <c:v>46299.543055555558</c:v>
                </c:pt>
                <c:pt idx="816">
                  <c:v>46299.543749999997</c:v>
                </c:pt>
                <c:pt idx="817">
                  <c:v>46299.544444444437</c:v>
                </c:pt>
                <c:pt idx="818">
                  <c:v>46299.545138888891</c:v>
                </c:pt>
                <c:pt idx="819">
                  <c:v>46299.54583333333</c:v>
                </c:pt>
                <c:pt idx="820">
                  <c:v>46299.546527777777</c:v>
                </c:pt>
                <c:pt idx="821">
                  <c:v>46299.547222222223</c:v>
                </c:pt>
                <c:pt idx="822">
                  <c:v>46299.54791666667</c:v>
                </c:pt>
                <c:pt idx="823">
                  <c:v>46299.548611111109</c:v>
                </c:pt>
                <c:pt idx="824">
                  <c:v>46299.549305555563</c:v>
                </c:pt>
                <c:pt idx="825">
                  <c:v>46299.55</c:v>
                </c:pt>
                <c:pt idx="826">
                  <c:v>46299.550694444442</c:v>
                </c:pt>
                <c:pt idx="827">
                  <c:v>46299.551388888889</c:v>
                </c:pt>
                <c:pt idx="828">
                  <c:v>46299.552083333343</c:v>
                </c:pt>
                <c:pt idx="829">
                  <c:v>46299.552777777782</c:v>
                </c:pt>
                <c:pt idx="830">
                  <c:v>46299.553472222222</c:v>
                </c:pt>
                <c:pt idx="831">
                  <c:v>46299.554166666669</c:v>
                </c:pt>
                <c:pt idx="832">
                  <c:v>46299.554861111108</c:v>
                </c:pt>
                <c:pt idx="833">
                  <c:v>46299.555555555547</c:v>
                </c:pt>
                <c:pt idx="834">
                  <c:v>46299.556250000001</c:v>
                </c:pt>
                <c:pt idx="835">
                  <c:v>46299.556944444441</c:v>
                </c:pt>
                <c:pt idx="836">
                  <c:v>46299.557638888888</c:v>
                </c:pt>
                <c:pt idx="837">
                  <c:v>46299.558333333327</c:v>
                </c:pt>
                <c:pt idx="838">
                  <c:v>46299.559027777781</c:v>
                </c:pt>
                <c:pt idx="839">
                  <c:v>46299.55972222222</c:v>
                </c:pt>
                <c:pt idx="840">
                  <c:v>46299.560416666667</c:v>
                </c:pt>
                <c:pt idx="841">
                  <c:v>46299.561111111107</c:v>
                </c:pt>
                <c:pt idx="842">
                  <c:v>46299.561805555553</c:v>
                </c:pt>
                <c:pt idx="843">
                  <c:v>46299.5625</c:v>
                </c:pt>
                <c:pt idx="844">
                  <c:v>46299.563194444447</c:v>
                </c:pt>
                <c:pt idx="845">
                  <c:v>46299.563888888893</c:v>
                </c:pt>
                <c:pt idx="846">
                  <c:v>46299.564583333333</c:v>
                </c:pt>
                <c:pt idx="847">
                  <c:v>46299.56527777778</c:v>
                </c:pt>
                <c:pt idx="848">
                  <c:v>46299.565972222219</c:v>
                </c:pt>
                <c:pt idx="849">
                  <c:v>46299.566666666673</c:v>
                </c:pt>
                <c:pt idx="850">
                  <c:v>46299.567361111112</c:v>
                </c:pt>
                <c:pt idx="851">
                  <c:v>46299.568055555559</c:v>
                </c:pt>
                <c:pt idx="852">
                  <c:v>46299.568749999999</c:v>
                </c:pt>
                <c:pt idx="853">
                  <c:v>46299.569444444453</c:v>
                </c:pt>
                <c:pt idx="854">
                  <c:v>46299.570138888892</c:v>
                </c:pt>
                <c:pt idx="855">
                  <c:v>46299.570833333331</c:v>
                </c:pt>
                <c:pt idx="856">
                  <c:v>46299.571527777778</c:v>
                </c:pt>
                <c:pt idx="857">
                  <c:v>46299.572222222218</c:v>
                </c:pt>
                <c:pt idx="858">
                  <c:v>46299.572916666657</c:v>
                </c:pt>
                <c:pt idx="859">
                  <c:v>46299.573611111111</c:v>
                </c:pt>
                <c:pt idx="860">
                  <c:v>46299.574305555558</c:v>
                </c:pt>
                <c:pt idx="861">
                  <c:v>46299.574999999997</c:v>
                </c:pt>
                <c:pt idx="862">
                  <c:v>46299.575694444437</c:v>
                </c:pt>
                <c:pt idx="863">
                  <c:v>46299.576388888891</c:v>
                </c:pt>
                <c:pt idx="864">
                  <c:v>46299.57708333333</c:v>
                </c:pt>
                <c:pt idx="865">
                  <c:v>46299.577777777777</c:v>
                </c:pt>
                <c:pt idx="866">
                  <c:v>46299.578472222223</c:v>
                </c:pt>
                <c:pt idx="867">
                  <c:v>46299.57916666667</c:v>
                </c:pt>
                <c:pt idx="868">
                  <c:v>46299.579861111109</c:v>
                </c:pt>
                <c:pt idx="869">
                  <c:v>46299.580555555563</c:v>
                </c:pt>
                <c:pt idx="870">
                  <c:v>46299.581250000003</c:v>
                </c:pt>
                <c:pt idx="871">
                  <c:v>46299.581944444442</c:v>
                </c:pt>
                <c:pt idx="872">
                  <c:v>46299.582638888889</c:v>
                </c:pt>
                <c:pt idx="873">
                  <c:v>46299.583333333343</c:v>
                </c:pt>
                <c:pt idx="874">
                  <c:v>46299.584027777782</c:v>
                </c:pt>
                <c:pt idx="875">
                  <c:v>46299.584722222222</c:v>
                </c:pt>
                <c:pt idx="876">
                  <c:v>46299.585416666669</c:v>
                </c:pt>
                <c:pt idx="877">
                  <c:v>46299.586111111108</c:v>
                </c:pt>
                <c:pt idx="878">
                  <c:v>46299.586805555547</c:v>
                </c:pt>
                <c:pt idx="879">
                  <c:v>46299.587500000001</c:v>
                </c:pt>
                <c:pt idx="880">
                  <c:v>46299.588194444441</c:v>
                </c:pt>
                <c:pt idx="881">
                  <c:v>46299.588888888888</c:v>
                </c:pt>
                <c:pt idx="882">
                  <c:v>46299.589583333327</c:v>
                </c:pt>
                <c:pt idx="883">
                  <c:v>46299.590277777781</c:v>
                </c:pt>
                <c:pt idx="884">
                  <c:v>46299.59097222222</c:v>
                </c:pt>
                <c:pt idx="885">
                  <c:v>46299.591666666667</c:v>
                </c:pt>
                <c:pt idx="886">
                  <c:v>46299.592361111107</c:v>
                </c:pt>
                <c:pt idx="887">
                  <c:v>46299.593055555553</c:v>
                </c:pt>
                <c:pt idx="888">
                  <c:v>46299.59375</c:v>
                </c:pt>
                <c:pt idx="889">
                  <c:v>46299.594444444447</c:v>
                </c:pt>
                <c:pt idx="890">
                  <c:v>46299.595138888893</c:v>
                </c:pt>
                <c:pt idx="891">
                  <c:v>46299.595833333333</c:v>
                </c:pt>
                <c:pt idx="892">
                  <c:v>46299.59652777778</c:v>
                </c:pt>
                <c:pt idx="893">
                  <c:v>46299.597222222219</c:v>
                </c:pt>
                <c:pt idx="894">
                  <c:v>46299.597916666673</c:v>
                </c:pt>
                <c:pt idx="895">
                  <c:v>46299.598611111112</c:v>
                </c:pt>
                <c:pt idx="896">
                  <c:v>46299.599305555559</c:v>
                </c:pt>
                <c:pt idx="897">
                  <c:v>46299.6</c:v>
                </c:pt>
                <c:pt idx="898">
                  <c:v>46299.600694444453</c:v>
                </c:pt>
                <c:pt idx="899">
                  <c:v>46299.601388888892</c:v>
                </c:pt>
                <c:pt idx="900">
                  <c:v>46299.602083333331</c:v>
                </c:pt>
                <c:pt idx="901">
                  <c:v>46299.602777777778</c:v>
                </c:pt>
                <c:pt idx="902">
                  <c:v>46299.603472222218</c:v>
                </c:pt>
                <c:pt idx="903">
                  <c:v>46299.604166666657</c:v>
                </c:pt>
                <c:pt idx="904">
                  <c:v>46299.604861111111</c:v>
                </c:pt>
                <c:pt idx="905">
                  <c:v>46299.605555555558</c:v>
                </c:pt>
                <c:pt idx="906">
                  <c:v>46299.606249999997</c:v>
                </c:pt>
                <c:pt idx="907">
                  <c:v>46299.606944444437</c:v>
                </c:pt>
                <c:pt idx="908">
                  <c:v>46299.607638888891</c:v>
                </c:pt>
                <c:pt idx="909">
                  <c:v>46299.60833333333</c:v>
                </c:pt>
                <c:pt idx="910">
                  <c:v>46299.609027777777</c:v>
                </c:pt>
                <c:pt idx="911">
                  <c:v>46299.609722222223</c:v>
                </c:pt>
                <c:pt idx="912">
                  <c:v>46299.61041666667</c:v>
                </c:pt>
                <c:pt idx="913">
                  <c:v>46299.611111111109</c:v>
                </c:pt>
                <c:pt idx="914">
                  <c:v>46299.611805555563</c:v>
                </c:pt>
                <c:pt idx="915">
                  <c:v>46299.612500000003</c:v>
                </c:pt>
                <c:pt idx="916">
                  <c:v>46299.613194444442</c:v>
                </c:pt>
                <c:pt idx="917">
                  <c:v>46299.613888888889</c:v>
                </c:pt>
                <c:pt idx="918">
                  <c:v>46299.614583333343</c:v>
                </c:pt>
                <c:pt idx="919">
                  <c:v>46299.615277777782</c:v>
                </c:pt>
                <c:pt idx="920">
                  <c:v>46299.615972222222</c:v>
                </c:pt>
                <c:pt idx="921">
                  <c:v>46299.616666666669</c:v>
                </c:pt>
                <c:pt idx="922">
                  <c:v>46299.617361111108</c:v>
                </c:pt>
                <c:pt idx="923">
                  <c:v>46299.618055555547</c:v>
                </c:pt>
                <c:pt idx="924">
                  <c:v>46299.618750000001</c:v>
                </c:pt>
                <c:pt idx="925">
                  <c:v>46299.619444444441</c:v>
                </c:pt>
                <c:pt idx="926">
                  <c:v>46299.620138888888</c:v>
                </c:pt>
                <c:pt idx="927">
                  <c:v>46299.620833333327</c:v>
                </c:pt>
                <c:pt idx="928">
                  <c:v>46299.621527777781</c:v>
                </c:pt>
                <c:pt idx="929">
                  <c:v>46299.62222222222</c:v>
                </c:pt>
                <c:pt idx="930">
                  <c:v>46299.622916666667</c:v>
                </c:pt>
                <c:pt idx="931">
                  <c:v>46299.623611111107</c:v>
                </c:pt>
                <c:pt idx="932">
                  <c:v>46299.624305555553</c:v>
                </c:pt>
                <c:pt idx="933">
                  <c:v>46299.625</c:v>
                </c:pt>
                <c:pt idx="934">
                  <c:v>46299.625694444447</c:v>
                </c:pt>
                <c:pt idx="935">
                  <c:v>46299.626388888893</c:v>
                </c:pt>
                <c:pt idx="936">
                  <c:v>46299.627083333333</c:v>
                </c:pt>
                <c:pt idx="937">
                  <c:v>46299.62777777778</c:v>
                </c:pt>
                <c:pt idx="938">
                  <c:v>46299.628472222219</c:v>
                </c:pt>
                <c:pt idx="939">
                  <c:v>46299.629166666673</c:v>
                </c:pt>
                <c:pt idx="940">
                  <c:v>46299.629861111112</c:v>
                </c:pt>
                <c:pt idx="941">
                  <c:v>46299.630555555559</c:v>
                </c:pt>
                <c:pt idx="942">
                  <c:v>46299.631249999999</c:v>
                </c:pt>
                <c:pt idx="943">
                  <c:v>46299.631944444453</c:v>
                </c:pt>
                <c:pt idx="944">
                  <c:v>46299.632638888892</c:v>
                </c:pt>
                <c:pt idx="945">
                  <c:v>46299.633333333331</c:v>
                </c:pt>
                <c:pt idx="946">
                  <c:v>46299.634027777778</c:v>
                </c:pt>
                <c:pt idx="947">
                  <c:v>46299.634722222218</c:v>
                </c:pt>
                <c:pt idx="948">
                  <c:v>46299.635416666657</c:v>
                </c:pt>
                <c:pt idx="949">
                  <c:v>46299.636111111111</c:v>
                </c:pt>
                <c:pt idx="950">
                  <c:v>46299.636805555558</c:v>
                </c:pt>
                <c:pt idx="951">
                  <c:v>46299.637499999997</c:v>
                </c:pt>
                <c:pt idx="952">
                  <c:v>46299.638194444437</c:v>
                </c:pt>
                <c:pt idx="953">
                  <c:v>46299.638888888891</c:v>
                </c:pt>
                <c:pt idx="954">
                  <c:v>46299.63958333333</c:v>
                </c:pt>
                <c:pt idx="955">
                  <c:v>46299.640277777777</c:v>
                </c:pt>
                <c:pt idx="956">
                  <c:v>46299.640972222223</c:v>
                </c:pt>
                <c:pt idx="957">
                  <c:v>46299.64166666667</c:v>
                </c:pt>
                <c:pt idx="958">
                  <c:v>46299.642361111109</c:v>
                </c:pt>
                <c:pt idx="959">
                  <c:v>46299.643055555563</c:v>
                </c:pt>
              </c:numCache>
            </c:numRef>
          </c:xVal>
          <c:yVal>
            <c:numRef>
              <c:f>RoomA_Night1!$E$2:$E$961</c:f>
              <c:numCache>
                <c:formatCode>General</c:formatCode>
                <c:ptCount val="960"/>
                <c:pt idx="0">
                  <c:v>6.1550000000000002</c:v>
                </c:pt>
                <c:pt idx="1">
                  <c:v>6.12</c:v>
                </c:pt>
                <c:pt idx="2">
                  <c:v>6.085</c:v>
                </c:pt>
                <c:pt idx="3">
                  <c:v>6.05</c:v>
                </c:pt>
                <c:pt idx="4">
                  <c:v>6.0149999999999997</c:v>
                </c:pt>
                <c:pt idx="5">
                  <c:v>5.98</c:v>
                </c:pt>
                <c:pt idx="6">
                  <c:v>5.9450000000000003</c:v>
                </c:pt>
                <c:pt idx="7">
                  <c:v>5.91</c:v>
                </c:pt>
                <c:pt idx="8">
                  <c:v>5.875</c:v>
                </c:pt>
                <c:pt idx="9">
                  <c:v>5.84</c:v>
                </c:pt>
                <c:pt idx="10">
                  <c:v>5.8049999999999997</c:v>
                </c:pt>
                <c:pt idx="11">
                  <c:v>5.77</c:v>
                </c:pt>
                <c:pt idx="12">
                  <c:v>5.7350000000000003</c:v>
                </c:pt>
                <c:pt idx="13">
                  <c:v>5.7</c:v>
                </c:pt>
                <c:pt idx="14">
                  <c:v>5.665</c:v>
                </c:pt>
                <c:pt idx="15">
                  <c:v>5.63</c:v>
                </c:pt>
                <c:pt idx="16">
                  <c:v>5.5949999999999998</c:v>
                </c:pt>
                <c:pt idx="17">
                  <c:v>5.56</c:v>
                </c:pt>
                <c:pt idx="18">
                  <c:v>5.5250000000000004</c:v>
                </c:pt>
                <c:pt idx="19">
                  <c:v>5.49</c:v>
                </c:pt>
                <c:pt idx="20">
                  <c:v>5.4550000000000001</c:v>
                </c:pt>
                <c:pt idx="21">
                  <c:v>5.42</c:v>
                </c:pt>
                <c:pt idx="22">
                  <c:v>5.3849999999999998</c:v>
                </c:pt>
                <c:pt idx="23">
                  <c:v>5.35</c:v>
                </c:pt>
                <c:pt idx="24">
                  <c:v>5.3150000000000004</c:v>
                </c:pt>
                <c:pt idx="25">
                  <c:v>5.28</c:v>
                </c:pt>
                <c:pt idx="26">
                  <c:v>5.2450000000000001</c:v>
                </c:pt>
                <c:pt idx="27">
                  <c:v>5.21</c:v>
                </c:pt>
                <c:pt idx="28">
                  <c:v>5.1749999999999998</c:v>
                </c:pt>
                <c:pt idx="29">
                  <c:v>5.14</c:v>
                </c:pt>
                <c:pt idx="30">
                  <c:v>5.1050000000000004</c:v>
                </c:pt>
                <c:pt idx="31">
                  <c:v>5.07</c:v>
                </c:pt>
                <c:pt idx="32">
                  <c:v>5.0350000000000001</c:v>
                </c:pt>
                <c:pt idx="33">
                  <c:v>5</c:v>
                </c:pt>
                <c:pt idx="34">
                  <c:v>4.99</c:v>
                </c:pt>
                <c:pt idx="35">
                  <c:v>4.9800000000000004</c:v>
                </c:pt>
                <c:pt idx="36">
                  <c:v>4.97</c:v>
                </c:pt>
                <c:pt idx="37">
                  <c:v>4.96</c:v>
                </c:pt>
                <c:pt idx="38">
                  <c:v>4.95</c:v>
                </c:pt>
                <c:pt idx="39">
                  <c:v>4.9400000000000004</c:v>
                </c:pt>
                <c:pt idx="40">
                  <c:v>4.93</c:v>
                </c:pt>
                <c:pt idx="41">
                  <c:v>4.92</c:v>
                </c:pt>
                <c:pt idx="42">
                  <c:v>4.91</c:v>
                </c:pt>
                <c:pt idx="43">
                  <c:v>4.9000000000000004</c:v>
                </c:pt>
                <c:pt idx="44">
                  <c:v>4.8899999999999997</c:v>
                </c:pt>
                <c:pt idx="45">
                  <c:v>4.88</c:v>
                </c:pt>
                <c:pt idx="46">
                  <c:v>4.87</c:v>
                </c:pt>
                <c:pt idx="47">
                  <c:v>4.8600000000000003</c:v>
                </c:pt>
                <c:pt idx="48">
                  <c:v>4.8499999999999996</c:v>
                </c:pt>
                <c:pt idx="49">
                  <c:v>4.84</c:v>
                </c:pt>
                <c:pt idx="50">
                  <c:v>4.83</c:v>
                </c:pt>
                <c:pt idx="51">
                  <c:v>4.82</c:v>
                </c:pt>
                <c:pt idx="52">
                  <c:v>4.8099999999999996</c:v>
                </c:pt>
                <c:pt idx="53">
                  <c:v>4.8</c:v>
                </c:pt>
                <c:pt idx="54">
                  <c:v>4.79</c:v>
                </c:pt>
                <c:pt idx="55">
                  <c:v>4.78</c:v>
                </c:pt>
                <c:pt idx="56">
                  <c:v>4.7699999999999996</c:v>
                </c:pt>
                <c:pt idx="57">
                  <c:v>4.76</c:v>
                </c:pt>
                <c:pt idx="58">
                  <c:v>4.75</c:v>
                </c:pt>
                <c:pt idx="59">
                  <c:v>4.74</c:v>
                </c:pt>
                <c:pt idx="60">
                  <c:v>4.7300000000000004</c:v>
                </c:pt>
                <c:pt idx="61">
                  <c:v>4.72</c:v>
                </c:pt>
                <c:pt idx="62">
                  <c:v>4.71</c:v>
                </c:pt>
                <c:pt idx="63">
                  <c:v>4.7</c:v>
                </c:pt>
                <c:pt idx="64">
                  <c:v>4.6900000000000004</c:v>
                </c:pt>
                <c:pt idx="65">
                  <c:v>4.68</c:v>
                </c:pt>
                <c:pt idx="66">
                  <c:v>4.67</c:v>
                </c:pt>
                <c:pt idx="67">
                  <c:v>4.66</c:v>
                </c:pt>
                <c:pt idx="68">
                  <c:v>4.6500000000000004</c:v>
                </c:pt>
                <c:pt idx="69">
                  <c:v>4.6399999999999997</c:v>
                </c:pt>
                <c:pt idx="70">
                  <c:v>4.63</c:v>
                </c:pt>
                <c:pt idx="71">
                  <c:v>4.62</c:v>
                </c:pt>
                <c:pt idx="72">
                  <c:v>4.6100000000000003</c:v>
                </c:pt>
                <c:pt idx="73">
                  <c:v>4.5999999999999996</c:v>
                </c:pt>
                <c:pt idx="74">
                  <c:v>4.59</c:v>
                </c:pt>
                <c:pt idx="75">
                  <c:v>4.58</c:v>
                </c:pt>
                <c:pt idx="76">
                  <c:v>4.57</c:v>
                </c:pt>
                <c:pt idx="77">
                  <c:v>4.5599999999999996</c:v>
                </c:pt>
                <c:pt idx="78">
                  <c:v>4.55</c:v>
                </c:pt>
                <c:pt idx="79">
                  <c:v>4.54</c:v>
                </c:pt>
                <c:pt idx="80">
                  <c:v>4.53</c:v>
                </c:pt>
                <c:pt idx="81">
                  <c:v>4.5199999999999996</c:v>
                </c:pt>
                <c:pt idx="82">
                  <c:v>4.51</c:v>
                </c:pt>
                <c:pt idx="83">
                  <c:v>4.5</c:v>
                </c:pt>
                <c:pt idx="84">
                  <c:v>4.49</c:v>
                </c:pt>
                <c:pt idx="85">
                  <c:v>4.4800000000000004</c:v>
                </c:pt>
                <c:pt idx="86">
                  <c:v>4.47</c:v>
                </c:pt>
                <c:pt idx="87">
                  <c:v>4.46</c:v>
                </c:pt>
                <c:pt idx="88">
                  <c:v>4.45</c:v>
                </c:pt>
                <c:pt idx="89">
                  <c:v>4.4400000000000004</c:v>
                </c:pt>
                <c:pt idx="90">
                  <c:v>4.43</c:v>
                </c:pt>
                <c:pt idx="91">
                  <c:v>4.42</c:v>
                </c:pt>
                <c:pt idx="92">
                  <c:v>4.41</c:v>
                </c:pt>
                <c:pt idx="93">
                  <c:v>4.4000000000000004</c:v>
                </c:pt>
                <c:pt idx="94">
                  <c:v>4.3920000000000003</c:v>
                </c:pt>
                <c:pt idx="95">
                  <c:v>4.383</c:v>
                </c:pt>
                <c:pt idx="96">
                  <c:v>4.375</c:v>
                </c:pt>
                <c:pt idx="97">
                  <c:v>4.367</c:v>
                </c:pt>
                <c:pt idx="98">
                  <c:v>4.3579999999999997</c:v>
                </c:pt>
                <c:pt idx="99">
                  <c:v>4.3499999999999996</c:v>
                </c:pt>
                <c:pt idx="100">
                  <c:v>4.3419999999999996</c:v>
                </c:pt>
                <c:pt idx="101">
                  <c:v>4.3330000000000002</c:v>
                </c:pt>
                <c:pt idx="102">
                  <c:v>4.3250000000000002</c:v>
                </c:pt>
                <c:pt idx="103">
                  <c:v>4.3170000000000002</c:v>
                </c:pt>
                <c:pt idx="104">
                  <c:v>4.3079999999999998</c:v>
                </c:pt>
                <c:pt idx="105">
                  <c:v>4.3</c:v>
                </c:pt>
                <c:pt idx="106">
                  <c:v>4.2919999999999998</c:v>
                </c:pt>
                <c:pt idx="107">
                  <c:v>4.2830000000000004</c:v>
                </c:pt>
                <c:pt idx="108">
                  <c:v>4.2750000000000004</c:v>
                </c:pt>
                <c:pt idx="109">
                  <c:v>4.2670000000000003</c:v>
                </c:pt>
                <c:pt idx="110">
                  <c:v>4.258</c:v>
                </c:pt>
                <c:pt idx="111">
                  <c:v>4.25</c:v>
                </c:pt>
                <c:pt idx="112">
                  <c:v>4.242</c:v>
                </c:pt>
                <c:pt idx="113">
                  <c:v>4.2329999999999997</c:v>
                </c:pt>
                <c:pt idx="114">
                  <c:v>4.2249999999999996</c:v>
                </c:pt>
                <c:pt idx="115">
                  <c:v>4.2169999999999996</c:v>
                </c:pt>
                <c:pt idx="116">
                  <c:v>4.2080000000000002</c:v>
                </c:pt>
                <c:pt idx="117">
                  <c:v>4.2</c:v>
                </c:pt>
                <c:pt idx="118">
                  <c:v>4.1920000000000002</c:v>
                </c:pt>
                <c:pt idx="119">
                  <c:v>4.1829999999999998</c:v>
                </c:pt>
                <c:pt idx="120">
                  <c:v>4.1749999999999998</c:v>
                </c:pt>
                <c:pt idx="121">
                  <c:v>4.1669999999999998</c:v>
                </c:pt>
                <c:pt idx="122">
                  <c:v>4.1580000000000004</c:v>
                </c:pt>
                <c:pt idx="123">
                  <c:v>4.1500000000000004</c:v>
                </c:pt>
                <c:pt idx="124">
                  <c:v>4.1420000000000003</c:v>
                </c:pt>
                <c:pt idx="125">
                  <c:v>4.133</c:v>
                </c:pt>
                <c:pt idx="126">
                  <c:v>4.125</c:v>
                </c:pt>
                <c:pt idx="127">
                  <c:v>4.117</c:v>
                </c:pt>
                <c:pt idx="128">
                  <c:v>4.1079999999999997</c:v>
                </c:pt>
                <c:pt idx="129">
                  <c:v>4.0999999999999996</c:v>
                </c:pt>
                <c:pt idx="130">
                  <c:v>4.0919999999999996</c:v>
                </c:pt>
                <c:pt idx="131">
                  <c:v>4.0830000000000002</c:v>
                </c:pt>
                <c:pt idx="132">
                  <c:v>4.0750000000000002</c:v>
                </c:pt>
                <c:pt idx="133">
                  <c:v>4.0670000000000002</c:v>
                </c:pt>
                <c:pt idx="134">
                  <c:v>4.0579999999999998</c:v>
                </c:pt>
                <c:pt idx="135">
                  <c:v>4.05</c:v>
                </c:pt>
                <c:pt idx="136">
                  <c:v>4.0419999999999998</c:v>
                </c:pt>
                <c:pt idx="137">
                  <c:v>4.0330000000000004</c:v>
                </c:pt>
                <c:pt idx="138">
                  <c:v>4.0250000000000004</c:v>
                </c:pt>
                <c:pt idx="139">
                  <c:v>4.0170000000000003</c:v>
                </c:pt>
                <c:pt idx="140">
                  <c:v>4.008</c:v>
                </c:pt>
                <c:pt idx="141">
                  <c:v>4</c:v>
                </c:pt>
                <c:pt idx="142">
                  <c:v>3.992</c:v>
                </c:pt>
                <c:pt idx="143">
                  <c:v>3.9830000000000001</c:v>
                </c:pt>
                <c:pt idx="144">
                  <c:v>3.9750000000000001</c:v>
                </c:pt>
                <c:pt idx="145">
                  <c:v>3.9670000000000001</c:v>
                </c:pt>
                <c:pt idx="146">
                  <c:v>3.9580000000000002</c:v>
                </c:pt>
                <c:pt idx="147">
                  <c:v>3.95</c:v>
                </c:pt>
                <c:pt idx="148">
                  <c:v>3.9420000000000002</c:v>
                </c:pt>
                <c:pt idx="149">
                  <c:v>3.9329999999999998</c:v>
                </c:pt>
                <c:pt idx="150">
                  <c:v>3.9249999999999998</c:v>
                </c:pt>
                <c:pt idx="151">
                  <c:v>3.9169999999999998</c:v>
                </c:pt>
                <c:pt idx="152">
                  <c:v>3.9079999999999999</c:v>
                </c:pt>
                <c:pt idx="153">
                  <c:v>3.9</c:v>
                </c:pt>
                <c:pt idx="154">
                  <c:v>3.8980000000000001</c:v>
                </c:pt>
                <c:pt idx="155">
                  <c:v>3.8969999999999998</c:v>
                </c:pt>
                <c:pt idx="156">
                  <c:v>3.895</c:v>
                </c:pt>
                <c:pt idx="157">
                  <c:v>3.8929999999999998</c:v>
                </c:pt>
                <c:pt idx="158">
                  <c:v>3.8919999999999999</c:v>
                </c:pt>
                <c:pt idx="159">
                  <c:v>3.89</c:v>
                </c:pt>
                <c:pt idx="160">
                  <c:v>3.8879999999999999</c:v>
                </c:pt>
                <c:pt idx="161">
                  <c:v>3.887</c:v>
                </c:pt>
                <c:pt idx="162">
                  <c:v>3.8849999999999998</c:v>
                </c:pt>
                <c:pt idx="163">
                  <c:v>3.883</c:v>
                </c:pt>
                <c:pt idx="164">
                  <c:v>3.8820000000000001</c:v>
                </c:pt>
                <c:pt idx="165">
                  <c:v>3.88</c:v>
                </c:pt>
                <c:pt idx="166">
                  <c:v>3.8780000000000001</c:v>
                </c:pt>
                <c:pt idx="167">
                  <c:v>3.8769999999999998</c:v>
                </c:pt>
                <c:pt idx="168">
                  <c:v>3.875</c:v>
                </c:pt>
                <c:pt idx="169">
                  <c:v>3.8730000000000002</c:v>
                </c:pt>
                <c:pt idx="170">
                  <c:v>3.8719999999999999</c:v>
                </c:pt>
                <c:pt idx="171">
                  <c:v>3.87</c:v>
                </c:pt>
                <c:pt idx="172">
                  <c:v>3.8679999999999999</c:v>
                </c:pt>
                <c:pt idx="173">
                  <c:v>3.867</c:v>
                </c:pt>
                <c:pt idx="174">
                  <c:v>3.8650000000000002</c:v>
                </c:pt>
                <c:pt idx="175">
                  <c:v>3.863</c:v>
                </c:pt>
                <c:pt idx="176">
                  <c:v>3.8620000000000001</c:v>
                </c:pt>
                <c:pt idx="177">
                  <c:v>3.86</c:v>
                </c:pt>
                <c:pt idx="178">
                  <c:v>3.8580000000000001</c:v>
                </c:pt>
                <c:pt idx="179">
                  <c:v>3.8570000000000002</c:v>
                </c:pt>
                <c:pt idx="180">
                  <c:v>3.855</c:v>
                </c:pt>
                <c:pt idx="181">
                  <c:v>3.8530000000000002</c:v>
                </c:pt>
                <c:pt idx="182">
                  <c:v>3.8519999999999999</c:v>
                </c:pt>
                <c:pt idx="183">
                  <c:v>3.85</c:v>
                </c:pt>
                <c:pt idx="184">
                  <c:v>3.8479999999999999</c:v>
                </c:pt>
                <c:pt idx="185">
                  <c:v>3.847</c:v>
                </c:pt>
                <c:pt idx="186">
                  <c:v>3.8450000000000002</c:v>
                </c:pt>
                <c:pt idx="187">
                  <c:v>3.843</c:v>
                </c:pt>
                <c:pt idx="188">
                  <c:v>3.8420000000000001</c:v>
                </c:pt>
                <c:pt idx="189">
                  <c:v>3.84</c:v>
                </c:pt>
                <c:pt idx="190">
                  <c:v>3.8380000000000001</c:v>
                </c:pt>
                <c:pt idx="191">
                  <c:v>3.8370000000000002</c:v>
                </c:pt>
                <c:pt idx="192">
                  <c:v>3.835</c:v>
                </c:pt>
                <c:pt idx="193">
                  <c:v>3.8330000000000002</c:v>
                </c:pt>
                <c:pt idx="194">
                  <c:v>3.8319999999999999</c:v>
                </c:pt>
                <c:pt idx="195">
                  <c:v>3.83</c:v>
                </c:pt>
                <c:pt idx="196">
                  <c:v>3.8279999999999998</c:v>
                </c:pt>
                <c:pt idx="197">
                  <c:v>3.827</c:v>
                </c:pt>
                <c:pt idx="198">
                  <c:v>3.8250000000000002</c:v>
                </c:pt>
                <c:pt idx="199">
                  <c:v>3.823</c:v>
                </c:pt>
                <c:pt idx="200">
                  <c:v>3.8220000000000001</c:v>
                </c:pt>
                <c:pt idx="201">
                  <c:v>3.82</c:v>
                </c:pt>
                <c:pt idx="202">
                  <c:v>3.8180000000000001</c:v>
                </c:pt>
                <c:pt idx="203">
                  <c:v>3.8170000000000002</c:v>
                </c:pt>
                <c:pt idx="204">
                  <c:v>3.8149999999999999</c:v>
                </c:pt>
                <c:pt idx="205">
                  <c:v>3.8130000000000002</c:v>
                </c:pt>
                <c:pt idx="206">
                  <c:v>3.8119999999999998</c:v>
                </c:pt>
                <c:pt idx="207">
                  <c:v>3.81</c:v>
                </c:pt>
                <c:pt idx="208">
                  <c:v>3.8079999999999998</c:v>
                </c:pt>
                <c:pt idx="209">
                  <c:v>3.8069999999999999</c:v>
                </c:pt>
                <c:pt idx="210">
                  <c:v>3.8050000000000002</c:v>
                </c:pt>
                <c:pt idx="211">
                  <c:v>3.8029999999999999</c:v>
                </c:pt>
                <c:pt idx="212">
                  <c:v>3.802</c:v>
                </c:pt>
                <c:pt idx="213">
                  <c:v>3.8</c:v>
                </c:pt>
                <c:pt idx="214">
                  <c:v>3.7919999999999998</c:v>
                </c:pt>
                <c:pt idx="215">
                  <c:v>3.7829999999999999</c:v>
                </c:pt>
                <c:pt idx="216">
                  <c:v>3.7749999999999999</c:v>
                </c:pt>
                <c:pt idx="217">
                  <c:v>3.7669999999999999</c:v>
                </c:pt>
                <c:pt idx="218">
                  <c:v>3.758</c:v>
                </c:pt>
                <c:pt idx="219">
                  <c:v>3.75</c:v>
                </c:pt>
                <c:pt idx="220">
                  <c:v>3.742</c:v>
                </c:pt>
                <c:pt idx="221">
                  <c:v>3.7330000000000001</c:v>
                </c:pt>
                <c:pt idx="222">
                  <c:v>3.7250000000000001</c:v>
                </c:pt>
                <c:pt idx="223">
                  <c:v>3.7170000000000001</c:v>
                </c:pt>
                <c:pt idx="224">
                  <c:v>3.7080000000000002</c:v>
                </c:pt>
                <c:pt idx="225">
                  <c:v>3.7</c:v>
                </c:pt>
                <c:pt idx="226">
                  <c:v>3.6920000000000002</c:v>
                </c:pt>
                <c:pt idx="227">
                  <c:v>3.6829999999999998</c:v>
                </c:pt>
                <c:pt idx="228">
                  <c:v>3.6749999999999998</c:v>
                </c:pt>
                <c:pt idx="229">
                  <c:v>3.6669999999999998</c:v>
                </c:pt>
                <c:pt idx="230">
                  <c:v>3.6579999999999999</c:v>
                </c:pt>
                <c:pt idx="231">
                  <c:v>3.65</c:v>
                </c:pt>
                <c:pt idx="232">
                  <c:v>3.6419999999999999</c:v>
                </c:pt>
                <c:pt idx="233">
                  <c:v>3.633</c:v>
                </c:pt>
                <c:pt idx="234">
                  <c:v>3.625</c:v>
                </c:pt>
                <c:pt idx="235">
                  <c:v>3.617</c:v>
                </c:pt>
                <c:pt idx="236">
                  <c:v>3.6080000000000001</c:v>
                </c:pt>
                <c:pt idx="237">
                  <c:v>3.6</c:v>
                </c:pt>
                <c:pt idx="238">
                  <c:v>3.5920000000000001</c:v>
                </c:pt>
                <c:pt idx="239">
                  <c:v>3.5830000000000002</c:v>
                </c:pt>
                <c:pt idx="240">
                  <c:v>3.5750000000000002</c:v>
                </c:pt>
                <c:pt idx="241">
                  <c:v>3.5670000000000002</c:v>
                </c:pt>
                <c:pt idx="242">
                  <c:v>3.5579999999999998</c:v>
                </c:pt>
                <c:pt idx="243">
                  <c:v>3.55</c:v>
                </c:pt>
                <c:pt idx="244">
                  <c:v>3.5419999999999998</c:v>
                </c:pt>
                <c:pt idx="245">
                  <c:v>3.5329999999999999</c:v>
                </c:pt>
                <c:pt idx="246">
                  <c:v>3.5249999999999999</c:v>
                </c:pt>
                <c:pt idx="247">
                  <c:v>3.5169999999999999</c:v>
                </c:pt>
                <c:pt idx="248">
                  <c:v>3.508</c:v>
                </c:pt>
                <c:pt idx="249">
                  <c:v>3.5</c:v>
                </c:pt>
                <c:pt idx="250">
                  <c:v>3.492</c:v>
                </c:pt>
                <c:pt idx="251">
                  <c:v>3.4830000000000001</c:v>
                </c:pt>
                <c:pt idx="252">
                  <c:v>3.4750000000000001</c:v>
                </c:pt>
                <c:pt idx="253">
                  <c:v>3.4670000000000001</c:v>
                </c:pt>
                <c:pt idx="254">
                  <c:v>3.4580000000000002</c:v>
                </c:pt>
                <c:pt idx="255">
                  <c:v>3.45</c:v>
                </c:pt>
                <c:pt idx="256">
                  <c:v>3.4420000000000002</c:v>
                </c:pt>
                <c:pt idx="257">
                  <c:v>3.4329999999999998</c:v>
                </c:pt>
                <c:pt idx="258">
                  <c:v>3.4249999999999998</c:v>
                </c:pt>
                <c:pt idx="259">
                  <c:v>3.4169999999999998</c:v>
                </c:pt>
                <c:pt idx="260">
                  <c:v>3.4079999999999999</c:v>
                </c:pt>
                <c:pt idx="261">
                  <c:v>3.4</c:v>
                </c:pt>
                <c:pt idx="262">
                  <c:v>3.3919999999999999</c:v>
                </c:pt>
                <c:pt idx="263">
                  <c:v>3.383</c:v>
                </c:pt>
                <c:pt idx="264">
                  <c:v>3.375</c:v>
                </c:pt>
                <c:pt idx="265">
                  <c:v>3.367</c:v>
                </c:pt>
                <c:pt idx="266">
                  <c:v>3.3580000000000001</c:v>
                </c:pt>
                <c:pt idx="267">
                  <c:v>3.35</c:v>
                </c:pt>
                <c:pt idx="268">
                  <c:v>3.3420000000000001</c:v>
                </c:pt>
                <c:pt idx="269">
                  <c:v>3.3330000000000002</c:v>
                </c:pt>
                <c:pt idx="270">
                  <c:v>3.3250000000000002</c:v>
                </c:pt>
                <c:pt idx="271">
                  <c:v>3.3170000000000002</c:v>
                </c:pt>
                <c:pt idx="272">
                  <c:v>3.3079999999999998</c:v>
                </c:pt>
                <c:pt idx="273">
                  <c:v>3.3</c:v>
                </c:pt>
                <c:pt idx="274">
                  <c:v>3.298</c:v>
                </c:pt>
                <c:pt idx="275">
                  <c:v>3.2970000000000002</c:v>
                </c:pt>
                <c:pt idx="276">
                  <c:v>3.2949999999999999</c:v>
                </c:pt>
                <c:pt idx="277">
                  <c:v>3.2930000000000001</c:v>
                </c:pt>
                <c:pt idx="278">
                  <c:v>3.2919999999999998</c:v>
                </c:pt>
                <c:pt idx="279">
                  <c:v>3.29</c:v>
                </c:pt>
                <c:pt idx="280">
                  <c:v>3.2879999999999998</c:v>
                </c:pt>
                <c:pt idx="281">
                  <c:v>3.2869999999999999</c:v>
                </c:pt>
                <c:pt idx="282">
                  <c:v>3.2850000000000001</c:v>
                </c:pt>
                <c:pt idx="283">
                  <c:v>3.2829999999999999</c:v>
                </c:pt>
                <c:pt idx="284">
                  <c:v>3.282</c:v>
                </c:pt>
                <c:pt idx="285">
                  <c:v>3.28</c:v>
                </c:pt>
                <c:pt idx="286">
                  <c:v>3.278</c:v>
                </c:pt>
                <c:pt idx="287">
                  <c:v>3.2770000000000001</c:v>
                </c:pt>
                <c:pt idx="288">
                  <c:v>3.2749999999999999</c:v>
                </c:pt>
                <c:pt idx="289">
                  <c:v>3.2730000000000001</c:v>
                </c:pt>
                <c:pt idx="290">
                  <c:v>3.2719999999999998</c:v>
                </c:pt>
                <c:pt idx="291">
                  <c:v>3.27</c:v>
                </c:pt>
                <c:pt idx="292">
                  <c:v>3.2679999999999998</c:v>
                </c:pt>
                <c:pt idx="293">
                  <c:v>3.2669999999999999</c:v>
                </c:pt>
                <c:pt idx="294">
                  <c:v>3.2650000000000001</c:v>
                </c:pt>
                <c:pt idx="295">
                  <c:v>3.2629999999999999</c:v>
                </c:pt>
                <c:pt idx="296">
                  <c:v>3.262</c:v>
                </c:pt>
                <c:pt idx="297">
                  <c:v>3.26</c:v>
                </c:pt>
                <c:pt idx="298">
                  <c:v>3.258</c:v>
                </c:pt>
                <c:pt idx="299">
                  <c:v>3.2570000000000001</c:v>
                </c:pt>
                <c:pt idx="300">
                  <c:v>3.2549999999999999</c:v>
                </c:pt>
                <c:pt idx="301">
                  <c:v>3.2530000000000001</c:v>
                </c:pt>
                <c:pt idx="302">
                  <c:v>3.2519999999999998</c:v>
                </c:pt>
                <c:pt idx="303">
                  <c:v>3.25</c:v>
                </c:pt>
                <c:pt idx="304">
                  <c:v>3.2480000000000002</c:v>
                </c:pt>
                <c:pt idx="305">
                  <c:v>3.2469999999999999</c:v>
                </c:pt>
                <c:pt idx="306">
                  <c:v>3.2450000000000001</c:v>
                </c:pt>
                <c:pt idx="307">
                  <c:v>3.2429999999999999</c:v>
                </c:pt>
                <c:pt idx="308">
                  <c:v>3.242</c:v>
                </c:pt>
                <c:pt idx="309">
                  <c:v>3.24</c:v>
                </c:pt>
                <c:pt idx="310">
                  <c:v>3.238</c:v>
                </c:pt>
                <c:pt idx="311">
                  <c:v>3.2370000000000001</c:v>
                </c:pt>
                <c:pt idx="312">
                  <c:v>3.2349999999999999</c:v>
                </c:pt>
                <c:pt idx="313">
                  <c:v>3.2330000000000001</c:v>
                </c:pt>
                <c:pt idx="314">
                  <c:v>3.2320000000000002</c:v>
                </c:pt>
                <c:pt idx="315">
                  <c:v>3.23</c:v>
                </c:pt>
                <c:pt idx="316">
                  <c:v>3.2280000000000002</c:v>
                </c:pt>
                <c:pt idx="317">
                  <c:v>3.2269999999999999</c:v>
                </c:pt>
                <c:pt idx="318">
                  <c:v>3.2250000000000001</c:v>
                </c:pt>
                <c:pt idx="319">
                  <c:v>3.2229999999999999</c:v>
                </c:pt>
                <c:pt idx="320">
                  <c:v>3.222</c:v>
                </c:pt>
                <c:pt idx="321">
                  <c:v>3.22</c:v>
                </c:pt>
                <c:pt idx="322">
                  <c:v>3.218</c:v>
                </c:pt>
                <c:pt idx="323">
                  <c:v>3.2170000000000001</c:v>
                </c:pt>
                <c:pt idx="324">
                  <c:v>3.2149999999999999</c:v>
                </c:pt>
                <c:pt idx="325">
                  <c:v>3.2130000000000001</c:v>
                </c:pt>
                <c:pt idx="326">
                  <c:v>3.2120000000000002</c:v>
                </c:pt>
                <c:pt idx="327">
                  <c:v>3.21</c:v>
                </c:pt>
                <c:pt idx="328">
                  <c:v>3.2080000000000002</c:v>
                </c:pt>
                <c:pt idx="329">
                  <c:v>3.2069999999999999</c:v>
                </c:pt>
                <c:pt idx="330">
                  <c:v>3.2050000000000001</c:v>
                </c:pt>
                <c:pt idx="331">
                  <c:v>3.2029999999999998</c:v>
                </c:pt>
                <c:pt idx="332">
                  <c:v>3.202</c:v>
                </c:pt>
                <c:pt idx="333">
                  <c:v>3.2</c:v>
                </c:pt>
                <c:pt idx="334">
                  <c:v>3.1930000000000001</c:v>
                </c:pt>
                <c:pt idx="335">
                  <c:v>3.1869999999999998</c:v>
                </c:pt>
                <c:pt idx="336">
                  <c:v>3.18</c:v>
                </c:pt>
                <c:pt idx="337">
                  <c:v>3.173</c:v>
                </c:pt>
                <c:pt idx="338">
                  <c:v>3.1669999999999998</c:v>
                </c:pt>
                <c:pt idx="339">
                  <c:v>3.16</c:v>
                </c:pt>
                <c:pt idx="340">
                  <c:v>3.153</c:v>
                </c:pt>
                <c:pt idx="341">
                  <c:v>3.1469999999999998</c:v>
                </c:pt>
                <c:pt idx="342">
                  <c:v>3.14</c:v>
                </c:pt>
                <c:pt idx="343">
                  <c:v>3.133</c:v>
                </c:pt>
                <c:pt idx="344">
                  <c:v>3.1269999999999998</c:v>
                </c:pt>
                <c:pt idx="345">
                  <c:v>3.12</c:v>
                </c:pt>
                <c:pt idx="346">
                  <c:v>3.113</c:v>
                </c:pt>
                <c:pt idx="347">
                  <c:v>3.1070000000000002</c:v>
                </c:pt>
                <c:pt idx="348">
                  <c:v>3.1</c:v>
                </c:pt>
                <c:pt idx="349">
                  <c:v>3.093</c:v>
                </c:pt>
                <c:pt idx="350">
                  <c:v>3.0870000000000002</c:v>
                </c:pt>
                <c:pt idx="351">
                  <c:v>3.08</c:v>
                </c:pt>
                <c:pt idx="352">
                  <c:v>3.073</c:v>
                </c:pt>
                <c:pt idx="353">
                  <c:v>3.0670000000000002</c:v>
                </c:pt>
                <c:pt idx="354">
                  <c:v>3.06</c:v>
                </c:pt>
                <c:pt idx="355">
                  <c:v>3.0529999999999999</c:v>
                </c:pt>
                <c:pt idx="356">
                  <c:v>3.0470000000000002</c:v>
                </c:pt>
                <c:pt idx="357">
                  <c:v>3.04</c:v>
                </c:pt>
                <c:pt idx="358">
                  <c:v>3.0329999999999999</c:v>
                </c:pt>
                <c:pt idx="359">
                  <c:v>3.0270000000000001</c:v>
                </c:pt>
                <c:pt idx="360">
                  <c:v>3.02</c:v>
                </c:pt>
                <c:pt idx="361">
                  <c:v>3.0129999999999999</c:v>
                </c:pt>
                <c:pt idx="362">
                  <c:v>3.0070000000000001</c:v>
                </c:pt>
                <c:pt idx="363">
                  <c:v>3</c:v>
                </c:pt>
                <c:pt idx="364">
                  <c:v>2.9929999999999999</c:v>
                </c:pt>
                <c:pt idx="365">
                  <c:v>2.9870000000000001</c:v>
                </c:pt>
                <c:pt idx="366">
                  <c:v>2.98</c:v>
                </c:pt>
                <c:pt idx="367">
                  <c:v>2.9729999999999999</c:v>
                </c:pt>
                <c:pt idx="368">
                  <c:v>2.9670000000000001</c:v>
                </c:pt>
                <c:pt idx="369">
                  <c:v>2.96</c:v>
                </c:pt>
                <c:pt idx="370">
                  <c:v>2.9529999999999998</c:v>
                </c:pt>
                <c:pt idx="371">
                  <c:v>2.9470000000000001</c:v>
                </c:pt>
                <c:pt idx="372">
                  <c:v>2.94</c:v>
                </c:pt>
                <c:pt idx="373">
                  <c:v>2.9329999999999998</c:v>
                </c:pt>
                <c:pt idx="374">
                  <c:v>2.927</c:v>
                </c:pt>
                <c:pt idx="375">
                  <c:v>2.92</c:v>
                </c:pt>
                <c:pt idx="376">
                  <c:v>2.9129999999999998</c:v>
                </c:pt>
                <c:pt idx="377">
                  <c:v>2.907</c:v>
                </c:pt>
                <c:pt idx="378">
                  <c:v>2.9</c:v>
                </c:pt>
                <c:pt idx="379">
                  <c:v>2.8929999999999998</c:v>
                </c:pt>
                <c:pt idx="380">
                  <c:v>2.887</c:v>
                </c:pt>
                <c:pt idx="381">
                  <c:v>2.88</c:v>
                </c:pt>
                <c:pt idx="382">
                  <c:v>2.8730000000000002</c:v>
                </c:pt>
                <c:pt idx="383">
                  <c:v>2.867</c:v>
                </c:pt>
                <c:pt idx="384">
                  <c:v>2.86</c:v>
                </c:pt>
                <c:pt idx="385">
                  <c:v>2.8530000000000002</c:v>
                </c:pt>
                <c:pt idx="386">
                  <c:v>2.847</c:v>
                </c:pt>
                <c:pt idx="387">
                  <c:v>2.84</c:v>
                </c:pt>
                <c:pt idx="388">
                  <c:v>2.8330000000000002</c:v>
                </c:pt>
                <c:pt idx="389">
                  <c:v>2.827</c:v>
                </c:pt>
                <c:pt idx="390">
                  <c:v>2.82</c:v>
                </c:pt>
                <c:pt idx="391">
                  <c:v>2.8130000000000002</c:v>
                </c:pt>
                <c:pt idx="392">
                  <c:v>2.8069999999999999</c:v>
                </c:pt>
                <c:pt idx="393">
                  <c:v>2.8</c:v>
                </c:pt>
                <c:pt idx="394">
                  <c:v>2.798</c:v>
                </c:pt>
                <c:pt idx="395">
                  <c:v>2.7970000000000002</c:v>
                </c:pt>
                <c:pt idx="396">
                  <c:v>2.7949999999999999</c:v>
                </c:pt>
                <c:pt idx="397">
                  <c:v>2.7930000000000001</c:v>
                </c:pt>
                <c:pt idx="398">
                  <c:v>2.7919999999999998</c:v>
                </c:pt>
                <c:pt idx="399">
                  <c:v>2.79</c:v>
                </c:pt>
                <c:pt idx="400">
                  <c:v>2.7879999999999998</c:v>
                </c:pt>
                <c:pt idx="401">
                  <c:v>2.7869999999999999</c:v>
                </c:pt>
                <c:pt idx="402">
                  <c:v>2.7850000000000001</c:v>
                </c:pt>
                <c:pt idx="403">
                  <c:v>2.7829999999999999</c:v>
                </c:pt>
                <c:pt idx="404">
                  <c:v>2.782</c:v>
                </c:pt>
                <c:pt idx="405">
                  <c:v>2.78</c:v>
                </c:pt>
                <c:pt idx="406">
                  <c:v>2.778</c:v>
                </c:pt>
                <c:pt idx="407">
                  <c:v>2.7770000000000001</c:v>
                </c:pt>
                <c:pt idx="408">
                  <c:v>2.7749999999999999</c:v>
                </c:pt>
                <c:pt idx="409">
                  <c:v>2.7730000000000001</c:v>
                </c:pt>
                <c:pt idx="410">
                  <c:v>2.7719999999999998</c:v>
                </c:pt>
                <c:pt idx="411">
                  <c:v>2.77</c:v>
                </c:pt>
                <c:pt idx="412">
                  <c:v>2.7679999999999998</c:v>
                </c:pt>
                <c:pt idx="413">
                  <c:v>2.7669999999999999</c:v>
                </c:pt>
                <c:pt idx="414">
                  <c:v>2.7650000000000001</c:v>
                </c:pt>
                <c:pt idx="415">
                  <c:v>2.7629999999999999</c:v>
                </c:pt>
                <c:pt idx="416">
                  <c:v>2.762</c:v>
                </c:pt>
                <c:pt idx="417">
                  <c:v>2.76</c:v>
                </c:pt>
                <c:pt idx="418">
                  <c:v>2.758</c:v>
                </c:pt>
                <c:pt idx="419">
                  <c:v>2.7570000000000001</c:v>
                </c:pt>
                <c:pt idx="420">
                  <c:v>2.7549999999999999</c:v>
                </c:pt>
                <c:pt idx="421">
                  <c:v>2.7530000000000001</c:v>
                </c:pt>
                <c:pt idx="422">
                  <c:v>2.7519999999999998</c:v>
                </c:pt>
                <c:pt idx="423">
                  <c:v>2.75</c:v>
                </c:pt>
                <c:pt idx="424">
                  <c:v>2.7480000000000002</c:v>
                </c:pt>
                <c:pt idx="425">
                  <c:v>2.7469999999999999</c:v>
                </c:pt>
                <c:pt idx="426">
                  <c:v>2.7450000000000001</c:v>
                </c:pt>
                <c:pt idx="427">
                  <c:v>2.7429999999999999</c:v>
                </c:pt>
                <c:pt idx="428">
                  <c:v>2.742</c:v>
                </c:pt>
                <c:pt idx="429">
                  <c:v>2.74</c:v>
                </c:pt>
                <c:pt idx="430">
                  <c:v>2.738</c:v>
                </c:pt>
                <c:pt idx="431">
                  <c:v>2.7370000000000001</c:v>
                </c:pt>
                <c:pt idx="432">
                  <c:v>2.7349999999999999</c:v>
                </c:pt>
                <c:pt idx="433">
                  <c:v>2.7330000000000001</c:v>
                </c:pt>
                <c:pt idx="434">
                  <c:v>2.7320000000000002</c:v>
                </c:pt>
                <c:pt idx="435">
                  <c:v>2.73</c:v>
                </c:pt>
                <c:pt idx="436">
                  <c:v>2.7280000000000002</c:v>
                </c:pt>
                <c:pt idx="437">
                  <c:v>2.7269999999999999</c:v>
                </c:pt>
                <c:pt idx="438">
                  <c:v>2.7250000000000001</c:v>
                </c:pt>
                <c:pt idx="439">
                  <c:v>2.7229999999999999</c:v>
                </c:pt>
                <c:pt idx="440">
                  <c:v>2.722</c:v>
                </c:pt>
                <c:pt idx="441">
                  <c:v>2.72</c:v>
                </c:pt>
                <c:pt idx="442">
                  <c:v>2.718</c:v>
                </c:pt>
                <c:pt idx="443">
                  <c:v>2.7170000000000001</c:v>
                </c:pt>
                <c:pt idx="444">
                  <c:v>2.7149999999999999</c:v>
                </c:pt>
                <c:pt idx="445">
                  <c:v>2.7130000000000001</c:v>
                </c:pt>
                <c:pt idx="446">
                  <c:v>2.7120000000000002</c:v>
                </c:pt>
                <c:pt idx="447">
                  <c:v>2.71</c:v>
                </c:pt>
                <c:pt idx="448">
                  <c:v>2.7080000000000002</c:v>
                </c:pt>
                <c:pt idx="449">
                  <c:v>2.7069999999999999</c:v>
                </c:pt>
                <c:pt idx="450">
                  <c:v>2.7050000000000001</c:v>
                </c:pt>
                <c:pt idx="451">
                  <c:v>2.7029999999999998</c:v>
                </c:pt>
                <c:pt idx="452">
                  <c:v>2.702</c:v>
                </c:pt>
                <c:pt idx="453">
                  <c:v>2.7</c:v>
                </c:pt>
                <c:pt idx="454">
                  <c:v>2.7050000000000001</c:v>
                </c:pt>
                <c:pt idx="455">
                  <c:v>2.71</c:v>
                </c:pt>
                <c:pt idx="456">
                  <c:v>2.7149999999999999</c:v>
                </c:pt>
                <c:pt idx="457">
                  <c:v>2.72</c:v>
                </c:pt>
                <c:pt idx="458">
                  <c:v>2.7250000000000001</c:v>
                </c:pt>
                <c:pt idx="459">
                  <c:v>2.73</c:v>
                </c:pt>
                <c:pt idx="460">
                  <c:v>2.7349999999999999</c:v>
                </c:pt>
                <c:pt idx="461">
                  <c:v>2.74</c:v>
                </c:pt>
                <c:pt idx="462">
                  <c:v>2.7450000000000001</c:v>
                </c:pt>
                <c:pt idx="463">
                  <c:v>2.75</c:v>
                </c:pt>
                <c:pt idx="464">
                  <c:v>2.7549999999999999</c:v>
                </c:pt>
                <c:pt idx="465">
                  <c:v>2.76</c:v>
                </c:pt>
                <c:pt idx="466">
                  <c:v>2.7650000000000001</c:v>
                </c:pt>
                <c:pt idx="467">
                  <c:v>2.77</c:v>
                </c:pt>
                <c:pt idx="468">
                  <c:v>2.7749999999999999</c:v>
                </c:pt>
                <c:pt idx="469">
                  <c:v>2.78</c:v>
                </c:pt>
                <c:pt idx="470">
                  <c:v>2.7850000000000001</c:v>
                </c:pt>
                <c:pt idx="471">
                  <c:v>2.79</c:v>
                </c:pt>
                <c:pt idx="472">
                  <c:v>2.7949999999999999</c:v>
                </c:pt>
                <c:pt idx="473">
                  <c:v>2.8</c:v>
                </c:pt>
                <c:pt idx="474">
                  <c:v>2.8050000000000002</c:v>
                </c:pt>
                <c:pt idx="475">
                  <c:v>2.81</c:v>
                </c:pt>
                <c:pt idx="476">
                  <c:v>2.8149999999999999</c:v>
                </c:pt>
                <c:pt idx="477">
                  <c:v>2.82</c:v>
                </c:pt>
                <c:pt idx="478">
                  <c:v>2.8250000000000002</c:v>
                </c:pt>
                <c:pt idx="479">
                  <c:v>2.83</c:v>
                </c:pt>
                <c:pt idx="480">
                  <c:v>2.835</c:v>
                </c:pt>
                <c:pt idx="481">
                  <c:v>2.84</c:v>
                </c:pt>
                <c:pt idx="482">
                  <c:v>2.8450000000000002</c:v>
                </c:pt>
                <c:pt idx="483">
                  <c:v>2.85</c:v>
                </c:pt>
                <c:pt idx="484">
                  <c:v>2.855</c:v>
                </c:pt>
                <c:pt idx="485">
                  <c:v>2.86</c:v>
                </c:pt>
                <c:pt idx="486">
                  <c:v>2.8650000000000002</c:v>
                </c:pt>
                <c:pt idx="487">
                  <c:v>2.87</c:v>
                </c:pt>
                <c:pt idx="488">
                  <c:v>2.875</c:v>
                </c:pt>
                <c:pt idx="489">
                  <c:v>2.88</c:v>
                </c:pt>
                <c:pt idx="490">
                  <c:v>2.8849999999999998</c:v>
                </c:pt>
                <c:pt idx="491">
                  <c:v>2.89</c:v>
                </c:pt>
                <c:pt idx="492">
                  <c:v>2.895</c:v>
                </c:pt>
                <c:pt idx="493">
                  <c:v>2.9</c:v>
                </c:pt>
                <c:pt idx="494">
                  <c:v>2.9049999999999998</c:v>
                </c:pt>
                <c:pt idx="495">
                  <c:v>2.91</c:v>
                </c:pt>
                <c:pt idx="496">
                  <c:v>2.915</c:v>
                </c:pt>
                <c:pt idx="497">
                  <c:v>2.92</c:v>
                </c:pt>
                <c:pt idx="498">
                  <c:v>2.9249999999999998</c:v>
                </c:pt>
                <c:pt idx="499">
                  <c:v>2.93</c:v>
                </c:pt>
                <c:pt idx="500">
                  <c:v>2.9350000000000001</c:v>
                </c:pt>
                <c:pt idx="501">
                  <c:v>2.94</c:v>
                </c:pt>
                <c:pt idx="502">
                  <c:v>2.9449999999999998</c:v>
                </c:pt>
                <c:pt idx="503">
                  <c:v>2.95</c:v>
                </c:pt>
                <c:pt idx="504">
                  <c:v>2.9550000000000001</c:v>
                </c:pt>
                <c:pt idx="505">
                  <c:v>2.96</c:v>
                </c:pt>
                <c:pt idx="506">
                  <c:v>2.9649999999999999</c:v>
                </c:pt>
                <c:pt idx="507">
                  <c:v>2.97</c:v>
                </c:pt>
                <c:pt idx="508">
                  <c:v>2.9750000000000001</c:v>
                </c:pt>
                <c:pt idx="509">
                  <c:v>2.98</c:v>
                </c:pt>
                <c:pt idx="510">
                  <c:v>2.9849999999999999</c:v>
                </c:pt>
                <c:pt idx="511">
                  <c:v>2.99</c:v>
                </c:pt>
                <c:pt idx="512">
                  <c:v>2.9950000000000001</c:v>
                </c:pt>
                <c:pt idx="513">
                  <c:v>3</c:v>
                </c:pt>
                <c:pt idx="514">
                  <c:v>3.028</c:v>
                </c:pt>
                <c:pt idx="515">
                  <c:v>3.0569999999999999</c:v>
                </c:pt>
                <c:pt idx="516">
                  <c:v>3.085</c:v>
                </c:pt>
                <c:pt idx="517">
                  <c:v>3.113</c:v>
                </c:pt>
                <c:pt idx="518">
                  <c:v>3.1419999999999999</c:v>
                </c:pt>
                <c:pt idx="519">
                  <c:v>3.17</c:v>
                </c:pt>
                <c:pt idx="520">
                  <c:v>3.198</c:v>
                </c:pt>
                <c:pt idx="521">
                  <c:v>3.2269999999999999</c:v>
                </c:pt>
                <c:pt idx="522">
                  <c:v>3.2549999999999999</c:v>
                </c:pt>
                <c:pt idx="523">
                  <c:v>3.2829999999999999</c:v>
                </c:pt>
                <c:pt idx="524">
                  <c:v>3.3119999999999998</c:v>
                </c:pt>
                <c:pt idx="525">
                  <c:v>3.34</c:v>
                </c:pt>
                <c:pt idx="526">
                  <c:v>3.3679999999999999</c:v>
                </c:pt>
                <c:pt idx="527">
                  <c:v>3.3969999999999998</c:v>
                </c:pt>
                <c:pt idx="528">
                  <c:v>3.4249999999999998</c:v>
                </c:pt>
                <c:pt idx="529">
                  <c:v>3.4529999999999998</c:v>
                </c:pt>
                <c:pt idx="530">
                  <c:v>3.4820000000000002</c:v>
                </c:pt>
                <c:pt idx="531">
                  <c:v>3.51</c:v>
                </c:pt>
                <c:pt idx="532">
                  <c:v>3.5379999999999998</c:v>
                </c:pt>
                <c:pt idx="533">
                  <c:v>3.5670000000000002</c:v>
                </c:pt>
                <c:pt idx="534">
                  <c:v>3.5950000000000002</c:v>
                </c:pt>
                <c:pt idx="535">
                  <c:v>3.6230000000000002</c:v>
                </c:pt>
                <c:pt idx="536">
                  <c:v>3.6520000000000001</c:v>
                </c:pt>
                <c:pt idx="537">
                  <c:v>3.68</c:v>
                </c:pt>
                <c:pt idx="538">
                  <c:v>3.7080000000000002</c:v>
                </c:pt>
                <c:pt idx="539">
                  <c:v>3.7370000000000001</c:v>
                </c:pt>
                <c:pt idx="540">
                  <c:v>3.7650000000000001</c:v>
                </c:pt>
                <c:pt idx="541">
                  <c:v>3.7930000000000001</c:v>
                </c:pt>
                <c:pt idx="542">
                  <c:v>3.8220000000000001</c:v>
                </c:pt>
                <c:pt idx="543">
                  <c:v>3.85</c:v>
                </c:pt>
                <c:pt idx="544">
                  <c:v>3.8780000000000001</c:v>
                </c:pt>
                <c:pt idx="545">
                  <c:v>3.907</c:v>
                </c:pt>
                <c:pt idx="546">
                  <c:v>3.9350000000000001</c:v>
                </c:pt>
                <c:pt idx="547">
                  <c:v>3.9630000000000001</c:v>
                </c:pt>
                <c:pt idx="548">
                  <c:v>3.992</c:v>
                </c:pt>
                <c:pt idx="549">
                  <c:v>4.0199999999999996</c:v>
                </c:pt>
                <c:pt idx="550">
                  <c:v>4.048</c:v>
                </c:pt>
                <c:pt idx="551">
                  <c:v>4.077</c:v>
                </c:pt>
                <c:pt idx="552">
                  <c:v>4.1050000000000004</c:v>
                </c:pt>
                <c:pt idx="553">
                  <c:v>4.133</c:v>
                </c:pt>
                <c:pt idx="554">
                  <c:v>4.1619999999999999</c:v>
                </c:pt>
                <c:pt idx="555">
                  <c:v>4.1900000000000004</c:v>
                </c:pt>
                <c:pt idx="556">
                  <c:v>4.218</c:v>
                </c:pt>
                <c:pt idx="557">
                  <c:v>4.2469999999999999</c:v>
                </c:pt>
                <c:pt idx="558">
                  <c:v>4.2750000000000004</c:v>
                </c:pt>
                <c:pt idx="559">
                  <c:v>4.3029999999999999</c:v>
                </c:pt>
                <c:pt idx="560">
                  <c:v>4.3319999999999999</c:v>
                </c:pt>
                <c:pt idx="561">
                  <c:v>4.3600000000000003</c:v>
                </c:pt>
                <c:pt idx="562">
                  <c:v>4.3879999999999999</c:v>
                </c:pt>
                <c:pt idx="563">
                  <c:v>4.4169999999999998</c:v>
                </c:pt>
                <c:pt idx="564">
                  <c:v>4.4450000000000003</c:v>
                </c:pt>
                <c:pt idx="565">
                  <c:v>4.4729999999999999</c:v>
                </c:pt>
                <c:pt idx="566">
                  <c:v>4.5019999999999998</c:v>
                </c:pt>
                <c:pt idx="567">
                  <c:v>4.53</c:v>
                </c:pt>
                <c:pt idx="568">
                  <c:v>4.5579999999999998</c:v>
                </c:pt>
                <c:pt idx="569">
                  <c:v>4.5869999999999997</c:v>
                </c:pt>
                <c:pt idx="570">
                  <c:v>4.6150000000000002</c:v>
                </c:pt>
                <c:pt idx="571">
                  <c:v>4.6429999999999998</c:v>
                </c:pt>
                <c:pt idx="572">
                  <c:v>4.6719999999999997</c:v>
                </c:pt>
                <c:pt idx="573">
                  <c:v>4.7</c:v>
                </c:pt>
                <c:pt idx="574">
                  <c:v>4.7370000000000001</c:v>
                </c:pt>
                <c:pt idx="575">
                  <c:v>4.7729999999999997</c:v>
                </c:pt>
                <c:pt idx="576">
                  <c:v>4.8099999999999996</c:v>
                </c:pt>
                <c:pt idx="577">
                  <c:v>4.8470000000000004</c:v>
                </c:pt>
                <c:pt idx="578">
                  <c:v>4.883</c:v>
                </c:pt>
                <c:pt idx="579">
                  <c:v>4.92</c:v>
                </c:pt>
                <c:pt idx="580">
                  <c:v>4.9569999999999999</c:v>
                </c:pt>
                <c:pt idx="581">
                  <c:v>4.9930000000000003</c:v>
                </c:pt>
                <c:pt idx="582">
                  <c:v>5.03</c:v>
                </c:pt>
                <c:pt idx="583">
                  <c:v>5.0670000000000002</c:v>
                </c:pt>
                <c:pt idx="584">
                  <c:v>5.1029999999999998</c:v>
                </c:pt>
                <c:pt idx="585">
                  <c:v>5.14</c:v>
                </c:pt>
                <c:pt idx="586">
                  <c:v>5.1769999999999996</c:v>
                </c:pt>
                <c:pt idx="587">
                  <c:v>5.2130000000000001</c:v>
                </c:pt>
                <c:pt idx="588">
                  <c:v>5.25</c:v>
                </c:pt>
                <c:pt idx="589">
                  <c:v>5.2869999999999999</c:v>
                </c:pt>
                <c:pt idx="590">
                  <c:v>5.3230000000000004</c:v>
                </c:pt>
                <c:pt idx="591">
                  <c:v>5.36</c:v>
                </c:pt>
                <c:pt idx="592">
                  <c:v>5.3970000000000002</c:v>
                </c:pt>
                <c:pt idx="593">
                  <c:v>5.4329999999999998</c:v>
                </c:pt>
                <c:pt idx="594">
                  <c:v>5.47</c:v>
                </c:pt>
                <c:pt idx="595">
                  <c:v>5.5069999999999997</c:v>
                </c:pt>
                <c:pt idx="596">
                  <c:v>5.5430000000000001</c:v>
                </c:pt>
                <c:pt idx="597">
                  <c:v>5.58</c:v>
                </c:pt>
                <c:pt idx="598">
                  <c:v>5.617</c:v>
                </c:pt>
                <c:pt idx="599">
                  <c:v>5.6529999999999996</c:v>
                </c:pt>
                <c:pt idx="600">
                  <c:v>5.69</c:v>
                </c:pt>
                <c:pt idx="601">
                  <c:v>5.7270000000000003</c:v>
                </c:pt>
                <c:pt idx="602">
                  <c:v>5.7629999999999999</c:v>
                </c:pt>
                <c:pt idx="603">
                  <c:v>5.8</c:v>
                </c:pt>
                <c:pt idx="604">
                  <c:v>5.8369999999999997</c:v>
                </c:pt>
                <c:pt idx="605">
                  <c:v>5.8730000000000002</c:v>
                </c:pt>
                <c:pt idx="606">
                  <c:v>5.91</c:v>
                </c:pt>
                <c:pt idx="607">
                  <c:v>5.9470000000000001</c:v>
                </c:pt>
                <c:pt idx="608">
                  <c:v>5.9829999999999997</c:v>
                </c:pt>
                <c:pt idx="609">
                  <c:v>6.02</c:v>
                </c:pt>
                <c:pt idx="610">
                  <c:v>6.0570000000000004</c:v>
                </c:pt>
                <c:pt idx="611">
                  <c:v>6.093</c:v>
                </c:pt>
                <c:pt idx="612">
                  <c:v>6.13</c:v>
                </c:pt>
                <c:pt idx="613">
                  <c:v>6.1669999999999998</c:v>
                </c:pt>
                <c:pt idx="614">
                  <c:v>6.2030000000000003</c:v>
                </c:pt>
                <c:pt idx="615">
                  <c:v>6.24</c:v>
                </c:pt>
                <c:pt idx="616">
                  <c:v>6.2770000000000001</c:v>
                </c:pt>
                <c:pt idx="617">
                  <c:v>6.3129999999999997</c:v>
                </c:pt>
                <c:pt idx="618">
                  <c:v>6.35</c:v>
                </c:pt>
                <c:pt idx="619">
                  <c:v>6.3869999999999996</c:v>
                </c:pt>
                <c:pt idx="620">
                  <c:v>6.423</c:v>
                </c:pt>
                <c:pt idx="621">
                  <c:v>6.46</c:v>
                </c:pt>
                <c:pt idx="622">
                  <c:v>6.4969999999999999</c:v>
                </c:pt>
                <c:pt idx="623">
                  <c:v>6.5330000000000004</c:v>
                </c:pt>
                <c:pt idx="624">
                  <c:v>6.57</c:v>
                </c:pt>
                <c:pt idx="625">
                  <c:v>6.6070000000000002</c:v>
                </c:pt>
                <c:pt idx="626">
                  <c:v>6.6429999999999998</c:v>
                </c:pt>
                <c:pt idx="627">
                  <c:v>6.68</c:v>
                </c:pt>
                <c:pt idx="628">
                  <c:v>6.7169999999999996</c:v>
                </c:pt>
                <c:pt idx="629">
                  <c:v>6.7530000000000001</c:v>
                </c:pt>
                <c:pt idx="630">
                  <c:v>6.79</c:v>
                </c:pt>
                <c:pt idx="631">
                  <c:v>6.827</c:v>
                </c:pt>
                <c:pt idx="632">
                  <c:v>6.8630000000000004</c:v>
                </c:pt>
                <c:pt idx="633">
                  <c:v>6.9</c:v>
                </c:pt>
                <c:pt idx="634">
                  <c:v>6.9379999999999997</c:v>
                </c:pt>
                <c:pt idx="635">
                  <c:v>6.9770000000000003</c:v>
                </c:pt>
                <c:pt idx="636">
                  <c:v>7.0149999999999997</c:v>
                </c:pt>
                <c:pt idx="637">
                  <c:v>7.0529999999999999</c:v>
                </c:pt>
                <c:pt idx="638">
                  <c:v>7.0919999999999996</c:v>
                </c:pt>
                <c:pt idx="639">
                  <c:v>7.13</c:v>
                </c:pt>
                <c:pt idx="640">
                  <c:v>7.1680000000000001</c:v>
                </c:pt>
                <c:pt idx="641">
                  <c:v>7.2069999999999999</c:v>
                </c:pt>
                <c:pt idx="642">
                  <c:v>7.2450000000000001</c:v>
                </c:pt>
                <c:pt idx="643">
                  <c:v>7.2830000000000004</c:v>
                </c:pt>
                <c:pt idx="644">
                  <c:v>7.3220000000000001</c:v>
                </c:pt>
                <c:pt idx="645">
                  <c:v>7.36</c:v>
                </c:pt>
                <c:pt idx="646">
                  <c:v>7.3979999999999997</c:v>
                </c:pt>
                <c:pt idx="647">
                  <c:v>7.4370000000000003</c:v>
                </c:pt>
                <c:pt idx="648">
                  <c:v>7.4749999999999996</c:v>
                </c:pt>
                <c:pt idx="649">
                  <c:v>7.5129999999999999</c:v>
                </c:pt>
                <c:pt idx="650">
                  <c:v>7.5519999999999996</c:v>
                </c:pt>
                <c:pt idx="651">
                  <c:v>7.59</c:v>
                </c:pt>
                <c:pt idx="652">
                  <c:v>7.6280000000000001</c:v>
                </c:pt>
                <c:pt idx="653">
                  <c:v>7.6669999999999998</c:v>
                </c:pt>
                <c:pt idx="654">
                  <c:v>7.7050000000000001</c:v>
                </c:pt>
                <c:pt idx="655">
                  <c:v>7.7430000000000003</c:v>
                </c:pt>
                <c:pt idx="656">
                  <c:v>7.782</c:v>
                </c:pt>
                <c:pt idx="657">
                  <c:v>7.82</c:v>
                </c:pt>
                <c:pt idx="658">
                  <c:v>7.8579999999999997</c:v>
                </c:pt>
                <c:pt idx="659">
                  <c:v>7.8970000000000002</c:v>
                </c:pt>
                <c:pt idx="660">
                  <c:v>7.9349999999999996</c:v>
                </c:pt>
                <c:pt idx="661">
                  <c:v>7.9729999999999999</c:v>
                </c:pt>
                <c:pt idx="662">
                  <c:v>8.0120000000000005</c:v>
                </c:pt>
                <c:pt idx="663">
                  <c:v>8.0500000000000007</c:v>
                </c:pt>
                <c:pt idx="664">
                  <c:v>8.0879999999999992</c:v>
                </c:pt>
                <c:pt idx="665">
                  <c:v>8.1270000000000007</c:v>
                </c:pt>
                <c:pt idx="666">
                  <c:v>8.1649999999999991</c:v>
                </c:pt>
                <c:pt idx="667">
                  <c:v>8.2029999999999994</c:v>
                </c:pt>
                <c:pt idx="668">
                  <c:v>8.2420000000000009</c:v>
                </c:pt>
                <c:pt idx="669">
                  <c:v>8.2799999999999994</c:v>
                </c:pt>
                <c:pt idx="670">
                  <c:v>8.3179999999999996</c:v>
                </c:pt>
                <c:pt idx="671">
                  <c:v>8.3569999999999993</c:v>
                </c:pt>
                <c:pt idx="672">
                  <c:v>8.3949999999999996</c:v>
                </c:pt>
                <c:pt idx="673">
                  <c:v>8.4329999999999998</c:v>
                </c:pt>
                <c:pt idx="674">
                  <c:v>8.4719999999999995</c:v>
                </c:pt>
                <c:pt idx="675">
                  <c:v>8.51</c:v>
                </c:pt>
                <c:pt idx="676">
                  <c:v>8.548</c:v>
                </c:pt>
                <c:pt idx="677">
                  <c:v>8.5869999999999997</c:v>
                </c:pt>
                <c:pt idx="678">
                  <c:v>8.625</c:v>
                </c:pt>
                <c:pt idx="679">
                  <c:v>8.6630000000000003</c:v>
                </c:pt>
                <c:pt idx="680">
                  <c:v>8.702</c:v>
                </c:pt>
                <c:pt idx="681">
                  <c:v>8.74</c:v>
                </c:pt>
                <c:pt idx="682">
                  <c:v>8.7780000000000005</c:v>
                </c:pt>
                <c:pt idx="683">
                  <c:v>8.8170000000000002</c:v>
                </c:pt>
                <c:pt idx="684">
                  <c:v>8.8550000000000004</c:v>
                </c:pt>
                <c:pt idx="685">
                  <c:v>8.8930000000000007</c:v>
                </c:pt>
                <c:pt idx="686">
                  <c:v>8.9320000000000004</c:v>
                </c:pt>
                <c:pt idx="687">
                  <c:v>8.9700000000000006</c:v>
                </c:pt>
                <c:pt idx="688">
                  <c:v>9.0079999999999991</c:v>
                </c:pt>
                <c:pt idx="689">
                  <c:v>9.0470000000000006</c:v>
                </c:pt>
                <c:pt idx="690">
                  <c:v>9.0850000000000009</c:v>
                </c:pt>
                <c:pt idx="691">
                  <c:v>9.1229999999999993</c:v>
                </c:pt>
                <c:pt idx="692">
                  <c:v>9.1620000000000008</c:v>
                </c:pt>
                <c:pt idx="693">
                  <c:v>9.1999999999999993</c:v>
                </c:pt>
                <c:pt idx="694">
                  <c:v>9.2550000000000008</c:v>
                </c:pt>
                <c:pt idx="695">
                  <c:v>9.31</c:v>
                </c:pt>
                <c:pt idx="696">
                  <c:v>9.3650000000000002</c:v>
                </c:pt>
                <c:pt idx="697">
                  <c:v>9.42</c:v>
                </c:pt>
                <c:pt idx="698">
                  <c:v>9.4749999999999996</c:v>
                </c:pt>
                <c:pt idx="699">
                  <c:v>9.5299999999999994</c:v>
                </c:pt>
                <c:pt idx="700">
                  <c:v>9.5850000000000009</c:v>
                </c:pt>
                <c:pt idx="701">
                  <c:v>9.64</c:v>
                </c:pt>
                <c:pt idx="702">
                  <c:v>9.6950000000000003</c:v>
                </c:pt>
                <c:pt idx="703">
                  <c:v>9.75</c:v>
                </c:pt>
                <c:pt idx="704">
                  <c:v>9.8049999999999997</c:v>
                </c:pt>
                <c:pt idx="705">
                  <c:v>9.86</c:v>
                </c:pt>
                <c:pt idx="706">
                  <c:v>9.9149999999999991</c:v>
                </c:pt>
                <c:pt idx="707">
                  <c:v>9.9700000000000006</c:v>
                </c:pt>
                <c:pt idx="708">
                  <c:v>10.025</c:v>
                </c:pt>
                <c:pt idx="709">
                  <c:v>10.08</c:v>
                </c:pt>
                <c:pt idx="710">
                  <c:v>10.135</c:v>
                </c:pt>
                <c:pt idx="711">
                  <c:v>10.19</c:v>
                </c:pt>
                <c:pt idx="712">
                  <c:v>10.244999999999999</c:v>
                </c:pt>
                <c:pt idx="713">
                  <c:v>10.3</c:v>
                </c:pt>
                <c:pt idx="714">
                  <c:v>10.355</c:v>
                </c:pt>
                <c:pt idx="715">
                  <c:v>10.41</c:v>
                </c:pt>
                <c:pt idx="716">
                  <c:v>10.465</c:v>
                </c:pt>
                <c:pt idx="717">
                  <c:v>10.52</c:v>
                </c:pt>
                <c:pt idx="718">
                  <c:v>10.574999999999999</c:v>
                </c:pt>
                <c:pt idx="719">
                  <c:v>10.63</c:v>
                </c:pt>
                <c:pt idx="720">
                  <c:v>10.685</c:v>
                </c:pt>
                <c:pt idx="721">
                  <c:v>10.74</c:v>
                </c:pt>
                <c:pt idx="722">
                  <c:v>10.795</c:v>
                </c:pt>
                <c:pt idx="723">
                  <c:v>10.85</c:v>
                </c:pt>
                <c:pt idx="724">
                  <c:v>10.904999999999999</c:v>
                </c:pt>
                <c:pt idx="725">
                  <c:v>10.96</c:v>
                </c:pt>
                <c:pt idx="726">
                  <c:v>11.015000000000001</c:v>
                </c:pt>
                <c:pt idx="727">
                  <c:v>11.07</c:v>
                </c:pt>
                <c:pt idx="728">
                  <c:v>11.125</c:v>
                </c:pt>
                <c:pt idx="729">
                  <c:v>11.18</c:v>
                </c:pt>
                <c:pt idx="730">
                  <c:v>11.234999999999999</c:v>
                </c:pt>
                <c:pt idx="731">
                  <c:v>11.29</c:v>
                </c:pt>
                <c:pt idx="732">
                  <c:v>11.345000000000001</c:v>
                </c:pt>
                <c:pt idx="733">
                  <c:v>11.4</c:v>
                </c:pt>
                <c:pt idx="734">
                  <c:v>11.455</c:v>
                </c:pt>
                <c:pt idx="735">
                  <c:v>11.51</c:v>
                </c:pt>
                <c:pt idx="736">
                  <c:v>11.565</c:v>
                </c:pt>
                <c:pt idx="737">
                  <c:v>11.62</c:v>
                </c:pt>
                <c:pt idx="738">
                  <c:v>11.675000000000001</c:v>
                </c:pt>
                <c:pt idx="739">
                  <c:v>11.73</c:v>
                </c:pt>
                <c:pt idx="740">
                  <c:v>11.785</c:v>
                </c:pt>
                <c:pt idx="741">
                  <c:v>11.84</c:v>
                </c:pt>
                <c:pt idx="742">
                  <c:v>11.895</c:v>
                </c:pt>
                <c:pt idx="743">
                  <c:v>11.95</c:v>
                </c:pt>
                <c:pt idx="744">
                  <c:v>12.005000000000001</c:v>
                </c:pt>
                <c:pt idx="745">
                  <c:v>12.06</c:v>
                </c:pt>
                <c:pt idx="746">
                  <c:v>12.115</c:v>
                </c:pt>
                <c:pt idx="747">
                  <c:v>12.17</c:v>
                </c:pt>
                <c:pt idx="748">
                  <c:v>12.225</c:v>
                </c:pt>
                <c:pt idx="749">
                  <c:v>12.28</c:v>
                </c:pt>
                <c:pt idx="750">
                  <c:v>12.335000000000001</c:v>
                </c:pt>
                <c:pt idx="751">
                  <c:v>12.39</c:v>
                </c:pt>
                <c:pt idx="752">
                  <c:v>12.445</c:v>
                </c:pt>
                <c:pt idx="753">
                  <c:v>12.5</c:v>
                </c:pt>
                <c:pt idx="754">
                  <c:v>12.532999999999999</c:v>
                </c:pt>
                <c:pt idx="755">
                  <c:v>12.567</c:v>
                </c:pt>
                <c:pt idx="756">
                  <c:v>12.6</c:v>
                </c:pt>
                <c:pt idx="757">
                  <c:v>12.632999999999999</c:v>
                </c:pt>
                <c:pt idx="758">
                  <c:v>12.667</c:v>
                </c:pt>
                <c:pt idx="759">
                  <c:v>12.7</c:v>
                </c:pt>
                <c:pt idx="760">
                  <c:v>12.733000000000001</c:v>
                </c:pt>
                <c:pt idx="761">
                  <c:v>12.766999999999999</c:v>
                </c:pt>
                <c:pt idx="762">
                  <c:v>12.8</c:v>
                </c:pt>
                <c:pt idx="763">
                  <c:v>12.833</c:v>
                </c:pt>
                <c:pt idx="764">
                  <c:v>12.867000000000001</c:v>
                </c:pt>
                <c:pt idx="765">
                  <c:v>12.9</c:v>
                </c:pt>
                <c:pt idx="766">
                  <c:v>12.933</c:v>
                </c:pt>
                <c:pt idx="767">
                  <c:v>12.967000000000001</c:v>
                </c:pt>
                <c:pt idx="768">
                  <c:v>13</c:v>
                </c:pt>
                <c:pt idx="769">
                  <c:v>13.032999999999999</c:v>
                </c:pt>
                <c:pt idx="770">
                  <c:v>13.067</c:v>
                </c:pt>
                <c:pt idx="771">
                  <c:v>13.1</c:v>
                </c:pt>
                <c:pt idx="772">
                  <c:v>13.132999999999999</c:v>
                </c:pt>
                <c:pt idx="773">
                  <c:v>13.167</c:v>
                </c:pt>
                <c:pt idx="774">
                  <c:v>13.2</c:v>
                </c:pt>
                <c:pt idx="775">
                  <c:v>13.233000000000001</c:v>
                </c:pt>
                <c:pt idx="776">
                  <c:v>13.266999999999999</c:v>
                </c:pt>
                <c:pt idx="777">
                  <c:v>13.3</c:v>
                </c:pt>
                <c:pt idx="778">
                  <c:v>13.333</c:v>
                </c:pt>
                <c:pt idx="779">
                  <c:v>13.367000000000001</c:v>
                </c:pt>
                <c:pt idx="780">
                  <c:v>13.4</c:v>
                </c:pt>
                <c:pt idx="781">
                  <c:v>13.433</c:v>
                </c:pt>
                <c:pt idx="782">
                  <c:v>13.467000000000001</c:v>
                </c:pt>
                <c:pt idx="783">
                  <c:v>13.5</c:v>
                </c:pt>
                <c:pt idx="784">
                  <c:v>13.532999999999999</c:v>
                </c:pt>
                <c:pt idx="785">
                  <c:v>13.567</c:v>
                </c:pt>
                <c:pt idx="786">
                  <c:v>13.6</c:v>
                </c:pt>
                <c:pt idx="787">
                  <c:v>13.632999999999999</c:v>
                </c:pt>
                <c:pt idx="788">
                  <c:v>13.667</c:v>
                </c:pt>
                <c:pt idx="789">
                  <c:v>13.7</c:v>
                </c:pt>
                <c:pt idx="790">
                  <c:v>13.733000000000001</c:v>
                </c:pt>
                <c:pt idx="791">
                  <c:v>13.766999999999999</c:v>
                </c:pt>
                <c:pt idx="792">
                  <c:v>13.8</c:v>
                </c:pt>
                <c:pt idx="793">
                  <c:v>13.833</c:v>
                </c:pt>
                <c:pt idx="794">
                  <c:v>13.867000000000001</c:v>
                </c:pt>
                <c:pt idx="795">
                  <c:v>13.9</c:v>
                </c:pt>
                <c:pt idx="796">
                  <c:v>13.933</c:v>
                </c:pt>
                <c:pt idx="797">
                  <c:v>13.967000000000001</c:v>
                </c:pt>
                <c:pt idx="798">
                  <c:v>14</c:v>
                </c:pt>
                <c:pt idx="799">
                  <c:v>14.032999999999999</c:v>
                </c:pt>
                <c:pt idx="800">
                  <c:v>14.067</c:v>
                </c:pt>
                <c:pt idx="801">
                  <c:v>14.1</c:v>
                </c:pt>
                <c:pt idx="802">
                  <c:v>14.132999999999999</c:v>
                </c:pt>
                <c:pt idx="803">
                  <c:v>14.167</c:v>
                </c:pt>
                <c:pt idx="804">
                  <c:v>14.2</c:v>
                </c:pt>
                <c:pt idx="805">
                  <c:v>14.233000000000001</c:v>
                </c:pt>
                <c:pt idx="806">
                  <c:v>14.266999999999999</c:v>
                </c:pt>
                <c:pt idx="807">
                  <c:v>14.3</c:v>
                </c:pt>
                <c:pt idx="808">
                  <c:v>14.333</c:v>
                </c:pt>
                <c:pt idx="809">
                  <c:v>14.367000000000001</c:v>
                </c:pt>
                <c:pt idx="810">
                  <c:v>14.4</c:v>
                </c:pt>
                <c:pt idx="811">
                  <c:v>14.433</c:v>
                </c:pt>
                <c:pt idx="812">
                  <c:v>14.467000000000001</c:v>
                </c:pt>
                <c:pt idx="813">
                  <c:v>14.5</c:v>
                </c:pt>
                <c:pt idx="814">
                  <c:v>14.52</c:v>
                </c:pt>
                <c:pt idx="815">
                  <c:v>14.54</c:v>
                </c:pt>
                <c:pt idx="816">
                  <c:v>14.56</c:v>
                </c:pt>
                <c:pt idx="817">
                  <c:v>14.58</c:v>
                </c:pt>
                <c:pt idx="818">
                  <c:v>14.6</c:v>
                </c:pt>
                <c:pt idx="819">
                  <c:v>14.62</c:v>
                </c:pt>
                <c:pt idx="820">
                  <c:v>14.64</c:v>
                </c:pt>
                <c:pt idx="821">
                  <c:v>14.66</c:v>
                </c:pt>
                <c:pt idx="822">
                  <c:v>14.68</c:v>
                </c:pt>
                <c:pt idx="823">
                  <c:v>14.7</c:v>
                </c:pt>
                <c:pt idx="824">
                  <c:v>14.72</c:v>
                </c:pt>
                <c:pt idx="825">
                  <c:v>14.74</c:v>
                </c:pt>
                <c:pt idx="826">
                  <c:v>14.76</c:v>
                </c:pt>
                <c:pt idx="827">
                  <c:v>14.78</c:v>
                </c:pt>
                <c:pt idx="828">
                  <c:v>14.8</c:v>
                </c:pt>
                <c:pt idx="829">
                  <c:v>14.82</c:v>
                </c:pt>
                <c:pt idx="830">
                  <c:v>14.84</c:v>
                </c:pt>
                <c:pt idx="831">
                  <c:v>14.86</c:v>
                </c:pt>
                <c:pt idx="832">
                  <c:v>14.88</c:v>
                </c:pt>
                <c:pt idx="833">
                  <c:v>14.9</c:v>
                </c:pt>
                <c:pt idx="834">
                  <c:v>14.92</c:v>
                </c:pt>
                <c:pt idx="835">
                  <c:v>14.94</c:v>
                </c:pt>
                <c:pt idx="836">
                  <c:v>14.96</c:v>
                </c:pt>
                <c:pt idx="837">
                  <c:v>14.98</c:v>
                </c:pt>
                <c:pt idx="838">
                  <c:v>15</c:v>
                </c:pt>
                <c:pt idx="839">
                  <c:v>15.02</c:v>
                </c:pt>
                <c:pt idx="840">
                  <c:v>15.04</c:v>
                </c:pt>
                <c:pt idx="841">
                  <c:v>15.06</c:v>
                </c:pt>
                <c:pt idx="842">
                  <c:v>15.08</c:v>
                </c:pt>
                <c:pt idx="843">
                  <c:v>15.1</c:v>
                </c:pt>
                <c:pt idx="844">
                  <c:v>15.12</c:v>
                </c:pt>
                <c:pt idx="845">
                  <c:v>15.14</c:v>
                </c:pt>
                <c:pt idx="846">
                  <c:v>15.16</c:v>
                </c:pt>
                <c:pt idx="847">
                  <c:v>15.18</c:v>
                </c:pt>
                <c:pt idx="848">
                  <c:v>15.2</c:v>
                </c:pt>
                <c:pt idx="849">
                  <c:v>15.22</c:v>
                </c:pt>
                <c:pt idx="850">
                  <c:v>15.24</c:v>
                </c:pt>
                <c:pt idx="851">
                  <c:v>15.26</c:v>
                </c:pt>
                <c:pt idx="852">
                  <c:v>15.28</c:v>
                </c:pt>
                <c:pt idx="853">
                  <c:v>15.3</c:v>
                </c:pt>
                <c:pt idx="854">
                  <c:v>15.32</c:v>
                </c:pt>
                <c:pt idx="855">
                  <c:v>15.34</c:v>
                </c:pt>
                <c:pt idx="856">
                  <c:v>15.36</c:v>
                </c:pt>
                <c:pt idx="857">
                  <c:v>15.38</c:v>
                </c:pt>
                <c:pt idx="858">
                  <c:v>15.4</c:v>
                </c:pt>
                <c:pt idx="859">
                  <c:v>15.42</c:v>
                </c:pt>
                <c:pt idx="860">
                  <c:v>15.44</c:v>
                </c:pt>
                <c:pt idx="861">
                  <c:v>15.46</c:v>
                </c:pt>
                <c:pt idx="862">
                  <c:v>15.48</c:v>
                </c:pt>
                <c:pt idx="863">
                  <c:v>15.5</c:v>
                </c:pt>
                <c:pt idx="864">
                  <c:v>15.52</c:v>
                </c:pt>
                <c:pt idx="865">
                  <c:v>15.54</c:v>
                </c:pt>
                <c:pt idx="866">
                  <c:v>15.56</c:v>
                </c:pt>
                <c:pt idx="867">
                  <c:v>15.58</c:v>
                </c:pt>
                <c:pt idx="868">
                  <c:v>15.6</c:v>
                </c:pt>
                <c:pt idx="869">
                  <c:v>15.62</c:v>
                </c:pt>
                <c:pt idx="870">
                  <c:v>15.64</c:v>
                </c:pt>
                <c:pt idx="871">
                  <c:v>15.66</c:v>
                </c:pt>
                <c:pt idx="872">
                  <c:v>15.68</c:v>
                </c:pt>
                <c:pt idx="873">
                  <c:v>15.7</c:v>
                </c:pt>
                <c:pt idx="874">
                  <c:v>15.715</c:v>
                </c:pt>
                <c:pt idx="875">
                  <c:v>15.73</c:v>
                </c:pt>
                <c:pt idx="876">
                  <c:v>15.744999999999999</c:v>
                </c:pt>
                <c:pt idx="877">
                  <c:v>15.76</c:v>
                </c:pt>
                <c:pt idx="878">
                  <c:v>15.775</c:v>
                </c:pt>
                <c:pt idx="879">
                  <c:v>15.79</c:v>
                </c:pt>
                <c:pt idx="880">
                  <c:v>15.805</c:v>
                </c:pt>
                <c:pt idx="881">
                  <c:v>15.82</c:v>
                </c:pt>
                <c:pt idx="882">
                  <c:v>15.835000000000001</c:v>
                </c:pt>
                <c:pt idx="883">
                  <c:v>15.85</c:v>
                </c:pt>
                <c:pt idx="884">
                  <c:v>15.865</c:v>
                </c:pt>
                <c:pt idx="885">
                  <c:v>15.88</c:v>
                </c:pt>
                <c:pt idx="886">
                  <c:v>15.895</c:v>
                </c:pt>
                <c:pt idx="887">
                  <c:v>15.91</c:v>
                </c:pt>
                <c:pt idx="888">
                  <c:v>15.925000000000001</c:v>
                </c:pt>
                <c:pt idx="889">
                  <c:v>15.94</c:v>
                </c:pt>
                <c:pt idx="890">
                  <c:v>15.955</c:v>
                </c:pt>
                <c:pt idx="891">
                  <c:v>15.97</c:v>
                </c:pt>
                <c:pt idx="892">
                  <c:v>15.984999999999999</c:v>
                </c:pt>
                <c:pt idx="893">
                  <c:v>16</c:v>
                </c:pt>
                <c:pt idx="894">
                  <c:v>16.015000000000001</c:v>
                </c:pt>
                <c:pt idx="895">
                  <c:v>16.03</c:v>
                </c:pt>
                <c:pt idx="896">
                  <c:v>16.045000000000002</c:v>
                </c:pt>
                <c:pt idx="897">
                  <c:v>16.059999999999999</c:v>
                </c:pt>
                <c:pt idx="898">
                  <c:v>16.074999999999999</c:v>
                </c:pt>
                <c:pt idx="899">
                  <c:v>16.09</c:v>
                </c:pt>
                <c:pt idx="900">
                  <c:v>16.105</c:v>
                </c:pt>
                <c:pt idx="901">
                  <c:v>16.12</c:v>
                </c:pt>
                <c:pt idx="902">
                  <c:v>16.135000000000002</c:v>
                </c:pt>
                <c:pt idx="903">
                  <c:v>16.149999999999999</c:v>
                </c:pt>
                <c:pt idx="904">
                  <c:v>16.164999999999999</c:v>
                </c:pt>
                <c:pt idx="905">
                  <c:v>16.18</c:v>
                </c:pt>
                <c:pt idx="906">
                  <c:v>16.195</c:v>
                </c:pt>
                <c:pt idx="907">
                  <c:v>16.21</c:v>
                </c:pt>
                <c:pt idx="908">
                  <c:v>16.225000000000001</c:v>
                </c:pt>
                <c:pt idx="909">
                  <c:v>16.239999999999998</c:v>
                </c:pt>
                <c:pt idx="910">
                  <c:v>16.254999999999999</c:v>
                </c:pt>
                <c:pt idx="911">
                  <c:v>16.27</c:v>
                </c:pt>
                <c:pt idx="912">
                  <c:v>16.285</c:v>
                </c:pt>
                <c:pt idx="913">
                  <c:v>16.3</c:v>
                </c:pt>
                <c:pt idx="914">
                  <c:v>16.315000000000001</c:v>
                </c:pt>
                <c:pt idx="915">
                  <c:v>16.329999999999998</c:v>
                </c:pt>
                <c:pt idx="916">
                  <c:v>16.344999999999999</c:v>
                </c:pt>
                <c:pt idx="917">
                  <c:v>16.36</c:v>
                </c:pt>
                <c:pt idx="918">
                  <c:v>16.375</c:v>
                </c:pt>
                <c:pt idx="919">
                  <c:v>16.39</c:v>
                </c:pt>
                <c:pt idx="920">
                  <c:v>16.405000000000001</c:v>
                </c:pt>
                <c:pt idx="921">
                  <c:v>16.420000000000002</c:v>
                </c:pt>
                <c:pt idx="922">
                  <c:v>16.434999999999999</c:v>
                </c:pt>
                <c:pt idx="923">
                  <c:v>16.45</c:v>
                </c:pt>
                <c:pt idx="924">
                  <c:v>16.465</c:v>
                </c:pt>
                <c:pt idx="925">
                  <c:v>16.48</c:v>
                </c:pt>
                <c:pt idx="926">
                  <c:v>16.495000000000001</c:v>
                </c:pt>
                <c:pt idx="927">
                  <c:v>16.510000000000002</c:v>
                </c:pt>
                <c:pt idx="928">
                  <c:v>16.524999999999999</c:v>
                </c:pt>
                <c:pt idx="929">
                  <c:v>16.54</c:v>
                </c:pt>
                <c:pt idx="930">
                  <c:v>16.555</c:v>
                </c:pt>
                <c:pt idx="931">
                  <c:v>16.57</c:v>
                </c:pt>
                <c:pt idx="932">
                  <c:v>16.585000000000001</c:v>
                </c:pt>
                <c:pt idx="933">
                  <c:v>16.600000000000001</c:v>
                </c:pt>
                <c:pt idx="934">
                  <c:v>16.61</c:v>
                </c:pt>
                <c:pt idx="935">
                  <c:v>16.62</c:v>
                </c:pt>
                <c:pt idx="936">
                  <c:v>16.63</c:v>
                </c:pt>
                <c:pt idx="937">
                  <c:v>16.64</c:v>
                </c:pt>
                <c:pt idx="938">
                  <c:v>16.649999999999999</c:v>
                </c:pt>
                <c:pt idx="939">
                  <c:v>16.66</c:v>
                </c:pt>
                <c:pt idx="940">
                  <c:v>16.670000000000002</c:v>
                </c:pt>
                <c:pt idx="941">
                  <c:v>16.68</c:v>
                </c:pt>
                <c:pt idx="942">
                  <c:v>16.690000000000001</c:v>
                </c:pt>
                <c:pt idx="943">
                  <c:v>16.7</c:v>
                </c:pt>
                <c:pt idx="944">
                  <c:v>16.71</c:v>
                </c:pt>
                <c:pt idx="945">
                  <c:v>16.72</c:v>
                </c:pt>
                <c:pt idx="946">
                  <c:v>16.73</c:v>
                </c:pt>
                <c:pt idx="947">
                  <c:v>16.739999999999998</c:v>
                </c:pt>
                <c:pt idx="948">
                  <c:v>16.75</c:v>
                </c:pt>
                <c:pt idx="949">
                  <c:v>16.760000000000002</c:v>
                </c:pt>
                <c:pt idx="950">
                  <c:v>16.77</c:v>
                </c:pt>
                <c:pt idx="951">
                  <c:v>16.78</c:v>
                </c:pt>
                <c:pt idx="952">
                  <c:v>16.79</c:v>
                </c:pt>
                <c:pt idx="953">
                  <c:v>16.8</c:v>
                </c:pt>
                <c:pt idx="954">
                  <c:v>16.809999999999999</c:v>
                </c:pt>
                <c:pt idx="955">
                  <c:v>16.82</c:v>
                </c:pt>
                <c:pt idx="956">
                  <c:v>16.829999999999998</c:v>
                </c:pt>
                <c:pt idx="957">
                  <c:v>16.84</c:v>
                </c:pt>
                <c:pt idx="958">
                  <c:v>16.850000000000001</c:v>
                </c:pt>
                <c:pt idx="959">
                  <c:v>16.86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C4-4F30-93A5-C57B477CF0BA}"/>
            </c:ext>
          </c:extLst>
        </c:ser>
        <c:ser>
          <c:idx val="2"/>
          <c:order val="2"/>
          <c:tx>
            <c:v>Room B (pending)</c:v>
          </c:tx>
          <c:spPr>
            <a:ln w="22000">
              <a:solidFill>
                <a:srgbClr val="E9A23B"/>
              </a:solidFill>
              <a:prstDash val="solid"/>
            </a:ln>
          </c:spPr>
          <c:marker>
            <c:symbol val="none"/>
          </c:marker>
          <c:xVal>
            <c:numRef>
              <c:f>RoomB_Pending!$A$2:$A$2001</c:f>
              <c:numCache>
                <c:formatCode>General</c:formatCode>
                <c:ptCount val="2000"/>
              </c:numCache>
            </c:numRef>
          </c:xVal>
          <c:yVal>
            <c:numRef>
              <c:f>RoomB_Pending!$B$2:$B$2001</c:f>
              <c:numCache>
                <c:formatCode>General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C4-4F30-93A5-C57B477CF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46299.643055555411"/>
          <c:min val="46298.97708333330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Time</a:t>
                </a:r>
              </a:p>
            </c:rich>
          </c:tx>
          <c:overlay val="0"/>
        </c:title>
        <c:numFmt formatCode="hh:mm" sourceLinked="0"/>
        <c:majorTickMark val="none"/>
        <c:minorTickMark val="none"/>
        <c:tickLblPos val="nextTo"/>
        <c:crossAx val="20"/>
        <c:crosses val="autoZero"/>
        <c:crossBetween val="midCat"/>
        <c:majorUnit val="8.3333333333333329E-2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°C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CA"/>
              <a:t>Cooling rate vs indoor–outdoor </a:t>
            </a:r>
            <a:r>
              <a:rPr lang="el-GR"/>
              <a:t>Δ</a:t>
            </a:r>
            <a:r>
              <a:rPr lang="en-CA"/>
              <a:t>T (furnace off)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Room A (measured)</c:v>
          </c:tx>
          <c:spPr>
            <a:ln>
              <a:noFill/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xVal>
            <c:numRef>
              <c:f>RoomA_Night1!$N$2:$N$961</c:f>
              <c:numCache>
                <c:formatCode>General</c:formatCode>
                <c:ptCount val="960"/>
                <c:pt idx="0">
                  <c:v>#N/A</c:v>
                </c:pt>
                <c:pt idx="1">
                  <c:v>#N/A</c:v>
                </c:pt>
                <c:pt idx="2">
                  <c:v>14.911999999999999</c:v>
                </c:pt>
                <c:pt idx="3">
                  <c:v>14.95</c:v>
                </c:pt>
                <c:pt idx="4">
                  <c:v>14.625999999999998</c:v>
                </c:pt>
                <c:pt idx="5">
                  <c:v>14.303000000000001</c:v>
                </c:pt>
                <c:pt idx="6">
                  <c:v>14.59</c:v>
                </c:pt>
                <c:pt idx="7">
                  <c:v>14.43</c:v>
                </c:pt>
                <c:pt idx="8">
                  <c:v>13.952000000000002</c:v>
                </c:pt>
                <c:pt idx="9">
                  <c:v>13.757000000000001</c:v>
                </c:pt>
                <c:pt idx="10">
                  <c:v>13.612000000000002</c:v>
                </c:pt>
                <c:pt idx="11">
                  <c:v>13.577999999999999</c:v>
                </c:pt>
                <c:pt idx="12">
                  <c:v>13.603000000000002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14.317</c:v>
                </c:pt>
                <c:pt idx="29">
                  <c:v>14.341999999999999</c:v>
                </c:pt>
                <c:pt idx="30">
                  <c:v>14.363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14.483000000000001</c:v>
                </c:pt>
                <c:pt idx="36">
                  <c:v>#N/A</c:v>
                </c:pt>
                <c:pt idx="37">
                  <c:v>14.494999999999997</c:v>
                </c:pt>
                <c:pt idx="38">
                  <c:v>14.502000000000002</c:v>
                </c:pt>
                <c:pt idx="39">
                  <c:v>14.507999999999999</c:v>
                </c:pt>
                <c:pt idx="40">
                  <c:v>14.515000000000001</c:v>
                </c:pt>
                <c:pt idx="41">
                  <c:v>14.517000000000001</c:v>
                </c:pt>
                <c:pt idx="42">
                  <c:v>14.518000000000001</c:v>
                </c:pt>
                <c:pt idx="43">
                  <c:v>14.528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14.577999999999999</c:v>
                </c:pt>
                <c:pt idx="50">
                  <c:v>14.587999999999999</c:v>
                </c:pt>
                <c:pt idx="51">
                  <c:v>14.594999999999999</c:v>
                </c:pt>
                <c:pt idx="52">
                  <c:v>14.593</c:v>
                </c:pt>
                <c:pt idx="53">
                  <c:v>14.599999999999998</c:v>
                </c:pt>
                <c:pt idx="54">
                  <c:v>#N/A</c:v>
                </c:pt>
                <c:pt idx="55">
                  <c:v>14.602</c:v>
                </c:pt>
                <c:pt idx="56">
                  <c:v>14.623000000000001</c:v>
                </c:pt>
                <c:pt idx="57">
                  <c:v>#N/A</c:v>
                </c:pt>
                <c:pt idx="58">
                  <c:v>14.623000000000001</c:v>
                </c:pt>
                <c:pt idx="59">
                  <c:v>14.63</c:v>
                </c:pt>
                <c:pt idx="60">
                  <c:v>14.641999999999999</c:v>
                </c:pt>
                <c:pt idx="61">
                  <c:v>14.645</c:v>
                </c:pt>
                <c:pt idx="62">
                  <c:v>14.641999999999999</c:v>
                </c:pt>
                <c:pt idx="63">
                  <c:v>14.650000000000002</c:v>
                </c:pt>
                <c:pt idx="64">
                  <c:v>14.661999999999999</c:v>
                </c:pt>
                <c:pt idx="65">
                  <c:v>#N/A</c:v>
                </c:pt>
                <c:pt idx="66">
                  <c:v>14.665000000000001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14.757999999999999</c:v>
                </c:pt>
                <c:pt idx="77">
                  <c:v>#N/A</c:v>
                </c:pt>
                <c:pt idx="78">
                  <c:v>14.762</c:v>
                </c:pt>
                <c:pt idx="79">
                  <c:v>14.772000000000002</c:v>
                </c:pt>
                <c:pt idx="80">
                  <c:v>#N/A</c:v>
                </c:pt>
                <c:pt idx="81">
                  <c:v>14.782</c:v>
                </c:pt>
                <c:pt idx="82">
                  <c:v>#N/A</c:v>
                </c:pt>
                <c:pt idx="83">
                  <c:v>#N/A</c:v>
                </c:pt>
                <c:pt idx="84">
                  <c:v>14.807999999999998</c:v>
                </c:pt>
                <c:pt idx="85">
                  <c:v>14.809999999999999</c:v>
                </c:pt>
                <c:pt idx="86">
                  <c:v>14.810000000000002</c:v>
                </c:pt>
                <c:pt idx="87">
                  <c:v>14.817</c:v>
                </c:pt>
                <c:pt idx="88">
                  <c:v>14.812000000000001</c:v>
                </c:pt>
                <c:pt idx="89">
                  <c:v>14.821999999999999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14.879999999999999</c:v>
                </c:pt>
                <c:pt idx="97">
                  <c:v>14.890999999999998</c:v>
                </c:pt>
                <c:pt idx="98">
                  <c:v>#N/A</c:v>
                </c:pt>
                <c:pt idx="99">
                  <c:v>14.895000000000001</c:v>
                </c:pt>
                <c:pt idx="100">
                  <c:v>#N/A</c:v>
                </c:pt>
                <c:pt idx="101">
                  <c:v>14.904999999999999</c:v>
                </c:pt>
                <c:pt idx="102">
                  <c:v>14.911999999999999</c:v>
                </c:pt>
                <c:pt idx="103">
                  <c:v>#N/A</c:v>
                </c:pt>
                <c:pt idx="104">
                  <c:v>14.919</c:v>
                </c:pt>
                <c:pt idx="105">
                  <c:v>#N/A</c:v>
                </c:pt>
                <c:pt idx="106">
                  <c:v>#N/A</c:v>
                </c:pt>
                <c:pt idx="107">
                  <c:v>14.939999999999998</c:v>
                </c:pt>
                <c:pt idx="108">
                  <c:v>#N/A</c:v>
                </c:pt>
                <c:pt idx="109">
                  <c:v>14.945</c:v>
                </c:pt>
                <c:pt idx="110">
                  <c:v>14.946999999999999</c:v>
                </c:pt>
                <c:pt idx="111">
                  <c:v>14.948</c:v>
                </c:pt>
                <c:pt idx="112">
                  <c:v>14.951000000000001</c:v>
                </c:pt>
                <c:pt idx="113">
                  <c:v>#N/A</c:v>
                </c:pt>
                <c:pt idx="114">
                  <c:v>14.962999999999999</c:v>
                </c:pt>
                <c:pt idx="115">
                  <c:v>#N/A</c:v>
                </c:pt>
                <c:pt idx="116">
                  <c:v>14.959999999999999</c:v>
                </c:pt>
                <c:pt idx="117">
                  <c:v>#N/A</c:v>
                </c:pt>
                <c:pt idx="118">
                  <c:v>#N/A</c:v>
                </c:pt>
                <c:pt idx="119">
                  <c:v>14.992000000000001</c:v>
                </c:pt>
                <c:pt idx="120">
                  <c:v>#N/A</c:v>
                </c:pt>
                <c:pt idx="121">
                  <c:v>14.991000000000001</c:v>
                </c:pt>
                <c:pt idx="122">
                  <c:v>14.998999999999999</c:v>
                </c:pt>
                <c:pt idx="123">
                  <c:v>#N/A</c:v>
                </c:pt>
                <c:pt idx="124">
                  <c:v>15.007999999999999</c:v>
                </c:pt>
                <c:pt idx="125">
                  <c:v>15.012</c:v>
                </c:pt>
                <c:pt idx="126">
                  <c:v>15.007999999999999</c:v>
                </c:pt>
                <c:pt idx="127">
                  <c:v>15.010999999999999</c:v>
                </c:pt>
                <c:pt idx="128">
                  <c:v>#N/A</c:v>
                </c:pt>
                <c:pt idx="129">
                  <c:v>#N/A</c:v>
                </c:pt>
                <c:pt idx="130">
                  <c:v>15.040000000000003</c:v>
                </c:pt>
                <c:pt idx="131">
                  <c:v>15.045</c:v>
                </c:pt>
                <c:pt idx="132">
                  <c:v>15.042000000000002</c:v>
                </c:pt>
                <c:pt idx="133">
                  <c:v>15.042999999999999</c:v>
                </c:pt>
                <c:pt idx="134">
                  <c:v>15.05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15.072000000000001</c:v>
                </c:pt>
                <c:pt idx="139">
                  <c:v>15.081</c:v>
                </c:pt>
                <c:pt idx="140">
                  <c:v>15.074000000000002</c:v>
                </c:pt>
                <c:pt idx="141">
                  <c:v>15.082999999999998</c:v>
                </c:pt>
                <c:pt idx="142">
                  <c:v>#N/A</c:v>
                </c:pt>
                <c:pt idx="143">
                  <c:v>15.087</c:v>
                </c:pt>
                <c:pt idx="144">
                  <c:v>15.1</c:v>
                </c:pt>
                <c:pt idx="145">
                  <c:v>15.095999999999998</c:v>
                </c:pt>
                <c:pt idx="146">
                  <c:v>15.093999999999999</c:v>
                </c:pt>
                <c:pt idx="147">
                  <c:v>15.097999999999999</c:v>
                </c:pt>
                <c:pt idx="148">
                  <c:v>#N/A</c:v>
                </c:pt>
                <c:pt idx="149">
                  <c:v>15.11</c:v>
                </c:pt>
                <c:pt idx="150">
                  <c:v>#N/A</c:v>
                </c:pt>
                <c:pt idx="151">
                  <c:v>15.110999999999999</c:v>
                </c:pt>
                <c:pt idx="152">
                  <c:v>15.129</c:v>
                </c:pt>
                <c:pt idx="153">
                  <c:v>#N/A</c:v>
                </c:pt>
                <c:pt idx="154">
                  <c:v>15.125</c:v>
                </c:pt>
                <c:pt idx="155">
                  <c:v>15.125999999999999</c:v>
                </c:pt>
                <c:pt idx="156">
                  <c:v>15.115000000000002</c:v>
                </c:pt>
                <c:pt idx="157">
                  <c:v>15.111999999999998</c:v>
                </c:pt>
                <c:pt idx="158">
                  <c:v>15.108000000000001</c:v>
                </c:pt>
                <c:pt idx="159">
                  <c:v>15.102999999999998</c:v>
                </c:pt>
                <c:pt idx="160">
                  <c:v>15.107000000000001</c:v>
                </c:pt>
                <c:pt idx="161">
                  <c:v>15.100999999999999</c:v>
                </c:pt>
                <c:pt idx="162">
                  <c:v>15.093000000000002</c:v>
                </c:pt>
                <c:pt idx="163">
                  <c:v>15.094000000000001</c:v>
                </c:pt>
                <c:pt idx="164">
                  <c:v>#N/A</c:v>
                </c:pt>
                <c:pt idx="165">
                  <c:v>15.093</c:v>
                </c:pt>
                <c:pt idx="166">
                  <c:v>15.094000000000001</c:v>
                </c:pt>
                <c:pt idx="167">
                  <c:v>15.086000000000002</c:v>
                </c:pt>
                <c:pt idx="168">
                  <c:v>15.079999999999998</c:v>
                </c:pt>
                <c:pt idx="169">
                  <c:v>15.079999999999998</c:v>
                </c:pt>
                <c:pt idx="170">
                  <c:v>#N/A</c:v>
                </c:pt>
                <c:pt idx="171">
                  <c:v>15.067</c:v>
                </c:pt>
                <c:pt idx="172">
                  <c:v>15.075000000000001</c:v>
                </c:pt>
                <c:pt idx="173">
                  <c:v>#N/A</c:v>
                </c:pt>
                <c:pt idx="174">
                  <c:v>15.06</c:v>
                </c:pt>
                <c:pt idx="175">
                  <c:v>#N/A</c:v>
                </c:pt>
                <c:pt idx="176">
                  <c:v>15.063000000000001</c:v>
                </c:pt>
                <c:pt idx="177">
                  <c:v>15.067</c:v>
                </c:pt>
                <c:pt idx="178">
                  <c:v>15.052</c:v>
                </c:pt>
                <c:pt idx="179">
                  <c:v>15.055</c:v>
                </c:pt>
                <c:pt idx="180">
                  <c:v>15.05</c:v>
                </c:pt>
                <c:pt idx="181">
                  <c:v>15.040000000000001</c:v>
                </c:pt>
                <c:pt idx="182">
                  <c:v>15.038</c:v>
                </c:pt>
                <c:pt idx="183">
                  <c:v>#N/A</c:v>
                </c:pt>
                <c:pt idx="184">
                  <c:v>15.032</c:v>
                </c:pt>
                <c:pt idx="185">
                  <c:v>15.035000000000002</c:v>
                </c:pt>
                <c:pt idx="186">
                  <c:v>15.025</c:v>
                </c:pt>
                <c:pt idx="187">
                  <c:v>15.024999999999999</c:v>
                </c:pt>
                <c:pt idx="188">
                  <c:v>#N/A</c:v>
                </c:pt>
                <c:pt idx="189">
                  <c:v>#N/A</c:v>
                </c:pt>
                <c:pt idx="190">
                  <c:v>15.026999999999997</c:v>
                </c:pt>
                <c:pt idx="191">
                  <c:v>#N/A</c:v>
                </c:pt>
                <c:pt idx="192">
                  <c:v>15.007999999999999</c:v>
                </c:pt>
                <c:pt idx="193">
                  <c:v>#N/A</c:v>
                </c:pt>
                <c:pt idx="194">
                  <c:v>#N/A</c:v>
                </c:pt>
                <c:pt idx="195">
                  <c:v>15.014999999999999</c:v>
                </c:pt>
                <c:pt idx="196">
                  <c:v>15.012</c:v>
                </c:pt>
                <c:pt idx="197">
                  <c:v>15.000999999999999</c:v>
                </c:pt>
                <c:pt idx="198">
                  <c:v>15.004999999999999</c:v>
                </c:pt>
                <c:pt idx="199">
                  <c:v>#N/A</c:v>
                </c:pt>
                <c:pt idx="200">
                  <c:v>14.984999999999999</c:v>
                </c:pt>
                <c:pt idx="201">
                  <c:v>14.995000000000001</c:v>
                </c:pt>
                <c:pt idx="202">
                  <c:v>#N/A</c:v>
                </c:pt>
                <c:pt idx="203">
                  <c:v>14.975999999999999</c:v>
                </c:pt>
                <c:pt idx="204">
                  <c:v>14.982999999999999</c:v>
                </c:pt>
                <c:pt idx="205">
                  <c:v>#N/A</c:v>
                </c:pt>
                <c:pt idx="206">
                  <c:v>14.971000000000002</c:v>
                </c:pt>
                <c:pt idx="207">
                  <c:v>14.973000000000001</c:v>
                </c:pt>
                <c:pt idx="208">
                  <c:v>14.96</c:v>
                </c:pt>
                <c:pt idx="209">
                  <c:v>14.961</c:v>
                </c:pt>
                <c:pt idx="210">
                  <c:v>14.957000000000001</c:v>
                </c:pt>
                <c:pt idx="211">
                  <c:v>14.95</c:v>
                </c:pt>
                <c:pt idx="212">
                  <c:v>14.940999999999999</c:v>
                </c:pt>
                <c:pt idx="213">
                  <c:v>14.934999999999999</c:v>
                </c:pt>
                <c:pt idx="214">
                  <c:v>14.941000000000001</c:v>
                </c:pt>
                <c:pt idx="215">
                  <c:v>14.952</c:v>
                </c:pt>
                <c:pt idx="216">
                  <c:v>#N/A</c:v>
                </c:pt>
                <c:pt idx="217">
                  <c:v>14.952999999999999</c:v>
                </c:pt>
                <c:pt idx="218">
                  <c:v>14.962</c:v>
                </c:pt>
                <c:pt idx="219">
                  <c:v>14.963000000000001</c:v>
                </c:pt>
                <c:pt idx="220">
                  <c:v>14.96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14.987000000000002</c:v>
                </c:pt>
                <c:pt idx="226">
                  <c:v>14.991</c:v>
                </c:pt>
                <c:pt idx="227">
                  <c:v>14.995000000000001</c:v>
                </c:pt>
                <c:pt idx="228">
                  <c:v>15.001999999999999</c:v>
                </c:pt>
                <c:pt idx="229">
                  <c:v>15.005999999999998</c:v>
                </c:pt>
                <c:pt idx="230">
                  <c:v>15.007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15.558999999999999</c:v>
                </c:pt>
                <c:pt idx="240">
                  <c:v>15.548000000000002</c:v>
                </c:pt>
                <c:pt idx="241">
                  <c:v>15.52</c:v>
                </c:pt>
                <c:pt idx="242">
                  <c:v>15.478999999999999</c:v>
                </c:pt>
                <c:pt idx="243">
                  <c:v>15.436999999999998</c:v>
                </c:pt>
                <c:pt idx="244">
                  <c:v>15.401000000000002</c:v>
                </c:pt>
                <c:pt idx="245">
                  <c:v>15.384000000000002</c:v>
                </c:pt>
                <c:pt idx="246">
                  <c:v>15.362</c:v>
                </c:pt>
                <c:pt idx="247">
                  <c:v>15.347999999999999</c:v>
                </c:pt>
                <c:pt idx="248">
                  <c:v>15.349</c:v>
                </c:pt>
                <c:pt idx="249">
                  <c:v>15.332999999999998</c:v>
                </c:pt>
                <c:pt idx="250">
                  <c:v>15.327999999999999</c:v>
                </c:pt>
                <c:pt idx="251">
                  <c:v>15.32</c:v>
                </c:pt>
                <c:pt idx="252">
                  <c:v>15.315</c:v>
                </c:pt>
                <c:pt idx="253">
                  <c:v>15.304999999999998</c:v>
                </c:pt>
                <c:pt idx="254">
                  <c:v>15.293999999999999</c:v>
                </c:pt>
                <c:pt idx="255">
                  <c:v>15.302</c:v>
                </c:pt>
                <c:pt idx="256">
                  <c:v>15.288</c:v>
                </c:pt>
                <c:pt idx="257">
                  <c:v>15.286999999999999</c:v>
                </c:pt>
                <c:pt idx="258">
                  <c:v>15.29</c:v>
                </c:pt>
                <c:pt idx="259">
                  <c:v>15.287999999999998</c:v>
                </c:pt>
                <c:pt idx="260">
                  <c:v>15.290000000000001</c:v>
                </c:pt>
                <c:pt idx="261">
                  <c:v>15.293000000000001</c:v>
                </c:pt>
                <c:pt idx="262">
                  <c:v>15.288</c:v>
                </c:pt>
                <c:pt idx="263">
                  <c:v>15.3</c:v>
                </c:pt>
                <c:pt idx="264">
                  <c:v>15.288</c:v>
                </c:pt>
                <c:pt idx="265">
                  <c:v>15.285</c:v>
                </c:pt>
                <c:pt idx="266">
                  <c:v>15.288999999999998</c:v>
                </c:pt>
                <c:pt idx="267">
                  <c:v>15.293000000000001</c:v>
                </c:pt>
                <c:pt idx="268">
                  <c:v>15.295</c:v>
                </c:pt>
                <c:pt idx="269">
                  <c:v>15.296999999999999</c:v>
                </c:pt>
                <c:pt idx="270">
                  <c:v>15.3</c:v>
                </c:pt>
                <c:pt idx="271">
                  <c:v>15.297999999999998</c:v>
                </c:pt>
                <c:pt idx="272">
                  <c:v>15.303999999999998</c:v>
                </c:pt>
                <c:pt idx="273">
                  <c:v>15.312999999999999</c:v>
                </c:pt>
                <c:pt idx="274">
                  <c:v>15.307</c:v>
                </c:pt>
                <c:pt idx="275">
                  <c:v>15.300999999999998</c:v>
                </c:pt>
                <c:pt idx="276">
                  <c:v>15.295</c:v>
                </c:pt>
                <c:pt idx="277">
                  <c:v>15.289000000000001</c:v>
                </c:pt>
                <c:pt idx="278">
                  <c:v>15.285000000000002</c:v>
                </c:pt>
                <c:pt idx="279">
                  <c:v>15.275000000000002</c:v>
                </c:pt>
                <c:pt idx="280">
                  <c:v>15.274999999999999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15.8</c:v>
                </c:pt>
                <c:pt idx="290">
                  <c:v>15.76</c:v>
                </c:pt>
                <c:pt idx="291">
                  <c:v>15.715</c:v>
                </c:pt>
                <c:pt idx="292">
                  <c:v>15.654999999999998</c:v>
                </c:pt>
                <c:pt idx="293">
                  <c:v>15.618000000000002</c:v>
                </c:pt>
                <c:pt idx="294">
                  <c:v>15.588000000000001</c:v>
                </c:pt>
                <c:pt idx="295">
                  <c:v>15.558999999999999</c:v>
                </c:pt>
                <c:pt idx="296">
                  <c:v>15.527999999999999</c:v>
                </c:pt>
                <c:pt idx="297">
                  <c:v>15.513</c:v>
                </c:pt>
                <c:pt idx="298">
                  <c:v>15.494</c:v>
                </c:pt>
                <c:pt idx="299">
                  <c:v>15.471000000000002</c:v>
                </c:pt>
                <c:pt idx="300">
                  <c:v>15.462</c:v>
                </c:pt>
                <c:pt idx="301">
                  <c:v>15.440000000000001</c:v>
                </c:pt>
                <c:pt idx="302">
                  <c:v>15.433</c:v>
                </c:pt>
                <c:pt idx="303">
                  <c:v>15.422999999999998</c:v>
                </c:pt>
                <c:pt idx="304">
                  <c:v>15.414999999999999</c:v>
                </c:pt>
                <c:pt idx="305">
                  <c:v>15.408000000000001</c:v>
                </c:pt>
                <c:pt idx="306">
                  <c:v>15.398</c:v>
                </c:pt>
                <c:pt idx="307">
                  <c:v>15.386999999999999</c:v>
                </c:pt>
                <c:pt idx="308">
                  <c:v>15.375</c:v>
                </c:pt>
                <c:pt idx="309">
                  <c:v>15.377999999999998</c:v>
                </c:pt>
                <c:pt idx="310">
                  <c:v>15.365000000000002</c:v>
                </c:pt>
                <c:pt idx="311">
                  <c:v>15.353</c:v>
                </c:pt>
                <c:pt idx="312">
                  <c:v>15.347000000000001</c:v>
                </c:pt>
                <c:pt idx="313">
                  <c:v>#N/A</c:v>
                </c:pt>
                <c:pt idx="314">
                  <c:v>15.350999999999999</c:v>
                </c:pt>
                <c:pt idx="315">
                  <c:v>15.347999999999999</c:v>
                </c:pt>
                <c:pt idx="316">
                  <c:v>15.33</c:v>
                </c:pt>
                <c:pt idx="317">
                  <c:v>15.329999999999998</c:v>
                </c:pt>
                <c:pt idx="318">
                  <c:v>#N/A</c:v>
                </c:pt>
                <c:pt idx="319">
                  <c:v>15.335000000000001</c:v>
                </c:pt>
                <c:pt idx="320">
                  <c:v>15.334999999999999</c:v>
                </c:pt>
                <c:pt idx="321">
                  <c:v>15.319999999999999</c:v>
                </c:pt>
                <c:pt idx="322">
                  <c:v>15.312000000000001</c:v>
                </c:pt>
                <c:pt idx="323">
                  <c:v>15.298</c:v>
                </c:pt>
                <c:pt idx="324">
                  <c:v>15.297000000000001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15.878000000000002</c:v>
                </c:pt>
                <c:pt idx="336">
                  <c:v>15.833000000000002</c:v>
                </c:pt>
                <c:pt idx="337">
                  <c:v>15.781999999999998</c:v>
                </c:pt>
                <c:pt idx="338">
                  <c:v>15.743</c:v>
                </c:pt>
                <c:pt idx="339">
                  <c:v>15.713000000000001</c:v>
                </c:pt>
                <c:pt idx="340">
                  <c:v>15.682</c:v>
                </c:pt>
                <c:pt idx="341">
                  <c:v>15.638</c:v>
                </c:pt>
                <c:pt idx="342">
                  <c:v>15.614999999999998</c:v>
                </c:pt>
                <c:pt idx="343">
                  <c:v>15.597000000000001</c:v>
                </c:pt>
                <c:pt idx="344">
                  <c:v>15.580000000000002</c:v>
                </c:pt>
                <c:pt idx="345">
                  <c:v>15.571999999999999</c:v>
                </c:pt>
                <c:pt idx="346">
                  <c:v>15.559000000000001</c:v>
                </c:pt>
                <c:pt idx="347">
                  <c:v>15.556000000000001</c:v>
                </c:pt>
                <c:pt idx="348">
                  <c:v>15.546999999999999</c:v>
                </c:pt>
                <c:pt idx="349">
                  <c:v>15.533999999999999</c:v>
                </c:pt>
                <c:pt idx="350">
                  <c:v>15.536000000000001</c:v>
                </c:pt>
                <c:pt idx="351">
                  <c:v>15.522</c:v>
                </c:pt>
                <c:pt idx="352">
                  <c:v>15.532</c:v>
                </c:pt>
                <c:pt idx="353">
                  <c:v>15.521000000000001</c:v>
                </c:pt>
                <c:pt idx="354">
                  <c:v>15.528</c:v>
                </c:pt>
                <c:pt idx="355">
                  <c:v>#N/A</c:v>
                </c:pt>
                <c:pt idx="356">
                  <c:v>15.535</c:v>
                </c:pt>
                <c:pt idx="357">
                  <c:v>15.535</c:v>
                </c:pt>
                <c:pt idx="358">
                  <c:v>15.526999999999999</c:v>
                </c:pt>
                <c:pt idx="359">
                  <c:v>15.515999999999998</c:v>
                </c:pt>
                <c:pt idx="360">
                  <c:v>15.512</c:v>
                </c:pt>
                <c:pt idx="361">
                  <c:v>15.517000000000001</c:v>
                </c:pt>
                <c:pt idx="362">
                  <c:v>15.516</c:v>
                </c:pt>
                <c:pt idx="363">
                  <c:v>15.523</c:v>
                </c:pt>
                <c:pt idx="364">
                  <c:v>15.519</c:v>
                </c:pt>
                <c:pt idx="365">
                  <c:v>15.520999999999999</c:v>
                </c:pt>
                <c:pt idx="366">
                  <c:v>15.523</c:v>
                </c:pt>
                <c:pt idx="367">
                  <c:v>15.530000000000001</c:v>
                </c:pt>
                <c:pt idx="368">
                  <c:v>15.53</c:v>
                </c:pt>
                <c:pt idx="369">
                  <c:v>15.521999999999998</c:v>
                </c:pt>
                <c:pt idx="370">
                  <c:v>15.529</c:v>
                </c:pt>
                <c:pt idx="371">
                  <c:v>15.526</c:v>
                </c:pt>
                <c:pt idx="372">
                  <c:v>15.522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16.154999999999998</c:v>
                </c:pt>
                <c:pt idx="383">
                  <c:v>16.143000000000001</c:v>
                </c:pt>
                <c:pt idx="384">
                  <c:v>16.094999999999999</c:v>
                </c:pt>
                <c:pt idx="385">
                  <c:v>16.055</c:v>
                </c:pt>
                <c:pt idx="386">
                  <c:v>16.007999999999999</c:v>
                </c:pt>
                <c:pt idx="387">
                  <c:v>15.968</c:v>
                </c:pt>
                <c:pt idx="388">
                  <c:v>15.930000000000001</c:v>
                </c:pt>
                <c:pt idx="389">
                  <c:v>15.903</c:v>
                </c:pt>
                <c:pt idx="390">
                  <c:v>15.89</c:v>
                </c:pt>
                <c:pt idx="391">
                  <c:v>15.868999999999998</c:v>
                </c:pt>
                <c:pt idx="392">
                  <c:v>15.848000000000001</c:v>
                </c:pt>
                <c:pt idx="393">
                  <c:v>15.829999999999998</c:v>
                </c:pt>
                <c:pt idx="394">
                  <c:v>15.822000000000001</c:v>
                </c:pt>
                <c:pt idx="395">
                  <c:v>15.809999999999999</c:v>
                </c:pt>
                <c:pt idx="396">
                  <c:v>15.798</c:v>
                </c:pt>
                <c:pt idx="397">
                  <c:v>15.785</c:v>
                </c:pt>
                <c:pt idx="398">
                  <c:v>15.776000000000002</c:v>
                </c:pt>
                <c:pt idx="399">
                  <c:v>15.775000000000002</c:v>
                </c:pt>
                <c:pt idx="400">
                  <c:v>15.771999999999998</c:v>
                </c:pt>
                <c:pt idx="401">
                  <c:v>15.765000000000001</c:v>
                </c:pt>
                <c:pt idx="402">
                  <c:v>15.766999999999999</c:v>
                </c:pt>
                <c:pt idx="403">
                  <c:v>15.757</c:v>
                </c:pt>
                <c:pt idx="404">
                  <c:v>15.741</c:v>
                </c:pt>
                <c:pt idx="405">
                  <c:v>15.755000000000001</c:v>
                </c:pt>
                <c:pt idx="406">
                  <c:v>15.746999999999998</c:v>
                </c:pt>
                <c:pt idx="407">
                  <c:v>15.741</c:v>
                </c:pt>
                <c:pt idx="408">
                  <c:v>15.728</c:v>
                </c:pt>
                <c:pt idx="409">
                  <c:v>15.719999999999999</c:v>
                </c:pt>
                <c:pt idx="410">
                  <c:v>15.72</c:v>
                </c:pt>
                <c:pt idx="411">
                  <c:v>15.722999999999999</c:v>
                </c:pt>
                <c:pt idx="412">
                  <c:v>15.713999999999999</c:v>
                </c:pt>
                <c:pt idx="413">
                  <c:v>15.702999999999999</c:v>
                </c:pt>
                <c:pt idx="414">
                  <c:v>15.692999999999998</c:v>
                </c:pt>
                <c:pt idx="415">
                  <c:v>15.685</c:v>
                </c:pt>
                <c:pt idx="416">
                  <c:v>15.678000000000001</c:v>
                </c:pt>
                <c:pt idx="417">
                  <c:v>15.680000000000001</c:v>
                </c:pt>
                <c:pt idx="418">
                  <c:v>15.664999999999999</c:v>
                </c:pt>
                <c:pt idx="419">
                  <c:v>15.663000000000002</c:v>
                </c:pt>
                <c:pt idx="420">
                  <c:v>15.657</c:v>
                </c:pt>
                <c:pt idx="421">
                  <c:v>15.643999999999998</c:v>
                </c:pt>
                <c:pt idx="422">
                  <c:v>15.64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16.258000000000003</c:v>
                </c:pt>
                <c:pt idx="432">
                  <c:v>16.205000000000002</c:v>
                </c:pt>
                <c:pt idx="433">
                  <c:v>16.164999999999999</c:v>
                </c:pt>
                <c:pt idx="434">
                  <c:v>16.116</c:v>
                </c:pt>
                <c:pt idx="435">
                  <c:v>16.07</c:v>
                </c:pt>
                <c:pt idx="436">
                  <c:v>16.038999999999998</c:v>
                </c:pt>
                <c:pt idx="437">
                  <c:v>15.986000000000001</c:v>
                </c:pt>
                <c:pt idx="438">
                  <c:v>15.955</c:v>
                </c:pt>
                <c:pt idx="439">
                  <c:v>15.919</c:v>
                </c:pt>
                <c:pt idx="440">
                  <c:v>15.895000000000001</c:v>
                </c:pt>
                <c:pt idx="441">
                  <c:v>15.87</c:v>
                </c:pt>
                <c:pt idx="442">
                  <c:v>15.855</c:v>
                </c:pt>
                <c:pt idx="443">
                  <c:v>15.836</c:v>
                </c:pt>
                <c:pt idx="444">
                  <c:v>15.830000000000002</c:v>
                </c:pt>
                <c:pt idx="445">
                  <c:v>15.814</c:v>
                </c:pt>
                <c:pt idx="446">
                  <c:v>15.812999999999999</c:v>
                </c:pt>
                <c:pt idx="447">
                  <c:v>15.814999999999998</c:v>
                </c:pt>
                <c:pt idx="448">
                  <c:v>15.815</c:v>
                </c:pt>
                <c:pt idx="449">
                  <c:v>15.794999999999998</c:v>
                </c:pt>
                <c:pt idx="450">
                  <c:v>15.787999999999998</c:v>
                </c:pt>
                <c:pt idx="451">
                  <c:v>15.782</c:v>
                </c:pt>
                <c:pt idx="452">
                  <c:v>15.778</c:v>
                </c:pt>
                <c:pt idx="453">
                  <c:v>15.768000000000001</c:v>
                </c:pt>
                <c:pt idx="454">
                  <c:v>15.752000000000001</c:v>
                </c:pt>
                <c:pt idx="455">
                  <c:v>15.733000000000001</c:v>
                </c:pt>
                <c:pt idx="456">
                  <c:v>#N/A</c:v>
                </c:pt>
                <c:pt idx="457">
                  <c:v>#N/A</c:v>
                </c:pt>
                <c:pt idx="458">
                  <c:v>15.723000000000001</c:v>
                </c:pt>
                <c:pt idx="459">
                  <c:v>15.707000000000001</c:v>
                </c:pt>
                <c:pt idx="460">
                  <c:v>15.692</c:v>
                </c:pt>
                <c:pt idx="461">
                  <c:v>15.688000000000001</c:v>
                </c:pt>
                <c:pt idx="462">
                  <c:v>15.677999999999997</c:v>
                </c:pt>
                <c:pt idx="463">
                  <c:v>15.652000000000001</c:v>
                </c:pt>
                <c:pt idx="464">
                  <c:v>15.64</c:v>
                </c:pt>
                <c:pt idx="465">
                  <c:v>15.635</c:v>
                </c:pt>
                <c:pt idx="466">
                  <c:v>15.614999999999998</c:v>
                </c:pt>
                <c:pt idx="467">
                  <c:v>15.597000000000001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16.122</c:v>
                </c:pt>
                <c:pt idx="478">
                  <c:v>16.087</c:v>
                </c:pt>
                <c:pt idx="479">
                  <c:v>16.018000000000001</c:v>
                </c:pt>
                <c:pt idx="480">
                  <c:v>15.95</c:v>
                </c:pt>
                <c:pt idx="481">
                  <c:v>15.917999999999999</c:v>
                </c:pt>
                <c:pt idx="482">
                  <c:v>15.862</c:v>
                </c:pt>
                <c:pt idx="483">
                  <c:v>15.811999999999999</c:v>
                </c:pt>
                <c:pt idx="484">
                  <c:v>15.777999999999999</c:v>
                </c:pt>
                <c:pt idx="485">
                  <c:v>15.747</c:v>
                </c:pt>
                <c:pt idx="486">
                  <c:v>15.728</c:v>
                </c:pt>
                <c:pt idx="487">
                  <c:v>15.709999999999997</c:v>
                </c:pt>
                <c:pt idx="488">
                  <c:v>15.683</c:v>
                </c:pt>
                <c:pt idx="489">
                  <c:v>15.663</c:v>
                </c:pt>
                <c:pt idx="490">
                  <c:v>15.65</c:v>
                </c:pt>
                <c:pt idx="491">
                  <c:v>15.641999999999999</c:v>
                </c:pt>
                <c:pt idx="492">
                  <c:v>15.620000000000001</c:v>
                </c:pt>
                <c:pt idx="493">
                  <c:v>15.615</c:v>
                </c:pt>
                <c:pt idx="494">
                  <c:v>15.587999999999999</c:v>
                </c:pt>
                <c:pt idx="495">
                  <c:v>15.582000000000001</c:v>
                </c:pt>
                <c:pt idx="496">
                  <c:v>15.573</c:v>
                </c:pt>
                <c:pt idx="497">
                  <c:v>15.552999999999999</c:v>
                </c:pt>
                <c:pt idx="498">
                  <c:v>15.532</c:v>
                </c:pt>
                <c:pt idx="499">
                  <c:v>15.533000000000001</c:v>
                </c:pt>
                <c:pt idx="500">
                  <c:v>15.519999999999998</c:v>
                </c:pt>
                <c:pt idx="501">
                  <c:v>15.503000000000002</c:v>
                </c:pt>
                <c:pt idx="502">
                  <c:v>15.498000000000001</c:v>
                </c:pt>
                <c:pt idx="503">
                  <c:v>#N/A</c:v>
                </c:pt>
                <c:pt idx="504">
                  <c:v>15.473000000000001</c:v>
                </c:pt>
                <c:pt idx="505">
                  <c:v>15.471999999999998</c:v>
                </c:pt>
                <c:pt idx="506">
                  <c:v>#N/A</c:v>
                </c:pt>
                <c:pt idx="507">
                  <c:v>15.447000000000001</c:v>
                </c:pt>
                <c:pt idx="508">
                  <c:v>15.443</c:v>
                </c:pt>
                <c:pt idx="509">
                  <c:v>15.431999999999999</c:v>
                </c:pt>
                <c:pt idx="510">
                  <c:v>15.417000000000002</c:v>
                </c:pt>
                <c:pt idx="511">
                  <c:v>15.407999999999999</c:v>
                </c:pt>
                <c:pt idx="512">
                  <c:v>15.39</c:v>
                </c:pt>
                <c:pt idx="513">
                  <c:v>#N/A</c:v>
                </c:pt>
                <c:pt idx="514">
                  <c:v>#N/A</c:v>
                </c:pt>
                <c:pt idx="515">
                  <c:v>15.331000000000001</c:v>
                </c:pt>
                <c:pt idx="516">
                  <c:v>15.29</c:v>
                </c:pt>
                <c:pt idx="517">
                  <c:v>15.254999999999999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15.145</c:v>
                </c:pt>
                <c:pt idx="522">
                  <c:v>15.106999999999999</c:v>
                </c:pt>
                <c:pt idx="523">
                  <c:v>15.065</c:v>
                </c:pt>
                <c:pt idx="524">
                  <c:v>15.031000000000001</c:v>
                </c:pt>
                <c:pt idx="525">
                  <c:v>14.995000000000001</c:v>
                </c:pt>
                <c:pt idx="526">
                  <c:v>14.961999999999998</c:v>
                </c:pt>
                <c:pt idx="527">
                  <c:v>14.924999999999999</c:v>
                </c:pt>
                <c:pt idx="528">
                  <c:v>#N/A</c:v>
                </c:pt>
                <c:pt idx="529">
                  <c:v>14.856999999999999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15.184999999999999</c:v>
                </c:pt>
                <c:pt idx="541">
                  <c:v>15.149000000000001</c:v>
                </c:pt>
                <c:pt idx="542">
                  <c:v>15.074999999999999</c:v>
                </c:pt>
                <c:pt idx="543">
                  <c:v>14.965000000000002</c:v>
                </c:pt>
                <c:pt idx="544">
                  <c:v>14.893999999999998</c:v>
                </c:pt>
                <c:pt idx="545">
                  <c:v>14.821000000000002</c:v>
                </c:pt>
                <c:pt idx="546">
                  <c:v>14.722</c:v>
                </c:pt>
                <c:pt idx="547">
                  <c:v>14.678999999999998</c:v>
                </c:pt>
                <c:pt idx="548">
                  <c:v>14.632999999999999</c:v>
                </c:pt>
                <c:pt idx="549">
                  <c:v>14.562000000000001</c:v>
                </c:pt>
                <c:pt idx="550">
                  <c:v>14.504</c:v>
                </c:pt>
                <c:pt idx="551">
                  <c:v>14.470999999999998</c:v>
                </c:pt>
                <c:pt idx="552">
                  <c:v>14.419999999999998</c:v>
                </c:pt>
                <c:pt idx="553">
                  <c:v>14.382000000000001</c:v>
                </c:pt>
                <c:pt idx="554">
                  <c:v>14.343</c:v>
                </c:pt>
                <c:pt idx="555">
                  <c:v>14.292999999999999</c:v>
                </c:pt>
                <c:pt idx="556">
                  <c:v>14.25</c:v>
                </c:pt>
                <c:pt idx="557">
                  <c:v>14.218</c:v>
                </c:pt>
                <c:pt idx="558">
                  <c:v>14.182999999999998</c:v>
                </c:pt>
                <c:pt idx="559">
                  <c:v>14.149999999999999</c:v>
                </c:pt>
                <c:pt idx="560">
                  <c:v>14.114999999999998</c:v>
                </c:pt>
                <c:pt idx="561">
                  <c:v>14.074999999999999</c:v>
                </c:pt>
                <c:pt idx="562">
                  <c:v>14.046999999999999</c:v>
                </c:pt>
                <c:pt idx="563">
                  <c:v>14.016</c:v>
                </c:pt>
                <c:pt idx="564">
                  <c:v>13.969999999999999</c:v>
                </c:pt>
                <c:pt idx="565">
                  <c:v>13.934000000000001</c:v>
                </c:pt>
                <c:pt idx="566">
                  <c:v>13.915000000000003</c:v>
                </c:pt>
                <c:pt idx="567">
                  <c:v>13.869999999999997</c:v>
                </c:pt>
                <c:pt idx="568">
                  <c:v>13.841999999999999</c:v>
                </c:pt>
                <c:pt idx="569">
                  <c:v>13.792999999999999</c:v>
                </c:pt>
                <c:pt idx="570">
                  <c:v>13.757</c:v>
                </c:pt>
                <c:pt idx="571">
                  <c:v>#N/A</c:v>
                </c:pt>
                <c:pt idx="572">
                  <c:v>13.690999999999999</c:v>
                </c:pt>
                <c:pt idx="573">
                  <c:v>13.667000000000002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13.464000000000002</c:v>
                </c:pt>
                <c:pt idx="579">
                  <c:v>13.430000000000001</c:v>
                </c:pt>
                <c:pt idx="580">
                  <c:v>13.375999999999998</c:v>
                </c:pt>
                <c:pt idx="581">
                  <c:v>13.334000000000001</c:v>
                </c:pt>
                <c:pt idx="582">
                  <c:v>13.299999999999997</c:v>
                </c:pt>
                <c:pt idx="583">
                  <c:v>13.254999999999999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13.532</c:v>
                </c:pt>
                <c:pt idx="595">
                  <c:v>13.468000000000002</c:v>
                </c:pt>
                <c:pt idx="596">
                  <c:v>13.362000000000002</c:v>
                </c:pt>
                <c:pt idx="597">
                  <c:v>13.270000000000001</c:v>
                </c:pt>
                <c:pt idx="598">
                  <c:v>13.190999999999999</c:v>
                </c:pt>
                <c:pt idx="599">
                  <c:v>13.112000000000002</c:v>
                </c:pt>
                <c:pt idx="600">
                  <c:v>13.041999999999998</c:v>
                </c:pt>
                <c:pt idx="601">
                  <c:v>12.975999999999999</c:v>
                </c:pt>
                <c:pt idx="602">
                  <c:v>12.917</c:v>
                </c:pt>
                <c:pt idx="603">
                  <c:v>12.855</c:v>
                </c:pt>
                <c:pt idx="604">
                  <c:v>12.805</c:v>
                </c:pt>
                <c:pt idx="605">
                  <c:v>12.75</c:v>
                </c:pt>
                <c:pt idx="606">
                  <c:v>12.684999999999999</c:v>
                </c:pt>
                <c:pt idx="607">
                  <c:v>12.635999999999999</c:v>
                </c:pt>
                <c:pt idx="608">
                  <c:v>12.59</c:v>
                </c:pt>
                <c:pt idx="609">
                  <c:v>12.558</c:v>
                </c:pt>
                <c:pt idx="610">
                  <c:v>#N/A</c:v>
                </c:pt>
                <c:pt idx="611">
                  <c:v>12.457000000000001</c:v>
                </c:pt>
                <c:pt idx="612">
                  <c:v>12.437000000000001</c:v>
                </c:pt>
                <c:pt idx="613">
                  <c:v>#N/A</c:v>
                </c:pt>
                <c:pt idx="614">
                  <c:v>12.330000000000002</c:v>
                </c:pt>
                <c:pt idx="615">
                  <c:v>12.307</c:v>
                </c:pt>
                <c:pt idx="616">
                  <c:v>#N/A</c:v>
                </c:pt>
                <c:pt idx="617">
                  <c:v>12.224</c:v>
                </c:pt>
                <c:pt idx="618">
                  <c:v>12.197000000000001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11.777000000000001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11.379000000000001</c:v>
                </c:pt>
                <c:pt idx="641">
                  <c:v>11.344999999999999</c:v>
                </c:pt>
                <c:pt idx="642">
                  <c:v>11.282</c:v>
                </c:pt>
                <c:pt idx="643">
                  <c:v>11.241999999999997</c:v>
                </c:pt>
                <c:pt idx="644">
                  <c:v>11.211000000000002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11.002000000000001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10.583000000000002</c:v>
                </c:pt>
                <c:pt idx="661">
                  <c:v>10.539000000000001</c:v>
                </c:pt>
                <c:pt idx="662">
                  <c:v>10.477999999999998</c:v>
                </c:pt>
                <c:pt idx="663">
                  <c:v>10.437999999999999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9.9149999999999991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6.129999999999999</c:v>
                </c:pt>
                <c:pt idx="780">
                  <c:v>6.0830000000000002</c:v>
                </c:pt>
                <c:pt idx="781">
                  <c:v>6.0300000000000011</c:v>
                </c:pt>
                <c:pt idx="782">
                  <c:v>5.9749999999999996</c:v>
                </c:pt>
                <c:pt idx="783">
                  <c:v>5.9179999999999993</c:v>
                </c:pt>
                <c:pt idx="784">
                  <c:v>5.8650000000000002</c:v>
                </c:pt>
                <c:pt idx="785">
                  <c:v>5.8159999999999989</c:v>
                </c:pt>
                <c:pt idx="786">
                  <c:v>5.7769999999999992</c:v>
                </c:pt>
                <c:pt idx="787">
                  <c:v>5.745000000000001</c:v>
                </c:pt>
                <c:pt idx="788">
                  <c:v>5.7080000000000002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5.0620000000000012</c:v>
                </c:pt>
                <c:pt idx="812">
                  <c:v>5.0409999999999986</c:v>
                </c:pt>
                <c:pt idx="813">
                  <c:v>4.9720000000000013</c:v>
                </c:pt>
                <c:pt idx="814">
                  <c:v>4.9280000000000008</c:v>
                </c:pt>
                <c:pt idx="815">
                  <c:v>4.9030000000000022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</c:numCache>
            </c:numRef>
          </c:xVal>
          <c:yVal>
            <c:numRef>
              <c:f>RoomA_Night1!$O$2:$O$961</c:f>
              <c:numCache>
                <c:formatCode>General</c:formatCode>
                <c:ptCount val="960"/>
                <c:pt idx="0">
                  <c:v>#N/A</c:v>
                </c:pt>
                <c:pt idx="1">
                  <c:v>#N/A</c:v>
                </c:pt>
                <c:pt idx="2">
                  <c:v>-5.9100000000000286</c:v>
                </c:pt>
                <c:pt idx="3">
                  <c:v>-9.3599999999999817</c:v>
                </c:pt>
                <c:pt idx="4">
                  <c:v>-6.9299999999999962</c:v>
                </c:pt>
                <c:pt idx="5">
                  <c:v>-9.9000000000000021</c:v>
                </c:pt>
                <c:pt idx="6">
                  <c:v>-12.209999999999948</c:v>
                </c:pt>
                <c:pt idx="7">
                  <c:v>-10.29</c:v>
                </c:pt>
                <c:pt idx="8">
                  <c:v>-16.769999999999978</c:v>
                </c:pt>
                <c:pt idx="9">
                  <c:v>-14.880000000000013</c:v>
                </c:pt>
                <c:pt idx="10">
                  <c:v>-7.3350000000000115</c:v>
                </c:pt>
                <c:pt idx="11">
                  <c:v>-4.3500000000000405</c:v>
                </c:pt>
                <c:pt idx="12">
                  <c:v>-1.4100000000000179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-0.22500000000000853</c:v>
                </c:pt>
                <c:pt idx="29">
                  <c:v>-0.29999999999999361</c:v>
                </c:pt>
                <c:pt idx="30">
                  <c:v>-0.77999999999999403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-0.33000000000003027</c:v>
                </c:pt>
                <c:pt idx="36">
                  <c:v>#N/A</c:v>
                </c:pt>
                <c:pt idx="37">
                  <c:v>-0.22500000000000853</c:v>
                </c:pt>
                <c:pt idx="38">
                  <c:v>-0.22500000000000853</c:v>
                </c:pt>
                <c:pt idx="39">
                  <c:v>-0.26999999999995694</c:v>
                </c:pt>
                <c:pt idx="40">
                  <c:v>-0.36000000000001364</c:v>
                </c:pt>
                <c:pt idx="41">
                  <c:v>-0.29999999999999361</c:v>
                </c:pt>
                <c:pt idx="42">
                  <c:v>-0.22500000000000853</c:v>
                </c:pt>
                <c:pt idx="43">
                  <c:v>-0.21000000000004349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-0.2549999999999919</c:v>
                </c:pt>
                <c:pt idx="50">
                  <c:v>-0.33000000000003027</c:v>
                </c:pt>
                <c:pt idx="51">
                  <c:v>-0.27000000000001023</c:v>
                </c:pt>
                <c:pt idx="52">
                  <c:v>-0.44999999999996376</c:v>
                </c:pt>
                <c:pt idx="53">
                  <c:v>-0.49499999999996547</c:v>
                </c:pt>
                <c:pt idx="54">
                  <c:v>#N/A</c:v>
                </c:pt>
                <c:pt idx="55">
                  <c:v>-0.29999999999999361</c:v>
                </c:pt>
                <c:pt idx="56">
                  <c:v>-0.22500000000000853</c:v>
                </c:pt>
                <c:pt idx="57">
                  <c:v>#N/A</c:v>
                </c:pt>
                <c:pt idx="58">
                  <c:v>-0.31500000000001194</c:v>
                </c:pt>
                <c:pt idx="59">
                  <c:v>-0.22500000000000853</c:v>
                </c:pt>
                <c:pt idx="60">
                  <c:v>-0.31500000000001194</c:v>
                </c:pt>
                <c:pt idx="61">
                  <c:v>-0.29999999999999361</c:v>
                </c:pt>
                <c:pt idx="62">
                  <c:v>-0.29999999999999361</c:v>
                </c:pt>
                <c:pt idx="63">
                  <c:v>-0.40499999999996206</c:v>
                </c:pt>
                <c:pt idx="64">
                  <c:v>-0.2549999999999919</c:v>
                </c:pt>
                <c:pt idx="65">
                  <c:v>#N/A</c:v>
                </c:pt>
                <c:pt idx="66">
                  <c:v>-0.2549999999999919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-0.23999999999997357</c:v>
                </c:pt>
                <c:pt idx="77">
                  <c:v>#N/A</c:v>
                </c:pt>
                <c:pt idx="78">
                  <c:v>-0.52500000000000213</c:v>
                </c:pt>
                <c:pt idx="79">
                  <c:v>-0.38999999999999702</c:v>
                </c:pt>
                <c:pt idx="80">
                  <c:v>#N/A</c:v>
                </c:pt>
                <c:pt idx="81">
                  <c:v>-0.22500000000000853</c:v>
                </c:pt>
                <c:pt idx="82">
                  <c:v>#N/A</c:v>
                </c:pt>
                <c:pt idx="83">
                  <c:v>#N/A</c:v>
                </c:pt>
                <c:pt idx="84">
                  <c:v>-0.32999999999997698</c:v>
                </c:pt>
                <c:pt idx="85">
                  <c:v>-0.29999999999999361</c:v>
                </c:pt>
                <c:pt idx="86">
                  <c:v>-0.53999999999996717</c:v>
                </c:pt>
                <c:pt idx="87">
                  <c:v>-0.41999999999998039</c:v>
                </c:pt>
                <c:pt idx="88">
                  <c:v>-0.40500000000001535</c:v>
                </c:pt>
                <c:pt idx="89">
                  <c:v>-0.2549999999999919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-0.31500000000001194</c:v>
                </c:pt>
                <c:pt idx="97">
                  <c:v>-0.29999999999999361</c:v>
                </c:pt>
                <c:pt idx="98">
                  <c:v>#N/A</c:v>
                </c:pt>
                <c:pt idx="99">
                  <c:v>-0.29999999999999361</c:v>
                </c:pt>
                <c:pt idx="100">
                  <c:v>#N/A</c:v>
                </c:pt>
                <c:pt idx="101">
                  <c:v>-0.22500000000000853</c:v>
                </c:pt>
                <c:pt idx="102">
                  <c:v>-0.31500000000001194</c:v>
                </c:pt>
                <c:pt idx="103">
                  <c:v>#N/A</c:v>
                </c:pt>
                <c:pt idx="104">
                  <c:v>-0.28499999999997527</c:v>
                </c:pt>
                <c:pt idx="105">
                  <c:v>#N/A</c:v>
                </c:pt>
                <c:pt idx="106">
                  <c:v>#N/A</c:v>
                </c:pt>
                <c:pt idx="107">
                  <c:v>-0.22500000000000853</c:v>
                </c:pt>
                <c:pt idx="108">
                  <c:v>#N/A</c:v>
                </c:pt>
                <c:pt idx="109">
                  <c:v>-0.37499999999997868</c:v>
                </c:pt>
                <c:pt idx="110">
                  <c:v>-0.43499999999999872</c:v>
                </c:pt>
                <c:pt idx="111">
                  <c:v>-0.43499999999999872</c:v>
                </c:pt>
                <c:pt idx="112">
                  <c:v>-0.2549999999999919</c:v>
                </c:pt>
                <c:pt idx="113">
                  <c:v>#N/A</c:v>
                </c:pt>
                <c:pt idx="114">
                  <c:v>-0.37500000000003197</c:v>
                </c:pt>
                <c:pt idx="115">
                  <c:v>#N/A</c:v>
                </c:pt>
                <c:pt idx="116">
                  <c:v>-0.26999999999995694</c:v>
                </c:pt>
                <c:pt idx="117">
                  <c:v>#N/A</c:v>
                </c:pt>
                <c:pt idx="118">
                  <c:v>#N/A</c:v>
                </c:pt>
                <c:pt idx="119">
                  <c:v>-0.32999999999997698</c:v>
                </c:pt>
                <c:pt idx="120">
                  <c:v>#N/A</c:v>
                </c:pt>
                <c:pt idx="121">
                  <c:v>-0.33000000000003027</c:v>
                </c:pt>
                <c:pt idx="122">
                  <c:v>-0.34499999999999531</c:v>
                </c:pt>
                <c:pt idx="123">
                  <c:v>#N/A</c:v>
                </c:pt>
                <c:pt idx="124">
                  <c:v>-0.36000000000001364</c:v>
                </c:pt>
                <c:pt idx="125">
                  <c:v>-0.37499999999997868</c:v>
                </c:pt>
                <c:pt idx="126">
                  <c:v>-0.26999999999995694</c:v>
                </c:pt>
                <c:pt idx="127">
                  <c:v>-0.22500000000000853</c:v>
                </c:pt>
                <c:pt idx="128">
                  <c:v>#N/A</c:v>
                </c:pt>
                <c:pt idx="129">
                  <c:v>#N/A</c:v>
                </c:pt>
                <c:pt idx="130">
                  <c:v>-0.22500000000000853</c:v>
                </c:pt>
                <c:pt idx="131">
                  <c:v>-0.29999999999999361</c:v>
                </c:pt>
                <c:pt idx="132">
                  <c:v>-0.36000000000001364</c:v>
                </c:pt>
                <c:pt idx="133">
                  <c:v>-0.45000000000001705</c:v>
                </c:pt>
                <c:pt idx="134">
                  <c:v>-0.20999999999999019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-0.31500000000001194</c:v>
                </c:pt>
                <c:pt idx="139">
                  <c:v>-0.3000000000000469</c:v>
                </c:pt>
                <c:pt idx="140">
                  <c:v>-0.21000000000004349</c:v>
                </c:pt>
                <c:pt idx="141">
                  <c:v>-0.41999999999998039</c:v>
                </c:pt>
                <c:pt idx="142">
                  <c:v>#N/A</c:v>
                </c:pt>
                <c:pt idx="143">
                  <c:v>-0.29999999999999361</c:v>
                </c:pt>
                <c:pt idx="144">
                  <c:v>-0.46499999999998209</c:v>
                </c:pt>
                <c:pt idx="145">
                  <c:v>-0.33000000000003027</c:v>
                </c:pt>
                <c:pt idx="146">
                  <c:v>-0.41999999999998039</c:v>
                </c:pt>
                <c:pt idx="147">
                  <c:v>-0.29999999999999361</c:v>
                </c:pt>
                <c:pt idx="148">
                  <c:v>#N/A</c:v>
                </c:pt>
                <c:pt idx="149">
                  <c:v>-0.29999999999999361</c:v>
                </c:pt>
                <c:pt idx="150">
                  <c:v>#N/A</c:v>
                </c:pt>
                <c:pt idx="151">
                  <c:v>-0.23999999999997357</c:v>
                </c:pt>
                <c:pt idx="152">
                  <c:v>-0.36000000000001364</c:v>
                </c:pt>
                <c:pt idx="153">
                  <c:v>#N/A</c:v>
                </c:pt>
                <c:pt idx="154">
                  <c:v>-0.40499999999996206</c:v>
                </c:pt>
                <c:pt idx="155">
                  <c:v>-0.33000000000003027</c:v>
                </c:pt>
                <c:pt idx="156">
                  <c:v>-0.34499999999999531</c:v>
                </c:pt>
                <c:pt idx="157">
                  <c:v>-0.45000000000001705</c:v>
                </c:pt>
                <c:pt idx="158">
                  <c:v>-0.22500000000000853</c:v>
                </c:pt>
                <c:pt idx="159">
                  <c:v>-0.2549999999999919</c:v>
                </c:pt>
                <c:pt idx="160">
                  <c:v>-0.32999999999997698</c:v>
                </c:pt>
                <c:pt idx="161">
                  <c:v>-0.23999999999997357</c:v>
                </c:pt>
                <c:pt idx="162">
                  <c:v>-0.27000000000001023</c:v>
                </c:pt>
                <c:pt idx="163">
                  <c:v>-0.22500000000000853</c:v>
                </c:pt>
                <c:pt idx="164">
                  <c:v>#N/A</c:v>
                </c:pt>
                <c:pt idx="165">
                  <c:v>-0.20999999999999019</c:v>
                </c:pt>
                <c:pt idx="166">
                  <c:v>-0.33000000000003027</c:v>
                </c:pt>
                <c:pt idx="167">
                  <c:v>-0.29999999999999361</c:v>
                </c:pt>
                <c:pt idx="168">
                  <c:v>-0.37500000000003197</c:v>
                </c:pt>
                <c:pt idx="169">
                  <c:v>-0.38999999999999702</c:v>
                </c:pt>
                <c:pt idx="170">
                  <c:v>#N/A</c:v>
                </c:pt>
                <c:pt idx="171">
                  <c:v>-0.29999999999999361</c:v>
                </c:pt>
                <c:pt idx="172">
                  <c:v>-0.32999999999997698</c:v>
                </c:pt>
                <c:pt idx="173">
                  <c:v>#N/A</c:v>
                </c:pt>
                <c:pt idx="174">
                  <c:v>-0.27000000000001023</c:v>
                </c:pt>
                <c:pt idx="175">
                  <c:v>#N/A</c:v>
                </c:pt>
                <c:pt idx="176">
                  <c:v>-0.22500000000000853</c:v>
                </c:pt>
                <c:pt idx="177">
                  <c:v>-0.22500000000000853</c:v>
                </c:pt>
                <c:pt idx="178">
                  <c:v>-0.29999999999999361</c:v>
                </c:pt>
                <c:pt idx="179">
                  <c:v>-0.5099999999999838</c:v>
                </c:pt>
                <c:pt idx="180">
                  <c:v>-0.29999999999999361</c:v>
                </c:pt>
                <c:pt idx="181">
                  <c:v>-0.43499999999999872</c:v>
                </c:pt>
                <c:pt idx="182">
                  <c:v>-0.37500000000003197</c:v>
                </c:pt>
                <c:pt idx="183">
                  <c:v>#N/A</c:v>
                </c:pt>
                <c:pt idx="184">
                  <c:v>-0.29999999999999361</c:v>
                </c:pt>
                <c:pt idx="185">
                  <c:v>-0.22500000000000853</c:v>
                </c:pt>
                <c:pt idx="186">
                  <c:v>-0.29999999999999361</c:v>
                </c:pt>
                <c:pt idx="187">
                  <c:v>-0.36000000000001364</c:v>
                </c:pt>
                <c:pt idx="188">
                  <c:v>#N/A</c:v>
                </c:pt>
                <c:pt idx="189">
                  <c:v>#N/A</c:v>
                </c:pt>
                <c:pt idx="190">
                  <c:v>-0.2549999999999919</c:v>
                </c:pt>
                <c:pt idx="191">
                  <c:v>#N/A</c:v>
                </c:pt>
                <c:pt idx="192">
                  <c:v>-0.29999999999999361</c:v>
                </c:pt>
                <c:pt idx="193">
                  <c:v>#N/A</c:v>
                </c:pt>
                <c:pt idx="194">
                  <c:v>#N/A</c:v>
                </c:pt>
                <c:pt idx="195">
                  <c:v>-0.29999999999999361</c:v>
                </c:pt>
                <c:pt idx="196">
                  <c:v>-0.22500000000000853</c:v>
                </c:pt>
                <c:pt idx="197">
                  <c:v>-0.40499999999996206</c:v>
                </c:pt>
                <c:pt idx="198">
                  <c:v>-0.49500000000001876</c:v>
                </c:pt>
                <c:pt idx="199">
                  <c:v>#N/A</c:v>
                </c:pt>
                <c:pt idx="200">
                  <c:v>-0.40499999999996206</c:v>
                </c:pt>
                <c:pt idx="201">
                  <c:v>-0.37500000000003197</c:v>
                </c:pt>
                <c:pt idx="202">
                  <c:v>#N/A</c:v>
                </c:pt>
                <c:pt idx="203">
                  <c:v>-0.40500000000001535</c:v>
                </c:pt>
                <c:pt idx="204">
                  <c:v>-0.29999999999999361</c:v>
                </c:pt>
                <c:pt idx="205">
                  <c:v>#N/A</c:v>
                </c:pt>
                <c:pt idx="206">
                  <c:v>-0.44999999999996376</c:v>
                </c:pt>
                <c:pt idx="207">
                  <c:v>-0.29999999999999361</c:v>
                </c:pt>
                <c:pt idx="208">
                  <c:v>-0.31500000000001194</c:v>
                </c:pt>
                <c:pt idx="209">
                  <c:v>-0.45000000000001705</c:v>
                </c:pt>
                <c:pt idx="210">
                  <c:v>-0.37500000000003197</c:v>
                </c:pt>
                <c:pt idx="211">
                  <c:v>-0.49500000000001876</c:v>
                </c:pt>
                <c:pt idx="212">
                  <c:v>-0.43499999999999872</c:v>
                </c:pt>
                <c:pt idx="213">
                  <c:v>-0.27000000000001023</c:v>
                </c:pt>
                <c:pt idx="214">
                  <c:v>-0.26999999999995694</c:v>
                </c:pt>
                <c:pt idx="215">
                  <c:v>-0.22500000000000853</c:v>
                </c:pt>
                <c:pt idx="216">
                  <c:v>#N/A</c:v>
                </c:pt>
                <c:pt idx="217">
                  <c:v>-0.32999999999997698</c:v>
                </c:pt>
                <c:pt idx="218">
                  <c:v>-0.34499999999999531</c:v>
                </c:pt>
                <c:pt idx="219">
                  <c:v>-0.32999999999997698</c:v>
                </c:pt>
                <c:pt idx="220">
                  <c:v>-0.40499999999996206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-0.36000000000001364</c:v>
                </c:pt>
                <c:pt idx="226">
                  <c:v>-0.24000000000002686</c:v>
                </c:pt>
                <c:pt idx="227">
                  <c:v>-0.21000000000004349</c:v>
                </c:pt>
                <c:pt idx="228">
                  <c:v>-0.27000000000001023</c:v>
                </c:pt>
                <c:pt idx="229">
                  <c:v>-0.34499999999999531</c:v>
                </c:pt>
                <c:pt idx="230">
                  <c:v>-0.36000000000001364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-0.37499999999997868</c:v>
                </c:pt>
                <c:pt idx="240">
                  <c:v>-1.545000000000023</c:v>
                </c:pt>
                <c:pt idx="241">
                  <c:v>-2.3250000000000171</c:v>
                </c:pt>
                <c:pt idx="242">
                  <c:v>-2.6999999999999957</c:v>
                </c:pt>
                <c:pt idx="243">
                  <c:v>-2.5499999999999723</c:v>
                </c:pt>
                <c:pt idx="244">
                  <c:v>-2.2499999999999787</c:v>
                </c:pt>
                <c:pt idx="245">
                  <c:v>-1.8299999999999983</c:v>
                </c:pt>
                <c:pt idx="246">
                  <c:v>-1.2900000000000311</c:v>
                </c:pt>
                <c:pt idx="247">
                  <c:v>-1.2600000000000477</c:v>
                </c:pt>
                <c:pt idx="248">
                  <c:v>-1.0050000000000026</c:v>
                </c:pt>
                <c:pt idx="249">
                  <c:v>-0.92999999999996419</c:v>
                </c:pt>
                <c:pt idx="250">
                  <c:v>-1.0050000000000026</c:v>
                </c:pt>
                <c:pt idx="251">
                  <c:v>-0.91499999999999915</c:v>
                </c:pt>
                <c:pt idx="252">
                  <c:v>-1.0200000000000209</c:v>
                </c:pt>
                <c:pt idx="253">
                  <c:v>-0.76500000000002899</c:v>
                </c:pt>
                <c:pt idx="254">
                  <c:v>-0.89999999999998082</c:v>
                </c:pt>
                <c:pt idx="255">
                  <c:v>-0.77999999999999403</c:v>
                </c:pt>
                <c:pt idx="256">
                  <c:v>-0.5549999999999855</c:v>
                </c:pt>
                <c:pt idx="257">
                  <c:v>-0.70500000000000895</c:v>
                </c:pt>
                <c:pt idx="258">
                  <c:v>-0.48000000000000043</c:v>
                </c:pt>
                <c:pt idx="259">
                  <c:v>-0.40499999999996206</c:v>
                </c:pt>
                <c:pt idx="260">
                  <c:v>-0.52500000000000213</c:v>
                </c:pt>
                <c:pt idx="261">
                  <c:v>-0.32999999999997698</c:v>
                </c:pt>
                <c:pt idx="262">
                  <c:v>-0.52500000000000213</c:v>
                </c:pt>
                <c:pt idx="263">
                  <c:v>-0.61500000000000554</c:v>
                </c:pt>
                <c:pt idx="264">
                  <c:v>-0.49500000000001876</c:v>
                </c:pt>
                <c:pt idx="265">
                  <c:v>-0.59999999999998721</c:v>
                </c:pt>
                <c:pt idx="266">
                  <c:v>-0.38999999999999702</c:v>
                </c:pt>
                <c:pt idx="267">
                  <c:v>-0.33000000000003027</c:v>
                </c:pt>
                <c:pt idx="268">
                  <c:v>-0.32999999999997698</c:v>
                </c:pt>
                <c:pt idx="269">
                  <c:v>-0.42000000000003368</c:v>
                </c:pt>
                <c:pt idx="270">
                  <c:v>-0.37500000000003197</c:v>
                </c:pt>
                <c:pt idx="271">
                  <c:v>-0.2549999999999919</c:v>
                </c:pt>
                <c:pt idx="272">
                  <c:v>-0.29999999999999361</c:v>
                </c:pt>
                <c:pt idx="273">
                  <c:v>-0.2549999999999919</c:v>
                </c:pt>
                <c:pt idx="274">
                  <c:v>-0.32999999999997698</c:v>
                </c:pt>
                <c:pt idx="275">
                  <c:v>-0.46499999999998209</c:v>
                </c:pt>
                <c:pt idx="276">
                  <c:v>-0.41999999999998039</c:v>
                </c:pt>
                <c:pt idx="277">
                  <c:v>-0.49499999999996547</c:v>
                </c:pt>
                <c:pt idx="278">
                  <c:v>-0.40500000000001535</c:v>
                </c:pt>
                <c:pt idx="279">
                  <c:v>-0.48000000000000043</c:v>
                </c:pt>
                <c:pt idx="280">
                  <c:v>-0.58500000000002217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-0.72000000000002728</c:v>
                </c:pt>
                <c:pt idx="290">
                  <c:v>-2.0100000000000051</c:v>
                </c:pt>
                <c:pt idx="291">
                  <c:v>-2.8199999999999825</c:v>
                </c:pt>
                <c:pt idx="292">
                  <c:v>-2.6849999999999774</c:v>
                </c:pt>
                <c:pt idx="293">
                  <c:v>-2.4450000000000038</c:v>
                </c:pt>
                <c:pt idx="294">
                  <c:v>-1.9949999999999868</c:v>
                </c:pt>
                <c:pt idx="295">
                  <c:v>-1.6800000000000281</c:v>
                </c:pt>
                <c:pt idx="296">
                  <c:v>-1.5150000000000396</c:v>
                </c:pt>
                <c:pt idx="297">
                  <c:v>-1.4099999999999646</c:v>
                </c:pt>
                <c:pt idx="298">
                  <c:v>-1.095000000000006</c:v>
                </c:pt>
                <c:pt idx="299">
                  <c:v>-1.1999999999999744</c:v>
                </c:pt>
                <c:pt idx="300">
                  <c:v>-1.0050000000000026</c:v>
                </c:pt>
                <c:pt idx="301">
                  <c:v>-0.82500000000004903</c:v>
                </c:pt>
                <c:pt idx="302">
                  <c:v>-0.8099999999999774</c:v>
                </c:pt>
                <c:pt idx="303">
                  <c:v>-0.57000000000000384</c:v>
                </c:pt>
                <c:pt idx="304">
                  <c:v>-0.62999999999997058</c:v>
                </c:pt>
                <c:pt idx="305">
                  <c:v>-0.64499999999998892</c:v>
                </c:pt>
                <c:pt idx="306">
                  <c:v>-0.68999999999999062</c:v>
                </c:pt>
                <c:pt idx="307">
                  <c:v>-0.5550000000000388</c:v>
                </c:pt>
                <c:pt idx="308">
                  <c:v>-0.59999999999998721</c:v>
                </c:pt>
                <c:pt idx="309">
                  <c:v>-0.59999999999998721</c:v>
                </c:pt>
                <c:pt idx="310">
                  <c:v>-0.52500000000000213</c:v>
                </c:pt>
                <c:pt idx="311">
                  <c:v>-0.49499999999996547</c:v>
                </c:pt>
                <c:pt idx="312">
                  <c:v>-0.3000000000000469</c:v>
                </c:pt>
                <c:pt idx="313">
                  <c:v>#N/A</c:v>
                </c:pt>
                <c:pt idx="314">
                  <c:v>-0.36000000000001364</c:v>
                </c:pt>
                <c:pt idx="315">
                  <c:v>-0.42000000000003368</c:v>
                </c:pt>
                <c:pt idx="316">
                  <c:v>-0.44999999999996376</c:v>
                </c:pt>
                <c:pt idx="317">
                  <c:v>-0.29999999999999361</c:v>
                </c:pt>
                <c:pt idx="318">
                  <c:v>#N/A</c:v>
                </c:pt>
                <c:pt idx="319">
                  <c:v>-0.2549999999999919</c:v>
                </c:pt>
                <c:pt idx="320">
                  <c:v>-0.34499999999999531</c:v>
                </c:pt>
                <c:pt idx="321">
                  <c:v>-0.64499999999998892</c:v>
                </c:pt>
                <c:pt idx="322">
                  <c:v>-0.67499999999997229</c:v>
                </c:pt>
                <c:pt idx="323">
                  <c:v>-0.44999999999996376</c:v>
                </c:pt>
                <c:pt idx="324">
                  <c:v>-0.48000000000000043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-1.2000000000000277</c:v>
                </c:pt>
                <c:pt idx="336">
                  <c:v>-2.1749999999999936</c:v>
                </c:pt>
                <c:pt idx="337">
                  <c:v>-2.8800000000000026</c:v>
                </c:pt>
                <c:pt idx="338">
                  <c:v>-2.6700000000000124</c:v>
                </c:pt>
                <c:pt idx="339">
                  <c:v>-2.5499999999999723</c:v>
                </c:pt>
                <c:pt idx="340">
                  <c:v>-2.3250000000000171</c:v>
                </c:pt>
                <c:pt idx="341">
                  <c:v>-2.1450000000000102</c:v>
                </c:pt>
                <c:pt idx="342">
                  <c:v>-1.9200000000000017</c:v>
                </c:pt>
                <c:pt idx="343">
                  <c:v>-1.3949999999999996</c:v>
                </c:pt>
                <c:pt idx="344">
                  <c:v>-1.2449999999999761</c:v>
                </c:pt>
                <c:pt idx="345">
                  <c:v>-1.0050000000000026</c:v>
                </c:pt>
                <c:pt idx="346">
                  <c:v>-0.90000000000003411</c:v>
                </c:pt>
                <c:pt idx="347">
                  <c:v>-0.97500000000001918</c:v>
                </c:pt>
                <c:pt idx="348">
                  <c:v>-0.73499999999999233</c:v>
                </c:pt>
                <c:pt idx="349">
                  <c:v>-0.91499999999999915</c:v>
                </c:pt>
                <c:pt idx="350">
                  <c:v>-0.62999999999997058</c:v>
                </c:pt>
                <c:pt idx="351">
                  <c:v>-0.58499999999996888</c:v>
                </c:pt>
                <c:pt idx="352">
                  <c:v>-0.52500000000000213</c:v>
                </c:pt>
                <c:pt idx="353">
                  <c:v>-0.29999999999999361</c:v>
                </c:pt>
                <c:pt idx="354">
                  <c:v>-0.34499999999999531</c:v>
                </c:pt>
                <c:pt idx="355">
                  <c:v>#N/A</c:v>
                </c:pt>
                <c:pt idx="356">
                  <c:v>-0.42000000000003368</c:v>
                </c:pt>
                <c:pt idx="357">
                  <c:v>-0.58500000000002217</c:v>
                </c:pt>
                <c:pt idx="358">
                  <c:v>-0.75000000000001066</c:v>
                </c:pt>
                <c:pt idx="359">
                  <c:v>-0.67499999999997229</c:v>
                </c:pt>
                <c:pt idx="360">
                  <c:v>-0.5549999999999855</c:v>
                </c:pt>
                <c:pt idx="361">
                  <c:v>-0.29999999999999361</c:v>
                </c:pt>
                <c:pt idx="362">
                  <c:v>-0.29999999999999361</c:v>
                </c:pt>
                <c:pt idx="363">
                  <c:v>-0.33000000000003027</c:v>
                </c:pt>
                <c:pt idx="364">
                  <c:v>-0.29999999999999361</c:v>
                </c:pt>
                <c:pt idx="365">
                  <c:v>-0.29999999999999361</c:v>
                </c:pt>
                <c:pt idx="366">
                  <c:v>-0.22500000000000853</c:v>
                </c:pt>
                <c:pt idx="367">
                  <c:v>-0.38999999999999702</c:v>
                </c:pt>
                <c:pt idx="368">
                  <c:v>-0.31500000000001194</c:v>
                </c:pt>
                <c:pt idx="369">
                  <c:v>-0.45000000000001705</c:v>
                </c:pt>
                <c:pt idx="370">
                  <c:v>-0.52500000000000213</c:v>
                </c:pt>
                <c:pt idx="371">
                  <c:v>-0.48000000000000043</c:v>
                </c:pt>
                <c:pt idx="372">
                  <c:v>-0.5099999999999838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-1.0800000000000409</c:v>
                </c:pt>
                <c:pt idx="383">
                  <c:v>-1.9799999999999685</c:v>
                </c:pt>
                <c:pt idx="384">
                  <c:v>-2.594999999999974</c:v>
                </c:pt>
                <c:pt idx="385">
                  <c:v>-3.030000000000026</c:v>
                </c:pt>
                <c:pt idx="386">
                  <c:v>-2.8799999999999493</c:v>
                </c:pt>
                <c:pt idx="387">
                  <c:v>-2.6700000000000124</c:v>
                </c:pt>
                <c:pt idx="388">
                  <c:v>-2.1749999999999936</c:v>
                </c:pt>
                <c:pt idx="389">
                  <c:v>-1.8900000000000183</c:v>
                </c:pt>
                <c:pt idx="390">
                  <c:v>-1.6200000000000081</c:v>
                </c:pt>
                <c:pt idx="391">
                  <c:v>-1.5000000000000213</c:v>
                </c:pt>
                <c:pt idx="392">
                  <c:v>-1.3499999999999979</c:v>
                </c:pt>
                <c:pt idx="393">
                  <c:v>-1.1249999999999893</c:v>
                </c:pt>
                <c:pt idx="394">
                  <c:v>-0.93000000000001748</c:v>
                </c:pt>
                <c:pt idx="395">
                  <c:v>-0.77999999999999403</c:v>
                </c:pt>
                <c:pt idx="396">
                  <c:v>-0.77999999999999403</c:v>
                </c:pt>
                <c:pt idx="397">
                  <c:v>-0.62999999999997058</c:v>
                </c:pt>
                <c:pt idx="398">
                  <c:v>-0.49500000000001876</c:v>
                </c:pt>
                <c:pt idx="399">
                  <c:v>-0.38999999999999702</c:v>
                </c:pt>
                <c:pt idx="400">
                  <c:v>-0.24000000000002686</c:v>
                </c:pt>
                <c:pt idx="401">
                  <c:v>-0.37500000000003197</c:v>
                </c:pt>
                <c:pt idx="402">
                  <c:v>-0.5549999999999855</c:v>
                </c:pt>
                <c:pt idx="403">
                  <c:v>-0.2549999999999919</c:v>
                </c:pt>
                <c:pt idx="404">
                  <c:v>-0.40500000000001535</c:v>
                </c:pt>
                <c:pt idx="405">
                  <c:v>-0.32999999999997698</c:v>
                </c:pt>
                <c:pt idx="406">
                  <c:v>-0.29999999999999361</c:v>
                </c:pt>
                <c:pt idx="407">
                  <c:v>-0.63000000000002387</c:v>
                </c:pt>
                <c:pt idx="408">
                  <c:v>-0.49499999999996547</c:v>
                </c:pt>
                <c:pt idx="409">
                  <c:v>-0.37500000000003197</c:v>
                </c:pt>
                <c:pt idx="410">
                  <c:v>-0.31500000000001194</c:v>
                </c:pt>
                <c:pt idx="411">
                  <c:v>-0.34499999999999531</c:v>
                </c:pt>
                <c:pt idx="412">
                  <c:v>-0.51000000000003709</c:v>
                </c:pt>
                <c:pt idx="413">
                  <c:v>-0.67499999999997229</c:v>
                </c:pt>
                <c:pt idx="414">
                  <c:v>-0.62999999999997058</c:v>
                </c:pt>
                <c:pt idx="415">
                  <c:v>-0.44999999999996376</c:v>
                </c:pt>
                <c:pt idx="416">
                  <c:v>-0.52500000000000213</c:v>
                </c:pt>
                <c:pt idx="417">
                  <c:v>-0.41999999999998039</c:v>
                </c:pt>
                <c:pt idx="418">
                  <c:v>-0.42000000000003368</c:v>
                </c:pt>
                <c:pt idx="419">
                  <c:v>-0.64500000000004221</c:v>
                </c:pt>
                <c:pt idx="420">
                  <c:v>-0.46499999999998209</c:v>
                </c:pt>
                <c:pt idx="421">
                  <c:v>-0.37500000000003197</c:v>
                </c:pt>
                <c:pt idx="422">
                  <c:v>-0.32999999999997698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-1.1850000000000094</c:v>
                </c:pt>
                <c:pt idx="432">
                  <c:v>-2.4600000000000222</c:v>
                </c:pt>
                <c:pt idx="433">
                  <c:v>-2.9250000000000043</c:v>
                </c:pt>
                <c:pt idx="434">
                  <c:v>-2.5950000000000273</c:v>
                </c:pt>
                <c:pt idx="435">
                  <c:v>-2.7749999999999808</c:v>
                </c:pt>
                <c:pt idx="436">
                  <c:v>-2.5199999999999889</c:v>
                </c:pt>
                <c:pt idx="437">
                  <c:v>-2.3700000000000188</c:v>
                </c:pt>
                <c:pt idx="438">
                  <c:v>-2.2499999999999787</c:v>
                </c:pt>
                <c:pt idx="439">
                  <c:v>-1.8450000000000166</c:v>
                </c:pt>
                <c:pt idx="440">
                  <c:v>-1.6049999999999898</c:v>
                </c:pt>
                <c:pt idx="441">
                  <c:v>-1.3349999999999795</c:v>
                </c:pt>
                <c:pt idx="442">
                  <c:v>-1.0799999999999876</c:v>
                </c:pt>
                <c:pt idx="443">
                  <c:v>-0.94499999999998252</c:v>
                </c:pt>
                <c:pt idx="444">
                  <c:v>-0.72000000000002728</c:v>
                </c:pt>
                <c:pt idx="445">
                  <c:v>-0.42000000000003368</c:v>
                </c:pt>
                <c:pt idx="446">
                  <c:v>-0.33000000000003027</c:v>
                </c:pt>
                <c:pt idx="447">
                  <c:v>-0.37500000000003197</c:v>
                </c:pt>
                <c:pt idx="448">
                  <c:v>-0.48000000000000043</c:v>
                </c:pt>
                <c:pt idx="449">
                  <c:v>-0.59999999999998721</c:v>
                </c:pt>
                <c:pt idx="450">
                  <c:v>-0.64499999999998892</c:v>
                </c:pt>
                <c:pt idx="451">
                  <c:v>-0.5099999999999838</c:v>
                </c:pt>
                <c:pt idx="452">
                  <c:v>-0.53999999999996717</c:v>
                </c:pt>
                <c:pt idx="453">
                  <c:v>-0.62999999999997058</c:v>
                </c:pt>
                <c:pt idx="454">
                  <c:v>-0.41999999999998039</c:v>
                </c:pt>
                <c:pt idx="455">
                  <c:v>-0.34499999999999531</c:v>
                </c:pt>
                <c:pt idx="456">
                  <c:v>#N/A</c:v>
                </c:pt>
                <c:pt idx="457">
                  <c:v>#N/A</c:v>
                </c:pt>
                <c:pt idx="458">
                  <c:v>-0.37500000000003197</c:v>
                </c:pt>
                <c:pt idx="459">
                  <c:v>-0.2549999999999919</c:v>
                </c:pt>
                <c:pt idx="460">
                  <c:v>-0.37500000000003197</c:v>
                </c:pt>
                <c:pt idx="461">
                  <c:v>-0.52500000000000213</c:v>
                </c:pt>
                <c:pt idx="462">
                  <c:v>-0.48000000000000043</c:v>
                </c:pt>
                <c:pt idx="463">
                  <c:v>-0.49500000000001876</c:v>
                </c:pt>
                <c:pt idx="464">
                  <c:v>-0.64499999999998892</c:v>
                </c:pt>
                <c:pt idx="465">
                  <c:v>-0.52500000000000213</c:v>
                </c:pt>
                <c:pt idx="466">
                  <c:v>-0.49500000000001876</c:v>
                </c:pt>
                <c:pt idx="467">
                  <c:v>-0.37499999999997868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-2.1299999999999919</c:v>
                </c:pt>
                <c:pt idx="478">
                  <c:v>-3.0299999999999727</c:v>
                </c:pt>
                <c:pt idx="479">
                  <c:v>-2.7600000000000158</c:v>
                </c:pt>
                <c:pt idx="480">
                  <c:v>-3.0749999999999744</c:v>
                </c:pt>
                <c:pt idx="481">
                  <c:v>-2.7899999999999991</c:v>
                </c:pt>
                <c:pt idx="482">
                  <c:v>-2.2800000000000153</c:v>
                </c:pt>
                <c:pt idx="483">
                  <c:v>-2.264999999999997</c:v>
                </c:pt>
                <c:pt idx="484">
                  <c:v>-1.7100000000000115</c:v>
                </c:pt>
                <c:pt idx="485">
                  <c:v>-1.2300000000000111</c:v>
                </c:pt>
                <c:pt idx="486">
                  <c:v>-1.1249999999999893</c:v>
                </c:pt>
                <c:pt idx="487">
                  <c:v>-0.96000000000000085</c:v>
                </c:pt>
                <c:pt idx="488">
                  <c:v>-0.86999999999999744</c:v>
                </c:pt>
                <c:pt idx="489">
                  <c:v>-0.71999999999997399</c:v>
                </c:pt>
                <c:pt idx="490">
                  <c:v>-0.64499999999998892</c:v>
                </c:pt>
                <c:pt idx="491">
                  <c:v>-0.41999999999998039</c:v>
                </c:pt>
                <c:pt idx="492">
                  <c:v>-0.63000000000002387</c:v>
                </c:pt>
                <c:pt idx="493">
                  <c:v>-0.59999999999998721</c:v>
                </c:pt>
                <c:pt idx="494">
                  <c:v>-0.40500000000001535</c:v>
                </c:pt>
                <c:pt idx="495">
                  <c:v>-0.63000000000002387</c:v>
                </c:pt>
                <c:pt idx="496">
                  <c:v>-0.53999999999996717</c:v>
                </c:pt>
                <c:pt idx="497">
                  <c:v>-0.43499999999999872</c:v>
                </c:pt>
                <c:pt idx="498">
                  <c:v>-0.49500000000001876</c:v>
                </c:pt>
                <c:pt idx="499">
                  <c:v>-0.44999999999996376</c:v>
                </c:pt>
                <c:pt idx="500">
                  <c:v>-0.20999999999999019</c:v>
                </c:pt>
                <c:pt idx="501">
                  <c:v>-0.34499999999999531</c:v>
                </c:pt>
                <c:pt idx="502">
                  <c:v>-0.40499999999996206</c:v>
                </c:pt>
                <c:pt idx="503">
                  <c:v>#N/A</c:v>
                </c:pt>
                <c:pt idx="504">
                  <c:v>-0.38999999999999702</c:v>
                </c:pt>
                <c:pt idx="505">
                  <c:v>-0.34499999999999531</c:v>
                </c:pt>
                <c:pt idx="506">
                  <c:v>#N/A</c:v>
                </c:pt>
                <c:pt idx="507">
                  <c:v>-0.29999999999999361</c:v>
                </c:pt>
                <c:pt idx="508">
                  <c:v>-0.22500000000000853</c:v>
                </c:pt>
                <c:pt idx="509">
                  <c:v>-0.28500000000002856</c:v>
                </c:pt>
                <c:pt idx="510">
                  <c:v>-0.49499999999996547</c:v>
                </c:pt>
                <c:pt idx="511">
                  <c:v>-0.37499999999997868</c:v>
                </c:pt>
                <c:pt idx="512">
                  <c:v>-0.20999999999999019</c:v>
                </c:pt>
                <c:pt idx="513">
                  <c:v>#N/A</c:v>
                </c:pt>
                <c:pt idx="514">
                  <c:v>#N/A</c:v>
                </c:pt>
                <c:pt idx="515">
                  <c:v>-0.28500000000002856</c:v>
                </c:pt>
                <c:pt idx="516">
                  <c:v>-0.27000000000001023</c:v>
                </c:pt>
                <c:pt idx="517">
                  <c:v>-0.39000000000005031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-0.20999999999999019</c:v>
                </c:pt>
                <c:pt idx="522">
                  <c:v>-0.43499999999999872</c:v>
                </c:pt>
                <c:pt idx="523">
                  <c:v>-0.5549999999999855</c:v>
                </c:pt>
                <c:pt idx="524">
                  <c:v>-0.48000000000000043</c:v>
                </c:pt>
                <c:pt idx="525">
                  <c:v>-0.38999999999999702</c:v>
                </c:pt>
                <c:pt idx="526">
                  <c:v>-0.45000000000001705</c:v>
                </c:pt>
                <c:pt idx="527">
                  <c:v>-0.37500000000003197</c:v>
                </c:pt>
                <c:pt idx="528">
                  <c:v>#N/A</c:v>
                </c:pt>
                <c:pt idx="529">
                  <c:v>-0.32999999999997698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-0.37500000000003197</c:v>
                </c:pt>
                <c:pt idx="541">
                  <c:v>-2.3550000000000004</c:v>
                </c:pt>
                <c:pt idx="542">
                  <c:v>-2.6700000000000124</c:v>
                </c:pt>
                <c:pt idx="543">
                  <c:v>-3.2099999999999795</c:v>
                </c:pt>
                <c:pt idx="544">
                  <c:v>-3.5999999999999766</c:v>
                </c:pt>
                <c:pt idx="545">
                  <c:v>-2.5950000000000273</c:v>
                </c:pt>
                <c:pt idx="546">
                  <c:v>-2.204999999999977</c:v>
                </c:pt>
                <c:pt idx="547">
                  <c:v>-2.1900000000000119</c:v>
                </c:pt>
                <c:pt idx="548">
                  <c:v>-1.5750000000000064</c:v>
                </c:pt>
                <c:pt idx="549">
                  <c:v>-1.4100000000000179</c:v>
                </c:pt>
                <c:pt idx="550">
                  <c:v>-1.5000000000000213</c:v>
                </c:pt>
                <c:pt idx="551">
                  <c:v>-1.0050000000000026</c:v>
                </c:pt>
                <c:pt idx="552">
                  <c:v>-0.70500000000000895</c:v>
                </c:pt>
                <c:pt idx="553">
                  <c:v>-0.97499999999996589</c:v>
                </c:pt>
                <c:pt idx="554">
                  <c:v>-0.85499999999997911</c:v>
                </c:pt>
                <c:pt idx="555">
                  <c:v>-0.75000000000001066</c:v>
                </c:pt>
                <c:pt idx="556">
                  <c:v>-0.70500000000000895</c:v>
                </c:pt>
                <c:pt idx="557">
                  <c:v>-0.45000000000001705</c:v>
                </c:pt>
                <c:pt idx="558">
                  <c:v>-0.31500000000001194</c:v>
                </c:pt>
                <c:pt idx="559">
                  <c:v>-0.45000000000001705</c:v>
                </c:pt>
                <c:pt idx="560">
                  <c:v>-0.34499999999999531</c:v>
                </c:pt>
                <c:pt idx="561">
                  <c:v>-0.29999999999999361</c:v>
                </c:pt>
                <c:pt idx="562">
                  <c:v>-0.48000000000000043</c:v>
                </c:pt>
                <c:pt idx="563">
                  <c:v>-0.41999999999998039</c:v>
                </c:pt>
                <c:pt idx="564">
                  <c:v>-0.26999999999995694</c:v>
                </c:pt>
                <c:pt idx="565">
                  <c:v>-0.49500000000001876</c:v>
                </c:pt>
                <c:pt idx="566">
                  <c:v>-0.22500000000000853</c:v>
                </c:pt>
                <c:pt idx="567">
                  <c:v>-0.40500000000001535</c:v>
                </c:pt>
                <c:pt idx="568">
                  <c:v>-0.67500000000002558</c:v>
                </c:pt>
                <c:pt idx="569">
                  <c:v>-0.41999999999998039</c:v>
                </c:pt>
                <c:pt idx="570">
                  <c:v>-0.5549999999999855</c:v>
                </c:pt>
                <c:pt idx="571">
                  <c:v>#N/A</c:v>
                </c:pt>
                <c:pt idx="572">
                  <c:v>-0.22500000000000853</c:v>
                </c:pt>
                <c:pt idx="573">
                  <c:v>-0.2549999999999919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-0.37500000000003197</c:v>
                </c:pt>
                <c:pt idx="579">
                  <c:v>-0.52499999999994884</c:v>
                </c:pt>
                <c:pt idx="580">
                  <c:v>-0.25500000000004519</c:v>
                </c:pt>
                <c:pt idx="581">
                  <c:v>-0.42000000000003368</c:v>
                </c:pt>
                <c:pt idx="582">
                  <c:v>-0.26999999999995694</c:v>
                </c:pt>
                <c:pt idx="583">
                  <c:v>-0.22500000000000853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-1.1999999999999744</c:v>
                </c:pt>
                <c:pt idx="595">
                  <c:v>-2.1299999999999919</c:v>
                </c:pt>
                <c:pt idx="596">
                  <c:v>-2.9099999999999859</c:v>
                </c:pt>
                <c:pt idx="597">
                  <c:v>-3.1500000000000128</c:v>
                </c:pt>
                <c:pt idx="598">
                  <c:v>-2.5950000000000273</c:v>
                </c:pt>
                <c:pt idx="599">
                  <c:v>-2.2050000000000303</c:v>
                </c:pt>
                <c:pt idx="600">
                  <c:v>-1.9200000000000017</c:v>
                </c:pt>
                <c:pt idx="601">
                  <c:v>-1.6499999999999915</c:v>
                </c:pt>
                <c:pt idx="602">
                  <c:v>-1.3499999999999979</c:v>
                </c:pt>
                <c:pt idx="603">
                  <c:v>-1.1999999999999744</c:v>
                </c:pt>
                <c:pt idx="604">
                  <c:v>-1.2750000000000128</c:v>
                </c:pt>
                <c:pt idx="605">
                  <c:v>-1.0800000000000409</c:v>
                </c:pt>
                <c:pt idx="606">
                  <c:v>-1.0349999999999859</c:v>
                </c:pt>
                <c:pt idx="607">
                  <c:v>-0.67500000000002558</c:v>
                </c:pt>
                <c:pt idx="608">
                  <c:v>-0.44999999999996376</c:v>
                </c:pt>
                <c:pt idx="609">
                  <c:v>-0.49499999999996547</c:v>
                </c:pt>
                <c:pt idx="610">
                  <c:v>#N/A</c:v>
                </c:pt>
                <c:pt idx="611">
                  <c:v>-0.38999999999999702</c:v>
                </c:pt>
                <c:pt idx="612">
                  <c:v>-0.48000000000000043</c:v>
                </c:pt>
                <c:pt idx="613">
                  <c:v>#N/A</c:v>
                </c:pt>
                <c:pt idx="614">
                  <c:v>-0.22500000000000853</c:v>
                </c:pt>
                <c:pt idx="615">
                  <c:v>-0.22500000000000853</c:v>
                </c:pt>
                <c:pt idx="616">
                  <c:v>#N/A</c:v>
                </c:pt>
                <c:pt idx="617">
                  <c:v>-0.22500000000000853</c:v>
                </c:pt>
                <c:pt idx="618">
                  <c:v>-0.48000000000000043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-0.28500000000002856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-0.29999999999999361</c:v>
                </c:pt>
                <c:pt idx="641">
                  <c:v>-0.40500000000001535</c:v>
                </c:pt>
                <c:pt idx="642">
                  <c:v>-0.20999999999999019</c:v>
                </c:pt>
                <c:pt idx="643">
                  <c:v>-0.48000000000000043</c:v>
                </c:pt>
                <c:pt idx="644">
                  <c:v>-0.20999999999999019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-0.20999999999999019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-0.45000000000001705</c:v>
                </c:pt>
                <c:pt idx="661">
                  <c:v>-0.48000000000000043</c:v>
                </c:pt>
                <c:pt idx="662">
                  <c:v>-0.24000000000002686</c:v>
                </c:pt>
                <c:pt idx="663">
                  <c:v>-0.28500000000002856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-0.20999999999999019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-1.0349999999999859</c:v>
                </c:pt>
                <c:pt idx="780">
                  <c:v>-1.095000000000006</c:v>
                </c:pt>
                <c:pt idx="781">
                  <c:v>-1.1850000000000094</c:v>
                </c:pt>
                <c:pt idx="782">
                  <c:v>-1.2750000000000128</c:v>
                </c:pt>
                <c:pt idx="783">
                  <c:v>-1.2000000000000277</c:v>
                </c:pt>
                <c:pt idx="784">
                  <c:v>-0.97500000000001918</c:v>
                </c:pt>
                <c:pt idx="785">
                  <c:v>-0.59999999999998721</c:v>
                </c:pt>
                <c:pt idx="786">
                  <c:v>-0.34499999999999531</c:v>
                </c:pt>
                <c:pt idx="787">
                  <c:v>-0.34499999999999531</c:v>
                </c:pt>
                <c:pt idx="788">
                  <c:v>-0.20999999999999019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-0.31499999999995865</c:v>
                </c:pt>
                <c:pt idx="812">
                  <c:v>-0.48000000000000043</c:v>
                </c:pt>
                <c:pt idx="813">
                  <c:v>-0.77999999999999403</c:v>
                </c:pt>
                <c:pt idx="814">
                  <c:v>-1.0500000000000043</c:v>
                </c:pt>
                <c:pt idx="815">
                  <c:v>-0.52500000000000213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45-4C43-A40F-CABB995C5AD8}"/>
            </c:ext>
          </c:extLst>
        </c:ser>
        <c:ser>
          <c:idx val="1"/>
          <c:order val="1"/>
          <c:tx>
            <c:v>Room B (pending)</c:v>
          </c:tx>
          <c:spPr>
            <a:ln>
              <a:noFill/>
              <a:prstDash val="solid"/>
            </a:ln>
          </c:spPr>
          <c:marker>
            <c:symbol val="diamond"/>
            <c:size val="4"/>
            <c:spPr>
              <a:ln>
                <a:prstDash val="solid"/>
              </a:ln>
            </c:spPr>
          </c:marker>
          <c:xVal>
            <c:numRef>
              <c:f>RoomB_Pending!$P$2:$P$2001</c:f>
              <c:numCache>
                <c:formatCode>General</c:formatCode>
                <c:ptCount val="2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</c:numCache>
            </c:numRef>
          </c:xVal>
          <c:yVal>
            <c:numRef>
              <c:f>RoomB_Pending!$Q$2:$Q$2001</c:f>
              <c:numCache>
                <c:formatCode>General</c:formatCode>
                <c:ptCount val="2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45-4C43-A40F-CABB995C5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7"/>
          <c:min val="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Indoor − outdoor </a:t>
                </a:r>
                <a:r>
                  <a:rPr lang="el-GR"/>
                  <a:t>Δ</a:t>
                </a:r>
                <a:r>
                  <a:rPr lang="en-CA"/>
                  <a:t>T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dT/dt (°C/h)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t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Forecast error by model (mean of 5 folds)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ML_Forecast!$B$1:$D$1</c:f>
              <c:strCache>
                <c:ptCount val="3"/>
                <c:pt idx="0">
                  <c:v>Persistence (°C)</c:v>
                </c:pt>
                <c:pt idx="1">
                  <c:v>Ridge regression (°C)</c:v>
                </c:pt>
                <c:pt idx="2">
                  <c:v>Gradient-boosted trees (°C)</c:v>
                </c:pt>
              </c:strCache>
            </c:strRef>
          </c:cat>
          <c:val>
            <c:numRef>
              <c:f>ML_Forecast!$B$8:$D$8</c:f>
              <c:numCache>
                <c:formatCode>0.000</c:formatCode>
                <c:ptCount val="3"/>
                <c:pt idx="0">
                  <c:v>0.18760000000000004</c:v>
                </c:pt>
                <c:pt idx="1">
                  <c:v>0.27300000000000002</c:v>
                </c:pt>
                <c:pt idx="2">
                  <c:v>0.17880000000000001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4-42FD-9F7D-59CB4BFB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MAE (°C)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Temperature rise per furnace cycle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Furnace_Cycles!$E$1</c:f>
              <c:strCache>
                <c:ptCount val="1"/>
                <c:pt idx="0">
                  <c:v>Rise (°C)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Furnace_Cycles!$A$2:$A$10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Furnace_Cycles!$E$2:$E$10</c:f>
              <c:numCache>
                <c:formatCode>0.00</c:formatCode>
                <c:ptCount val="9"/>
                <c:pt idx="0">
                  <c:v>0.35499999999999998</c:v>
                </c:pt>
                <c:pt idx="1">
                  <c:v>0.313</c:v>
                </c:pt>
                <c:pt idx="2">
                  <c:v>0.376</c:v>
                </c:pt>
                <c:pt idx="3">
                  <c:v>0.42399999999999999</c:v>
                </c:pt>
                <c:pt idx="4">
                  <c:v>0.42399999999999999</c:v>
                </c:pt>
                <c:pt idx="5">
                  <c:v>0.439</c:v>
                </c:pt>
                <c:pt idx="6">
                  <c:v>0.49299999999999999</c:v>
                </c:pt>
                <c:pt idx="7">
                  <c:v>0.51700000000000002</c:v>
                </c:pt>
                <c:pt idx="8">
                  <c:v>0.93600000000000005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1-47C6-8896-6A0B5EE91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Cycle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Rise (°C)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86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2</xdr:row>
      <xdr:rowOff>0</xdr:rowOff>
    </xdr:from>
    <xdr:ext cx="57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25</xdr:row>
      <xdr:rowOff>0</xdr:rowOff>
    </xdr:from>
    <xdr:ext cx="576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25</xdr:row>
      <xdr:rowOff>0</xdr:rowOff>
    </xdr:from>
    <xdr:ext cx="576000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oomA" displayName="tblRoomA" ref="A1:L961">
  <autoFilter ref="A1:L961" xr:uid="{00000000-0009-0000-0100-000001000000}"/>
  <tableColumns count="12">
    <tableColumn id="1" xr3:uid="{00000000-0010-0000-0000-000001000000}" name="Time"/>
    <tableColumn id="2" xr3:uid="{00000000-0010-0000-0000-000002000000}" name="Temp (°C)"/>
    <tableColumn id="3" xr3:uid="{00000000-0010-0000-0000-000003000000}" name="RH (%)"/>
    <tableColumn id="4" xr3:uid="{00000000-0010-0000-0000-000004000000}" name="Pressure (hPa)"/>
    <tableColumn id="5" xr3:uid="{00000000-0010-0000-0000-000005000000}" name="Outdoor (°C)"/>
    <tableColumn id="6" xr3:uid="{00000000-0010-0000-0000-000006000000}" name="Solar (W/m²)"/>
    <tableColumn id="7" xr3:uid="{00000000-0010-0000-0000-000007000000}" name="Dew point (°C)"/>
    <tableColumn id="8" xr3:uid="{00000000-0010-0000-0000-000008000000}" name="dT/dt (°C/h)"/>
    <tableColumn id="9" xr3:uid="{00000000-0010-0000-0000-000009000000}" name="Indoor − outdoor ΔT (°C)"/>
    <tableColumn id="10" xr3:uid="{00000000-0010-0000-0000-00000A000000}" name="Phase"/>
    <tableColumn id="11" xr3:uid="{00000000-0010-0000-0000-00000B000000}" name="ΔT, cooling only"/>
    <tableColumn id="12" xr3:uid="{00000000-0010-0000-0000-00000C000000}" name="dT/dt, cooling onl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Weather" displayName="tblWeather" ref="A1:D19">
  <autoFilter ref="A1:D19" xr:uid="{00000000-0009-0000-0100-000002000000}"/>
  <tableColumns count="4">
    <tableColumn id="1" xr3:uid="{00000000-0010-0000-0100-000001000000}" name="Hour"/>
    <tableColumn id="2" xr3:uid="{00000000-0010-0000-0100-000002000000}" name="Outdoor temp (°C)"/>
    <tableColumn id="3" xr3:uid="{00000000-0010-0000-0100-000003000000}" name="Solar (W/m²)"/>
    <tableColumn id="4" xr3:uid="{00000000-0010-0000-0100-000004000000}" name="Wind (km/h)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ycles" displayName="tblCycles" ref="A1:G10">
  <autoFilter ref="A1:G10" xr:uid="{00000000-0009-0000-0100-000003000000}"/>
  <tableColumns count="7">
    <tableColumn id="1" xr3:uid="{00000000-0010-0000-0200-000001000000}" name="Cycle"/>
    <tableColumn id="2" xr3:uid="{00000000-0010-0000-0200-000002000000}" name="Start"/>
    <tableColumn id="3" xr3:uid="{00000000-0010-0000-0200-000003000000}" name="End"/>
    <tableColumn id="4" xr3:uid="{00000000-0010-0000-0200-000004000000}" name="Duration (min)"/>
    <tableColumn id="5" xr3:uid="{00000000-0010-0000-0200-000005000000}" name="Rise (°C)"/>
    <tableColumn id="6" xr3:uid="{00000000-0010-0000-0200-000006000000}" name="Heating rate (°C/h)"/>
    <tableColumn id="7" xr3:uid="{00000000-0010-0000-0200-000007000000}" name="Minutes since previous star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showGridLines="0" tabSelected="1" workbookViewId="0"/>
  </sheetViews>
  <sheetFormatPr defaultRowHeight="14.4"/>
  <cols>
    <col min="1" max="1" width="3" customWidth="1"/>
    <col min="2" max="2" width="34" customWidth="1"/>
    <col min="3" max="3" width="70" customWidth="1"/>
  </cols>
  <sheetData>
    <row r="2" spans="2:3" ht="27">
      <c r="B2" s="1" t="s">
        <v>0</v>
      </c>
    </row>
    <row r="3" spans="2:3" ht="15">
      <c r="B3" s="2" t="s">
        <v>1</v>
      </c>
    </row>
    <row r="5" spans="2:3" ht="19.2">
      <c r="B5" s="3" t="s">
        <v>2</v>
      </c>
    </row>
    <row r="6" spans="2:3" ht="31.95" customHeight="1">
      <c r="B6" s="37" t="s">
        <v>3</v>
      </c>
      <c r="C6" s="38"/>
    </row>
    <row r="8" spans="2:3" ht="19.2">
      <c r="B8" s="3" t="s">
        <v>4</v>
      </c>
    </row>
    <row r="9" spans="2:3" ht="15">
      <c r="B9" s="4" t="s">
        <v>5</v>
      </c>
      <c r="C9" s="5" t="s">
        <v>6</v>
      </c>
    </row>
    <row r="10" spans="2:3" ht="15">
      <c r="B10" s="4" t="s">
        <v>7</v>
      </c>
      <c r="C10" s="6" t="s">
        <v>8</v>
      </c>
    </row>
    <row r="12" spans="2:3" ht="19.2">
      <c r="B12" s="3" t="s">
        <v>9</v>
      </c>
    </row>
    <row r="13" spans="2:3" ht="15">
      <c r="B13" s="4" t="s">
        <v>10</v>
      </c>
      <c r="C13" s="7" t="s">
        <v>11</v>
      </c>
    </row>
    <row r="14" spans="2:3" ht="15">
      <c r="B14" s="4" t="s">
        <v>12</v>
      </c>
      <c r="C14" s="7" t="s">
        <v>13</v>
      </c>
    </row>
    <row r="15" spans="2:3" ht="15">
      <c r="B15" s="4" t="s">
        <v>14</v>
      </c>
      <c r="C15" s="7" t="s">
        <v>15</v>
      </c>
    </row>
    <row r="16" spans="2:3" ht="15">
      <c r="B16" s="4" t="s">
        <v>16</v>
      </c>
      <c r="C16" s="7" t="s">
        <v>17</v>
      </c>
    </row>
    <row r="17" spans="2:3" ht="15">
      <c r="B17" s="4" t="s">
        <v>18</v>
      </c>
      <c r="C17" s="7" t="s">
        <v>19</v>
      </c>
    </row>
    <row r="18" spans="2:3" ht="15">
      <c r="B18" s="4" t="s">
        <v>20</v>
      </c>
      <c r="C18" s="7" t="s">
        <v>21</v>
      </c>
    </row>
    <row r="19" spans="2:3" ht="15">
      <c r="B19" s="4" t="s">
        <v>22</v>
      </c>
      <c r="C19" s="7" t="s">
        <v>23</v>
      </c>
    </row>
    <row r="20" spans="2:3" ht="15">
      <c r="B20" s="4" t="s">
        <v>24</v>
      </c>
      <c r="C20" s="7" t="s">
        <v>25</v>
      </c>
    </row>
    <row r="22" spans="2:3" ht="19.2">
      <c r="B22" s="3" t="s">
        <v>26</v>
      </c>
    </row>
    <row r="23" spans="2:3" ht="15">
      <c r="B23" s="4" t="s">
        <v>27</v>
      </c>
      <c r="C23" s="8">
        <f>Summary!C5</f>
        <v>18.948906249999954</v>
      </c>
    </row>
    <row r="24" spans="2:3" ht="15">
      <c r="B24" s="4" t="s">
        <v>28</v>
      </c>
      <c r="C24" s="9">
        <f>COUNT(Furnace_Cycles!E2:E10)</f>
        <v>9</v>
      </c>
    </row>
    <row r="25" spans="2:3" ht="15">
      <c r="B25" s="4" t="s">
        <v>29</v>
      </c>
      <c r="C25" s="8">
        <f>Furnace_Cycles!E12</f>
        <v>0.47522222222222221</v>
      </c>
    </row>
    <row r="26" spans="2:3" ht="15">
      <c r="B26" s="4" t="s">
        <v>30</v>
      </c>
      <c r="C26" s="10">
        <f>ML_Forecast!D10</f>
        <v>4.6908315565032166E-2</v>
      </c>
    </row>
    <row r="27" spans="2:3" ht="15">
      <c r="B27" s="4" t="s">
        <v>31</v>
      </c>
      <c r="C27" s="11">
        <f>Summary!C13</f>
        <v>15.864177232848736</v>
      </c>
    </row>
    <row r="28" spans="2:3" ht="15">
      <c r="B28" s="4" t="s">
        <v>32</v>
      </c>
      <c r="C28" s="12" t="str">
        <f>Summary!E12</f>
        <v>PENDING</v>
      </c>
    </row>
  </sheetData>
  <mergeCells count="1">
    <mergeCell ref="B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A5F"/>
    <pageSetUpPr fitToPage="1"/>
  </sheetPr>
  <dimension ref="A2:E21"/>
  <sheetViews>
    <sheetView showGridLines="0" workbookViewId="0"/>
  </sheetViews>
  <sheetFormatPr defaultRowHeight="14.4"/>
  <cols>
    <col min="1" max="1" width="3" customWidth="1"/>
    <col min="2" max="2" width="44" customWidth="1"/>
    <col min="3" max="4" width="20" customWidth="1"/>
    <col min="5" max="5" width="18" customWidth="1"/>
  </cols>
  <sheetData>
    <row r="2" spans="1:5" ht="27">
      <c r="B2" s="1" t="s">
        <v>33</v>
      </c>
    </row>
    <row r="4" spans="1:5" ht="30" customHeight="1">
      <c r="A4" s="13"/>
      <c r="B4" s="14" t="s">
        <v>34</v>
      </c>
      <c r="C4" s="14" t="s">
        <v>35</v>
      </c>
      <c r="D4" s="14" t="s">
        <v>36</v>
      </c>
      <c r="E4" s="14" t="s">
        <v>37</v>
      </c>
    </row>
    <row r="5" spans="1:5" ht="15">
      <c r="B5" s="4" t="s">
        <v>38</v>
      </c>
      <c r="C5" s="15">
        <f>AVERAGE(RoomA_Night1!B2:B961)</f>
        <v>18.948906249999954</v>
      </c>
      <c r="D5" s="16" t="str">
        <f>IF(COUNT(RoomB_Pending!B2:B2001)=0,"PENDING",IFERROR(AVERAGE(RoomB_Pending!B2:B2001),"PENDING"))</f>
        <v>PENDING</v>
      </c>
      <c r="E5" s="16" t="str">
        <f>IFERROR(D5-C5,"PENDING")</f>
        <v>PENDING</v>
      </c>
    </row>
    <row r="6" spans="1:5" ht="15">
      <c r="B6" s="4" t="s">
        <v>39</v>
      </c>
      <c r="C6" s="15">
        <f>MIN(RoomA_Night1!B2:B961)</f>
        <v>18.3</v>
      </c>
      <c r="D6" s="16" t="str">
        <f>IF(COUNT(RoomB_Pending!B2:B2001)=0,"PENDING",IFERROR(MIN(RoomB_Pending!B2:B2001),"PENDING"))</f>
        <v>PENDING</v>
      </c>
      <c r="E6" s="16" t="str">
        <f>IFERROR(D6-C6,"PENDING")</f>
        <v>PENDING</v>
      </c>
    </row>
    <row r="7" spans="1:5" ht="15">
      <c r="B7" s="4" t="s">
        <v>40</v>
      </c>
      <c r="C7" s="15">
        <f>MAX(RoomA_Night1!B2:B961)</f>
        <v>21.035</v>
      </c>
      <c r="D7" s="16" t="str">
        <f>IF(COUNT(RoomB_Pending!B2:B2001)=0,"PENDING",IFERROR(MAX(RoomB_Pending!B2:B2001),"PENDING"))</f>
        <v>PENDING</v>
      </c>
      <c r="E7" s="16" t="str">
        <f>IFERROR(D7-C7,"PENDING")</f>
        <v>PENDING</v>
      </c>
    </row>
    <row r="8" spans="1:5" ht="15">
      <c r="B8" s="4" t="s">
        <v>41</v>
      </c>
      <c r="C8" s="17">
        <f>_xlfn.STDEV.S(RoomA_Night1!B2:B961)</f>
        <v>0.46304338207507512</v>
      </c>
      <c r="D8" s="18" t="str">
        <f>IF(COUNT(RoomB_Pending!B2:B2001)=0,"PENDING",IFERROR(_xlfn.STDEV.S(RoomB_Pending!B2:B2001),"PENDING"))</f>
        <v>PENDING</v>
      </c>
      <c r="E8" s="12" t="str">
        <f>IFERROR(D8/C8,"PENDING")</f>
        <v>PENDING</v>
      </c>
    </row>
    <row r="9" spans="1:5" ht="15">
      <c r="B9" s="4" t="s">
        <v>42</v>
      </c>
      <c r="C9" s="19">
        <f>AVERAGE(RoomA_Night1!C2:C961)</f>
        <v>53.048056250000023</v>
      </c>
      <c r="D9" s="20" t="str">
        <f>IF(COUNT(RoomB_Pending!B2:B2001)=0,"PENDING",IFERROR(AVERAGE(RoomB_Pending!C2:C2001),"PENDING"))</f>
        <v>PENDING</v>
      </c>
      <c r="E9" s="20" t="str">
        <f>IFERROR(D9-C9,"PENDING")</f>
        <v>PENDING</v>
      </c>
    </row>
    <row r="10" spans="1:5" ht="15">
      <c r="B10" s="4" t="s">
        <v>43</v>
      </c>
      <c r="C10" s="15">
        <f>AVERAGE(RoomA_Night1!G2:G961)</f>
        <v>9.1564281022712048</v>
      </c>
      <c r="D10" s="16" t="str">
        <f>IF(COUNT(RoomB_Pending!B2:B2001)=0,"PENDING",IFERROR(AVERAGE(RoomB_Pending!G2:G2001),"PENDING"))</f>
        <v>PENDING</v>
      </c>
      <c r="E10" s="16" t="str">
        <f>IFERROR(D10-C10,"PENDING")</f>
        <v>PENDING</v>
      </c>
    </row>
    <row r="11" spans="1:5" ht="15">
      <c r="B11" s="4" t="s">
        <v>44</v>
      </c>
      <c r="C11" s="15">
        <f>AVERAGE(RoomA_Night1!I2:I961)</f>
        <v>11.954588541666661</v>
      </c>
      <c r="D11" s="16" t="str">
        <f>IF(COUNT(RoomB_Pending!B2:B2001)=0,"PENDING",IFERROR(AVERAGE(RoomB_Pending!I2:I2001),"PENDING"))</f>
        <v>PENDING</v>
      </c>
      <c r="E11" s="16" t="str">
        <f>IFERROR(D11-C11,"PENDING")</f>
        <v>PENDING</v>
      </c>
    </row>
    <row r="12" spans="1:5" ht="15">
      <c r="B12" s="4" t="s">
        <v>45</v>
      </c>
      <c r="C12" s="21">
        <f>-SUMPRODUCT(RoomA_Night1!K2:K961,RoomA_Night1!L2:L961)/SUMSQ(RoomA_Night1!K2:K961)</f>
        <v>6.3035100107768374E-2</v>
      </c>
      <c r="D12" s="22" t="str">
        <f>IF(COUNT(RoomB_Pending!B2:B2001)=0,"PENDING",IFERROR(-SUMPRODUCT(RoomB_Pending!K2:K2001,RoomB_Pending!L2:L2001)/SUMSQ(RoomB_Pending!K2:K2001),"PENDING"))</f>
        <v>PENDING</v>
      </c>
      <c r="E12" s="12" t="str">
        <f>IFERROR(D12/C12,"PENDING")</f>
        <v>PENDING</v>
      </c>
    </row>
    <row r="13" spans="1:5" ht="15">
      <c r="B13" s="4" t="s">
        <v>46</v>
      </c>
      <c r="C13" s="19">
        <f>SUMSQ(RoomA_Night1!K2:K961)/-SUMPRODUCT(RoomA_Night1!K2:K961,RoomA_Night1!L2:L961)</f>
        <v>15.864177232848736</v>
      </c>
      <c r="D13" s="20" t="str">
        <f>IF(COUNT(RoomB_Pending!B2:B2001)=0,"PENDING",IFERROR(SUMSQ(RoomB_Pending!K2:K2001)/-SUMPRODUCT(RoomB_Pending!K2:K2001,RoomB_Pending!L2:L2001),"PENDING"))</f>
        <v>PENDING</v>
      </c>
      <c r="E13" s="12" t="str">
        <f>IFERROR(D13/C13,"PENDING")</f>
        <v>PENDING</v>
      </c>
    </row>
    <row r="14" spans="1:5" ht="15">
      <c r="B14" s="4" t="s">
        <v>47</v>
      </c>
      <c r="C14" s="19">
        <f>COUNTIF(RoomA_Night1!J2:J961,"Heating")/COUNTA(RoomA_Night1!B2:B961)*100</f>
        <v>10.208333333333334</v>
      </c>
      <c r="D14" s="20" t="str">
        <f>IF(COUNT(RoomB_Pending!B2:B2001)=0,"PENDING",IFERROR(COUNTIF(RoomB_Pending!J2:J2001,"Heating")/COUNTA(RoomB_Pending!B2:B2001)*100,"PENDING"))</f>
        <v>PENDING</v>
      </c>
      <c r="E14" s="20" t="str">
        <f>IFERROR(D14-C14,"PENDING")</f>
        <v>PENDING</v>
      </c>
    </row>
    <row r="15" spans="1:5" ht="15">
      <c r="B15" s="4" t="s">
        <v>48</v>
      </c>
      <c r="C15" s="23">
        <f>COUNT(RoomA_Night1!B2:B961)</f>
        <v>960</v>
      </c>
      <c r="D15" s="24" t="str">
        <f>IF(COUNT(RoomB_Pending!B2:B2001)=0,"PENDING",IFERROR(COUNT(RoomB_Pending!B2:B2001),"PENDING"))</f>
        <v>PENDING</v>
      </c>
      <c r="E15" s="12"/>
    </row>
    <row r="17" spans="2:5" ht="19.2">
      <c r="B17" s="3" t="s">
        <v>49</v>
      </c>
    </row>
    <row r="18" spans="2:5" ht="30" customHeight="1">
      <c r="B18" s="39" t="s">
        <v>50</v>
      </c>
      <c r="C18" s="38"/>
      <c r="D18" s="38"/>
      <c r="E18" s="38"/>
    </row>
    <row r="19" spans="2:5" ht="30" customHeight="1">
      <c r="B19" s="39" t="s">
        <v>51</v>
      </c>
      <c r="C19" s="38"/>
      <c r="D19" s="38"/>
      <c r="E19" s="38"/>
    </row>
    <row r="20" spans="2:5" ht="30" customHeight="1">
      <c r="B20" s="39" t="s">
        <v>52</v>
      </c>
      <c r="C20" s="38"/>
      <c r="D20" s="38"/>
      <c r="E20" s="38"/>
    </row>
    <row r="21" spans="2:5" ht="30" customHeight="1">
      <c r="B21" s="39" t="s">
        <v>53</v>
      </c>
      <c r="C21" s="38"/>
      <c r="D21" s="38"/>
      <c r="E21" s="38"/>
    </row>
  </sheetData>
  <mergeCells count="4">
    <mergeCell ref="B21:E21"/>
    <mergeCell ref="B18:E18"/>
    <mergeCell ref="B19:E19"/>
    <mergeCell ref="B20:E20"/>
  </mergeCells>
  <pageMargins left="0.75" right="0.75" top="1" bottom="1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A5F"/>
    <pageSetUpPr fitToPage="1"/>
  </sheetPr>
  <dimension ref="B1"/>
  <sheetViews>
    <sheetView showGridLines="0" workbookViewId="0"/>
  </sheetViews>
  <sheetFormatPr defaultRowHeight="14.4"/>
  <sheetData>
    <row r="1" spans="2:2" ht="27">
      <c r="B1" s="1" t="s">
        <v>24</v>
      </c>
    </row>
  </sheetData>
  <pageMargins left="0.75" right="0.75" top="1" bottom="1" header="0.5" footer="0.5"/>
  <pageSetup scale="5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A9D8F"/>
  </sheetPr>
  <dimension ref="A1:O96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18" customWidth="1"/>
    <col min="2" max="2" width="11" customWidth="1"/>
    <col min="3" max="3" width="10" customWidth="1"/>
    <col min="4" max="4" width="13" customWidth="1"/>
    <col min="5" max="6" width="12" customWidth="1"/>
    <col min="7" max="7" width="13" customWidth="1"/>
    <col min="8" max="8" width="12" customWidth="1"/>
    <col min="9" max="9" width="15" customWidth="1"/>
    <col min="10" max="10" width="11" customWidth="1"/>
    <col min="11" max="12" width="14" customWidth="1"/>
    <col min="14" max="15" width="13" hidden="1" customWidth="1"/>
  </cols>
  <sheetData>
    <row r="1" spans="1:15" ht="30" customHeight="1">
      <c r="A1" s="14" t="s">
        <v>54</v>
      </c>
      <c r="B1" s="14" t="s">
        <v>55</v>
      </c>
      <c r="C1" s="14" t="s">
        <v>56</v>
      </c>
      <c r="D1" s="14" t="s">
        <v>57</v>
      </c>
      <c r="E1" s="14" t="s">
        <v>58</v>
      </c>
      <c r="F1" s="14" t="s">
        <v>59</v>
      </c>
      <c r="G1" s="14" t="s">
        <v>60</v>
      </c>
      <c r="H1" s="14" t="s">
        <v>61</v>
      </c>
      <c r="I1" s="14" t="s">
        <v>62</v>
      </c>
      <c r="J1" s="14" t="s">
        <v>63</v>
      </c>
      <c r="K1" s="14" t="s">
        <v>64</v>
      </c>
      <c r="L1" s="14" t="s">
        <v>65</v>
      </c>
      <c r="N1" t="s">
        <v>66</v>
      </c>
      <c r="O1" t="s">
        <v>67</v>
      </c>
    </row>
    <row r="2" spans="1:15">
      <c r="A2" s="25">
        <v>46298.977083333331</v>
      </c>
      <c r="B2">
        <v>21.035</v>
      </c>
      <c r="C2">
        <v>40.125</v>
      </c>
      <c r="D2">
        <v>943.27</v>
      </c>
      <c r="E2">
        <v>6.1550000000000002</v>
      </c>
      <c r="F2">
        <v>0</v>
      </c>
      <c r="G2" s="26">
        <f t="shared" ref="G2:G65" si="0">243.04*(LN(C2/100)+17.625*B2/(243.04+B2))/(17.625-LN(C2/100)-17.625*B2/(243.04+B2))</f>
        <v>6.9611065094738773</v>
      </c>
      <c r="H2" s="26"/>
      <c r="I2" s="26">
        <f t="shared" ref="I2:I65" si="1">B2-E2</f>
        <v>14.879999999999999</v>
      </c>
      <c r="J2" t="str">
        <f t="shared" ref="J2:J65" si="2">IF(H2="","",IF(H2&gt;0.6,"Heating",IF(H2&lt;-0.2,"Cooling","Steady")))</f>
        <v/>
      </c>
      <c r="K2" s="26" t="str">
        <f t="shared" ref="K2:K65" si="3">IF(J2="Cooling",I2,"")</f>
        <v/>
      </c>
      <c r="L2" s="26" t="str">
        <f t="shared" ref="L2:L65" si="4">IF(J2="Cooling",H2,"")</f>
        <v/>
      </c>
      <c r="N2" t="e">
        <f t="shared" ref="N2:N65" si="5">IF(K2="",NA(),K2)</f>
        <v>#N/A</v>
      </c>
      <c r="O2" t="e">
        <f t="shared" ref="O2:O65" si="6">IF(L2="",NA(),L2)</f>
        <v>#N/A</v>
      </c>
    </row>
    <row r="3" spans="1:15">
      <c r="A3" s="25">
        <v>46298.977777777778</v>
      </c>
      <c r="B3">
        <v>20.907</v>
      </c>
      <c r="C3">
        <v>40.018000000000001</v>
      </c>
      <c r="D3">
        <v>943.30200000000002</v>
      </c>
      <c r="E3">
        <v>6.12</v>
      </c>
      <c r="F3">
        <v>0</v>
      </c>
      <c r="G3" s="26">
        <f t="shared" si="0"/>
        <v>6.8074647464210054</v>
      </c>
      <c r="H3" s="26"/>
      <c r="I3" s="26">
        <f t="shared" si="1"/>
        <v>14.786999999999999</v>
      </c>
      <c r="J3" t="str">
        <f t="shared" si="2"/>
        <v/>
      </c>
      <c r="K3" s="26" t="str">
        <f t="shared" si="3"/>
        <v/>
      </c>
      <c r="L3" s="26" t="str">
        <f t="shared" si="4"/>
        <v/>
      </c>
      <c r="N3" t="e">
        <f t="shared" si="5"/>
        <v>#N/A</v>
      </c>
      <c r="O3" t="e">
        <f t="shared" si="6"/>
        <v>#N/A</v>
      </c>
    </row>
    <row r="4" spans="1:15">
      <c r="A4" s="25">
        <v>46298.978472222218</v>
      </c>
      <c r="B4">
        <v>20.997</v>
      </c>
      <c r="C4">
        <v>39.951999999999998</v>
      </c>
      <c r="D4">
        <v>943.28300000000002</v>
      </c>
      <c r="E4">
        <v>6.085</v>
      </c>
      <c r="F4">
        <v>0</v>
      </c>
      <c r="G4" s="26">
        <f t="shared" si="0"/>
        <v>6.8640374836345002</v>
      </c>
      <c r="H4" s="26">
        <f t="shared" ref="H4:H67" si="7">(B6-B2)/4*60</f>
        <v>-5.9100000000000286</v>
      </c>
      <c r="I4" s="26">
        <f t="shared" si="1"/>
        <v>14.911999999999999</v>
      </c>
      <c r="J4" t="str">
        <f t="shared" si="2"/>
        <v>Cooling</v>
      </c>
      <c r="K4" s="26">
        <f t="shared" si="3"/>
        <v>14.911999999999999</v>
      </c>
      <c r="L4" s="26">
        <f t="shared" si="4"/>
        <v>-5.9100000000000286</v>
      </c>
      <c r="N4">
        <f t="shared" si="5"/>
        <v>14.911999999999999</v>
      </c>
      <c r="O4">
        <f t="shared" si="6"/>
        <v>-5.9100000000000286</v>
      </c>
    </row>
    <row r="5" spans="1:15">
      <c r="A5" s="25">
        <v>46298.979166666657</v>
      </c>
      <c r="B5">
        <v>21</v>
      </c>
      <c r="C5">
        <v>39.6</v>
      </c>
      <c r="D5">
        <v>943.29</v>
      </c>
      <c r="E5">
        <v>6.05</v>
      </c>
      <c r="F5">
        <v>0</v>
      </c>
      <c r="G5" s="26">
        <f t="shared" si="0"/>
        <v>6.7377666392293429</v>
      </c>
      <c r="H5" s="26">
        <f t="shared" si="7"/>
        <v>-9.3599999999999817</v>
      </c>
      <c r="I5" s="26">
        <f t="shared" si="1"/>
        <v>14.95</v>
      </c>
      <c r="J5" t="str">
        <f t="shared" si="2"/>
        <v>Cooling</v>
      </c>
      <c r="K5" s="26">
        <f t="shared" si="3"/>
        <v>14.95</v>
      </c>
      <c r="L5" s="26">
        <f t="shared" si="4"/>
        <v>-9.3599999999999817</v>
      </c>
      <c r="N5">
        <f t="shared" si="5"/>
        <v>14.95</v>
      </c>
      <c r="O5">
        <f t="shared" si="6"/>
        <v>-9.3599999999999817</v>
      </c>
    </row>
    <row r="6" spans="1:15">
      <c r="A6" s="25">
        <v>46298.979861111111</v>
      </c>
      <c r="B6">
        <v>20.640999999999998</v>
      </c>
      <c r="C6">
        <v>40.640999999999998</v>
      </c>
      <c r="D6">
        <v>943.31700000000001</v>
      </c>
      <c r="E6">
        <v>6.0149999999999997</v>
      </c>
      <c r="F6">
        <v>0</v>
      </c>
      <c r="G6" s="26">
        <f t="shared" si="0"/>
        <v>6.7940058513605184</v>
      </c>
      <c r="H6" s="26">
        <f t="shared" si="7"/>
        <v>-6.9299999999999962</v>
      </c>
      <c r="I6" s="26">
        <f t="shared" si="1"/>
        <v>14.625999999999998</v>
      </c>
      <c r="J6" t="str">
        <f t="shared" si="2"/>
        <v>Cooling</v>
      </c>
      <c r="K6" s="26">
        <f t="shared" si="3"/>
        <v>14.625999999999998</v>
      </c>
      <c r="L6" s="26">
        <f t="shared" si="4"/>
        <v>-6.9299999999999962</v>
      </c>
      <c r="N6">
        <f t="shared" si="5"/>
        <v>14.625999999999998</v>
      </c>
      <c r="O6">
        <f t="shared" si="6"/>
        <v>-6.9299999999999962</v>
      </c>
    </row>
    <row r="7" spans="1:15">
      <c r="A7" s="25">
        <v>46298.980555555558</v>
      </c>
      <c r="B7">
        <v>20.283000000000001</v>
      </c>
      <c r="C7">
        <v>41.683</v>
      </c>
      <c r="D7">
        <v>943.34400000000005</v>
      </c>
      <c r="E7">
        <v>5.98</v>
      </c>
      <c r="F7">
        <v>0</v>
      </c>
      <c r="G7" s="26">
        <f t="shared" si="0"/>
        <v>6.8410753853880211</v>
      </c>
      <c r="H7" s="26">
        <f t="shared" si="7"/>
        <v>-9.9000000000000021</v>
      </c>
      <c r="I7" s="26">
        <f t="shared" si="1"/>
        <v>14.303000000000001</v>
      </c>
      <c r="J7" t="str">
        <f t="shared" si="2"/>
        <v>Cooling</v>
      </c>
      <c r="K7" s="26">
        <f t="shared" si="3"/>
        <v>14.303000000000001</v>
      </c>
      <c r="L7" s="26">
        <f t="shared" si="4"/>
        <v>-9.9000000000000021</v>
      </c>
      <c r="N7">
        <f t="shared" si="5"/>
        <v>14.303000000000001</v>
      </c>
      <c r="O7">
        <f t="shared" si="6"/>
        <v>-9.9000000000000021</v>
      </c>
    </row>
    <row r="8" spans="1:15">
      <c r="A8" s="25">
        <v>46298.981249999997</v>
      </c>
      <c r="B8">
        <v>20.535</v>
      </c>
      <c r="C8">
        <v>44.406999999999996</v>
      </c>
      <c r="D8">
        <v>943.35500000000002</v>
      </c>
      <c r="E8">
        <v>5.9450000000000003</v>
      </c>
      <c r="F8">
        <v>0</v>
      </c>
      <c r="G8" s="26">
        <f t="shared" si="0"/>
        <v>7.995860377849989</v>
      </c>
      <c r="H8" s="26">
        <f t="shared" si="7"/>
        <v>-12.209999999999948</v>
      </c>
      <c r="I8" s="26">
        <f t="shared" si="1"/>
        <v>14.59</v>
      </c>
      <c r="J8" t="str">
        <f t="shared" si="2"/>
        <v>Cooling</v>
      </c>
      <c r="K8" s="26">
        <f t="shared" si="3"/>
        <v>14.59</v>
      </c>
      <c r="L8" s="26">
        <f t="shared" si="4"/>
        <v>-12.209999999999948</v>
      </c>
      <c r="N8">
        <f t="shared" si="5"/>
        <v>14.59</v>
      </c>
      <c r="O8">
        <f t="shared" si="6"/>
        <v>-12.209999999999948</v>
      </c>
    </row>
    <row r="9" spans="1:15">
      <c r="A9" s="25">
        <v>46298.981944444437</v>
      </c>
      <c r="B9">
        <v>20.34</v>
      </c>
      <c r="C9">
        <v>43.228000000000002</v>
      </c>
      <c r="D9">
        <v>943.38499999999999</v>
      </c>
      <c r="E9">
        <v>5.91</v>
      </c>
      <c r="F9">
        <v>0</v>
      </c>
      <c r="G9" s="26">
        <f t="shared" si="0"/>
        <v>7.4242720397724788</v>
      </c>
      <c r="H9" s="26">
        <f t="shared" si="7"/>
        <v>-10.29</v>
      </c>
      <c r="I9" s="26">
        <f t="shared" si="1"/>
        <v>14.43</v>
      </c>
      <c r="J9" t="str">
        <f t="shared" si="2"/>
        <v>Cooling</v>
      </c>
      <c r="K9" s="26">
        <f t="shared" si="3"/>
        <v>14.43</v>
      </c>
      <c r="L9" s="26">
        <f t="shared" si="4"/>
        <v>-10.29</v>
      </c>
      <c r="N9">
        <f t="shared" si="5"/>
        <v>14.43</v>
      </c>
      <c r="O9">
        <f t="shared" si="6"/>
        <v>-10.29</v>
      </c>
    </row>
    <row r="10" spans="1:15">
      <c r="A10" s="25">
        <v>46298.982638888891</v>
      </c>
      <c r="B10">
        <v>19.827000000000002</v>
      </c>
      <c r="C10">
        <v>42.23</v>
      </c>
      <c r="D10">
        <v>943.38</v>
      </c>
      <c r="E10">
        <v>5.875</v>
      </c>
      <c r="F10">
        <v>0</v>
      </c>
      <c r="G10" s="26">
        <f t="shared" si="0"/>
        <v>6.6199697010158385</v>
      </c>
      <c r="H10" s="26">
        <f t="shared" si="7"/>
        <v>-16.769999999999978</v>
      </c>
      <c r="I10" s="26">
        <f t="shared" si="1"/>
        <v>13.952000000000002</v>
      </c>
      <c r="J10" t="str">
        <f t="shared" si="2"/>
        <v>Cooling</v>
      </c>
      <c r="K10" s="26">
        <f t="shared" si="3"/>
        <v>13.952000000000002</v>
      </c>
      <c r="L10" s="26">
        <f t="shared" si="4"/>
        <v>-16.769999999999978</v>
      </c>
      <c r="N10">
        <f t="shared" si="5"/>
        <v>13.952000000000002</v>
      </c>
      <c r="O10">
        <f t="shared" si="6"/>
        <v>-16.769999999999978</v>
      </c>
    </row>
    <row r="11" spans="1:15">
      <c r="A11" s="25">
        <v>46298.98333333333</v>
      </c>
      <c r="B11">
        <v>19.597000000000001</v>
      </c>
      <c r="C11">
        <v>42.843000000000004</v>
      </c>
      <c r="D11">
        <v>943.38</v>
      </c>
      <c r="E11">
        <v>5.84</v>
      </c>
      <c r="F11">
        <v>0</v>
      </c>
      <c r="G11" s="26">
        <f t="shared" si="0"/>
        <v>6.6220182790311402</v>
      </c>
      <c r="H11" s="26">
        <f t="shared" si="7"/>
        <v>-14.880000000000013</v>
      </c>
      <c r="I11" s="26">
        <f t="shared" si="1"/>
        <v>13.757000000000001</v>
      </c>
      <c r="J11" t="str">
        <f t="shared" si="2"/>
        <v>Cooling</v>
      </c>
      <c r="K11" s="26">
        <f t="shared" si="3"/>
        <v>13.757000000000001</v>
      </c>
      <c r="L11" s="26">
        <f t="shared" si="4"/>
        <v>-14.880000000000013</v>
      </c>
      <c r="N11">
        <f t="shared" si="5"/>
        <v>13.757000000000001</v>
      </c>
      <c r="O11">
        <f t="shared" si="6"/>
        <v>-14.880000000000013</v>
      </c>
    </row>
    <row r="12" spans="1:15">
      <c r="A12" s="25">
        <v>46298.984027777777</v>
      </c>
      <c r="B12">
        <v>19.417000000000002</v>
      </c>
      <c r="C12">
        <v>43.406999999999996</v>
      </c>
      <c r="D12">
        <v>943.34299999999996</v>
      </c>
      <c r="E12">
        <v>5.8049999999999997</v>
      </c>
      <c r="F12">
        <v>0</v>
      </c>
      <c r="G12" s="26">
        <f t="shared" si="0"/>
        <v>6.649562208955671</v>
      </c>
      <c r="H12" s="26">
        <f t="shared" si="7"/>
        <v>-7.3350000000000115</v>
      </c>
      <c r="I12" s="26">
        <f t="shared" si="1"/>
        <v>13.612000000000002</v>
      </c>
      <c r="J12" t="str">
        <f t="shared" si="2"/>
        <v>Cooling</v>
      </c>
      <c r="K12" s="26">
        <f t="shared" si="3"/>
        <v>13.612000000000002</v>
      </c>
      <c r="L12" s="26">
        <f t="shared" si="4"/>
        <v>-7.3350000000000115</v>
      </c>
      <c r="N12">
        <f t="shared" si="5"/>
        <v>13.612000000000002</v>
      </c>
      <c r="O12">
        <f t="shared" si="6"/>
        <v>-7.3350000000000115</v>
      </c>
    </row>
    <row r="13" spans="1:15">
      <c r="A13" s="25">
        <v>46298.984722222223</v>
      </c>
      <c r="B13">
        <v>19.347999999999999</v>
      </c>
      <c r="C13">
        <v>44.338000000000001</v>
      </c>
      <c r="D13">
        <v>943.35799999999995</v>
      </c>
      <c r="E13">
        <v>5.77</v>
      </c>
      <c r="F13">
        <v>0</v>
      </c>
      <c r="G13" s="26">
        <f t="shared" si="0"/>
        <v>6.8962031581954299</v>
      </c>
      <c r="H13" s="26">
        <f t="shared" si="7"/>
        <v>-4.3500000000000405</v>
      </c>
      <c r="I13" s="26">
        <f t="shared" si="1"/>
        <v>13.577999999999999</v>
      </c>
      <c r="J13" t="str">
        <f t="shared" si="2"/>
        <v>Cooling</v>
      </c>
      <c r="K13" s="26">
        <f t="shared" si="3"/>
        <v>13.577999999999999</v>
      </c>
      <c r="L13" s="26">
        <f t="shared" si="4"/>
        <v>-4.3500000000000405</v>
      </c>
      <c r="N13">
        <f t="shared" si="5"/>
        <v>13.577999999999999</v>
      </c>
      <c r="O13">
        <f t="shared" si="6"/>
        <v>-4.3500000000000405</v>
      </c>
    </row>
    <row r="14" spans="1:15">
      <c r="A14" s="25">
        <v>46298.98541666667</v>
      </c>
      <c r="B14">
        <v>19.338000000000001</v>
      </c>
      <c r="C14">
        <v>44.715000000000003</v>
      </c>
      <c r="D14">
        <v>943.35</v>
      </c>
      <c r="E14">
        <v>5.7350000000000003</v>
      </c>
      <c r="F14">
        <v>0</v>
      </c>
      <c r="G14" s="26">
        <f t="shared" si="0"/>
        <v>7.0106561685543696</v>
      </c>
      <c r="H14" s="26">
        <f t="shared" si="7"/>
        <v>-1.4100000000000179</v>
      </c>
      <c r="I14" s="26">
        <f t="shared" si="1"/>
        <v>13.603000000000002</v>
      </c>
      <c r="J14" t="str">
        <f t="shared" si="2"/>
        <v>Cooling</v>
      </c>
      <c r="K14" s="26">
        <f t="shared" si="3"/>
        <v>13.603000000000002</v>
      </c>
      <c r="L14" s="26">
        <f t="shared" si="4"/>
        <v>-1.4100000000000179</v>
      </c>
      <c r="N14">
        <f t="shared" si="5"/>
        <v>13.603000000000002</v>
      </c>
      <c r="O14">
        <f t="shared" si="6"/>
        <v>-1.4100000000000179</v>
      </c>
    </row>
    <row r="15" spans="1:15">
      <c r="A15" s="25">
        <v>46298.986111111109</v>
      </c>
      <c r="B15">
        <v>19.306999999999999</v>
      </c>
      <c r="C15">
        <v>45.058</v>
      </c>
      <c r="D15">
        <v>943.34299999999996</v>
      </c>
      <c r="E15">
        <v>5.7</v>
      </c>
      <c r="F15">
        <v>0</v>
      </c>
      <c r="G15" s="26">
        <f t="shared" si="0"/>
        <v>7.094064914133452</v>
      </c>
      <c r="H15" s="26">
        <f t="shared" si="7"/>
        <v>0.15000000000002345</v>
      </c>
      <c r="I15" s="26">
        <f t="shared" si="1"/>
        <v>13.606999999999999</v>
      </c>
      <c r="J15" t="str">
        <f t="shared" si="2"/>
        <v>Steady</v>
      </c>
      <c r="K15" s="26" t="str">
        <f t="shared" si="3"/>
        <v/>
      </c>
      <c r="L15" s="26" t="str">
        <f t="shared" si="4"/>
        <v/>
      </c>
      <c r="N15" t="e">
        <f t="shared" si="5"/>
        <v>#N/A</v>
      </c>
      <c r="O15" t="e">
        <f t="shared" si="6"/>
        <v>#N/A</v>
      </c>
    </row>
    <row r="16" spans="1:15">
      <c r="A16" s="25">
        <v>46298.986805555563</v>
      </c>
      <c r="B16">
        <v>19.323</v>
      </c>
      <c r="C16">
        <v>45.03</v>
      </c>
      <c r="D16">
        <v>943.33500000000004</v>
      </c>
      <c r="E16">
        <v>5.665</v>
      </c>
      <c r="F16">
        <v>0</v>
      </c>
      <c r="G16" s="26">
        <f t="shared" si="0"/>
        <v>7.0995296802093044</v>
      </c>
      <c r="H16" s="26">
        <f t="shared" si="7"/>
        <v>0.48000000000000043</v>
      </c>
      <c r="I16" s="26">
        <f t="shared" si="1"/>
        <v>13.658000000000001</v>
      </c>
      <c r="J16" t="str">
        <f t="shared" si="2"/>
        <v>Steady</v>
      </c>
      <c r="K16" s="26" t="str">
        <f t="shared" si="3"/>
        <v/>
      </c>
      <c r="L16" s="26" t="str">
        <f t="shared" si="4"/>
        <v/>
      </c>
      <c r="N16" t="e">
        <f t="shared" si="5"/>
        <v>#N/A</v>
      </c>
      <c r="O16" t="e">
        <f t="shared" si="6"/>
        <v>#N/A</v>
      </c>
    </row>
    <row r="17" spans="1:15">
      <c r="A17" s="25">
        <v>46298.987500000003</v>
      </c>
      <c r="B17">
        <v>19.358000000000001</v>
      </c>
      <c r="C17">
        <v>45.161999999999999</v>
      </c>
      <c r="D17">
        <v>943.31200000000001</v>
      </c>
      <c r="E17">
        <v>5.63</v>
      </c>
      <c r="F17">
        <v>0</v>
      </c>
      <c r="G17" s="26">
        <f t="shared" si="0"/>
        <v>7.1741180462425431</v>
      </c>
      <c r="H17" s="26">
        <f t="shared" si="7"/>
        <v>1.3650000000000162</v>
      </c>
      <c r="I17" s="26">
        <f t="shared" si="1"/>
        <v>13.728000000000002</v>
      </c>
      <c r="J17" t="str">
        <f t="shared" si="2"/>
        <v>Heating</v>
      </c>
      <c r="K17" s="26" t="str">
        <f t="shared" si="3"/>
        <v/>
      </c>
      <c r="L17" s="26" t="str">
        <f t="shared" si="4"/>
        <v/>
      </c>
      <c r="N17" t="e">
        <f t="shared" si="5"/>
        <v>#N/A</v>
      </c>
      <c r="O17" t="e">
        <f t="shared" si="6"/>
        <v>#N/A</v>
      </c>
    </row>
    <row r="18" spans="1:15">
      <c r="A18" s="25">
        <v>46298.988194444442</v>
      </c>
      <c r="B18">
        <v>19.37</v>
      </c>
      <c r="C18">
        <v>45.427999999999997</v>
      </c>
      <c r="D18">
        <v>943.33699999999999</v>
      </c>
      <c r="E18">
        <v>5.5949999999999998</v>
      </c>
      <c r="F18">
        <v>0</v>
      </c>
      <c r="G18" s="26">
        <f t="shared" si="0"/>
        <v>7.2708984758961925</v>
      </c>
      <c r="H18" s="26">
        <f t="shared" si="7"/>
        <v>1.3799999999999812</v>
      </c>
      <c r="I18" s="26">
        <f t="shared" si="1"/>
        <v>13.775000000000002</v>
      </c>
      <c r="J18" t="str">
        <f t="shared" si="2"/>
        <v>Heating</v>
      </c>
      <c r="K18" s="26" t="str">
        <f t="shared" si="3"/>
        <v/>
      </c>
      <c r="L18" s="26" t="str">
        <f t="shared" si="4"/>
        <v/>
      </c>
      <c r="N18" t="e">
        <f t="shared" si="5"/>
        <v>#N/A</v>
      </c>
      <c r="O18" t="e">
        <f t="shared" si="6"/>
        <v>#N/A</v>
      </c>
    </row>
    <row r="19" spans="1:15">
      <c r="A19" s="25">
        <v>46298.988888888889</v>
      </c>
      <c r="B19">
        <v>19.398</v>
      </c>
      <c r="C19">
        <v>45.655000000000001</v>
      </c>
      <c r="D19">
        <v>943.33299999999997</v>
      </c>
      <c r="E19">
        <v>5.56</v>
      </c>
      <c r="F19">
        <v>0</v>
      </c>
      <c r="G19" s="26">
        <f t="shared" si="0"/>
        <v>7.3693194153372277</v>
      </c>
      <c r="H19" s="26">
        <f t="shared" si="7"/>
        <v>0.93000000000001748</v>
      </c>
      <c r="I19" s="26">
        <f t="shared" si="1"/>
        <v>13.838000000000001</v>
      </c>
      <c r="J19" t="str">
        <f t="shared" si="2"/>
        <v>Heating</v>
      </c>
      <c r="K19" s="26" t="str">
        <f t="shared" si="3"/>
        <v/>
      </c>
      <c r="L19" s="26" t="str">
        <f t="shared" si="4"/>
        <v/>
      </c>
      <c r="N19" t="e">
        <f t="shared" si="5"/>
        <v>#N/A</v>
      </c>
      <c r="O19" t="e">
        <f t="shared" si="6"/>
        <v>#N/A</v>
      </c>
    </row>
    <row r="20" spans="1:15">
      <c r="A20" s="25">
        <v>46298.989583333343</v>
      </c>
      <c r="B20">
        <v>19.414999999999999</v>
      </c>
      <c r="C20">
        <v>45.457000000000001</v>
      </c>
      <c r="D20">
        <v>943.37300000000005</v>
      </c>
      <c r="E20">
        <v>5.5250000000000004</v>
      </c>
      <c r="F20">
        <v>0</v>
      </c>
      <c r="G20" s="26">
        <f t="shared" si="0"/>
        <v>7.3211819779984015</v>
      </c>
      <c r="H20" s="26">
        <f t="shared" si="7"/>
        <v>0.97499999999996589</v>
      </c>
      <c r="I20" s="26">
        <f t="shared" si="1"/>
        <v>13.889999999999999</v>
      </c>
      <c r="J20" t="str">
        <f t="shared" si="2"/>
        <v>Heating</v>
      </c>
      <c r="K20" s="26" t="str">
        <f t="shared" si="3"/>
        <v/>
      </c>
      <c r="L20" s="26" t="str">
        <f t="shared" si="4"/>
        <v/>
      </c>
      <c r="N20" t="e">
        <f t="shared" si="5"/>
        <v>#N/A</v>
      </c>
      <c r="O20" t="e">
        <f t="shared" si="6"/>
        <v>#N/A</v>
      </c>
    </row>
    <row r="21" spans="1:15">
      <c r="A21" s="25">
        <v>46298.990277777782</v>
      </c>
      <c r="B21">
        <v>19.420000000000002</v>
      </c>
      <c r="C21">
        <v>46.04</v>
      </c>
      <c r="D21">
        <v>943.35299999999995</v>
      </c>
      <c r="E21">
        <v>5.49</v>
      </c>
      <c r="F21">
        <v>0</v>
      </c>
      <c r="G21" s="26">
        <f t="shared" si="0"/>
        <v>7.5123543212857138</v>
      </c>
      <c r="H21" s="26">
        <f t="shared" si="7"/>
        <v>0.70500000000000895</v>
      </c>
      <c r="I21" s="26">
        <f t="shared" si="1"/>
        <v>13.930000000000001</v>
      </c>
      <c r="J21" t="str">
        <f t="shared" si="2"/>
        <v>Heating</v>
      </c>
      <c r="K21" s="26" t="str">
        <f t="shared" si="3"/>
        <v/>
      </c>
      <c r="L21" s="26" t="str">
        <f t="shared" si="4"/>
        <v/>
      </c>
      <c r="N21" t="e">
        <f t="shared" si="5"/>
        <v>#N/A</v>
      </c>
      <c r="O21" t="e">
        <f t="shared" si="6"/>
        <v>#N/A</v>
      </c>
    </row>
    <row r="22" spans="1:15">
      <c r="A22" s="25">
        <v>46298.990972222222</v>
      </c>
      <c r="B22">
        <v>19.434999999999999</v>
      </c>
      <c r="C22">
        <v>46.034999999999997</v>
      </c>
      <c r="D22">
        <v>943.375</v>
      </c>
      <c r="E22">
        <v>5.4550000000000001</v>
      </c>
      <c r="F22">
        <v>0</v>
      </c>
      <c r="G22" s="26">
        <f t="shared" si="0"/>
        <v>7.5244322638717378</v>
      </c>
      <c r="H22" s="26">
        <f t="shared" si="7"/>
        <v>0.37500000000003197</v>
      </c>
      <c r="I22" s="26">
        <f t="shared" si="1"/>
        <v>13.979999999999999</v>
      </c>
      <c r="J22" t="str">
        <f t="shared" si="2"/>
        <v>Steady</v>
      </c>
      <c r="K22" s="26" t="str">
        <f t="shared" si="3"/>
        <v/>
      </c>
      <c r="L22" s="26" t="str">
        <f t="shared" si="4"/>
        <v/>
      </c>
      <c r="N22" t="e">
        <f t="shared" si="5"/>
        <v>#N/A</v>
      </c>
      <c r="O22" t="e">
        <f t="shared" si="6"/>
        <v>#N/A</v>
      </c>
    </row>
    <row r="23" spans="1:15">
      <c r="A23" s="25">
        <v>46298.991666666669</v>
      </c>
      <c r="B23">
        <v>19.445</v>
      </c>
      <c r="C23">
        <v>46.56</v>
      </c>
      <c r="D23">
        <v>943.41200000000003</v>
      </c>
      <c r="E23">
        <v>5.42</v>
      </c>
      <c r="F23">
        <v>0</v>
      </c>
      <c r="G23" s="26">
        <f t="shared" si="0"/>
        <v>7.6998705179220703</v>
      </c>
      <c r="H23" s="26">
        <f t="shared" si="7"/>
        <v>0.49499999999996547</v>
      </c>
      <c r="I23" s="26">
        <f t="shared" si="1"/>
        <v>14.025</v>
      </c>
      <c r="J23" t="str">
        <f t="shared" si="2"/>
        <v>Steady</v>
      </c>
      <c r="K23" s="26" t="str">
        <f t="shared" si="3"/>
        <v/>
      </c>
      <c r="L23" s="26" t="str">
        <f t="shared" si="4"/>
        <v/>
      </c>
      <c r="N23" t="e">
        <f t="shared" si="5"/>
        <v>#N/A</v>
      </c>
      <c r="O23" t="e">
        <f t="shared" si="6"/>
        <v>#N/A</v>
      </c>
    </row>
    <row r="24" spans="1:15">
      <c r="A24" s="25">
        <v>46298.992361111108</v>
      </c>
      <c r="B24">
        <v>19.440000000000001</v>
      </c>
      <c r="C24">
        <v>46.603000000000002</v>
      </c>
      <c r="D24">
        <v>943.4</v>
      </c>
      <c r="E24">
        <v>5.3849999999999998</v>
      </c>
      <c r="F24">
        <v>0</v>
      </c>
      <c r="G24" s="26">
        <f t="shared" si="0"/>
        <v>7.7088568170056879</v>
      </c>
      <c r="H24" s="26">
        <f t="shared" si="7"/>
        <v>0.10500000000002174</v>
      </c>
      <c r="I24" s="26">
        <f t="shared" si="1"/>
        <v>14.055000000000001</v>
      </c>
      <c r="J24" t="str">
        <f t="shared" si="2"/>
        <v>Steady</v>
      </c>
      <c r="K24" s="26" t="str">
        <f t="shared" si="3"/>
        <v/>
      </c>
      <c r="L24" s="26" t="str">
        <f t="shared" si="4"/>
        <v/>
      </c>
      <c r="N24" t="e">
        <f t="shared" si="5"/>
        <v>#N/A</v>
      </c>
      <c r="O24" t="e">
        <f t="shared" si="6"/>
        <v>#N/A</v>
      </c>
    </row>
    <row r="25" spans="1:15">
      <c r="A25" s="25">
        <v>46298.993055555547</v>
      </c>
      <c r="B25">
        <v>19.452999999999999</v>
      </c>
      <c r="C25">
        <v>46.957000000000001</v>
      </c>
      <c r="D25">
        <v>943.43</v>
      </c>
      <c r="E25">
        <v>5.35</v>
      </c>
      <c r="F25">
        <v>0</v>
      </c>
      <c r="G25" s="26">
        <f t="shared" si="0"/>
        <v>7.8318554291719629</v>
      </c>
      <c r="H25" s="26">
        <f t="shared" si="7"/>
        <v>0.45000000000001705</v>
      </c>
      <c r="I25" s="26">
        <f t="shared" si="1"/>
        <v>14.103</v>
      </c>
      <c r="J25" t="str">
        <f t="shared" si="2"/>
        <v>Steady</v>
      </c>
      <c r="K25" s="26" t="str">
        <f t="shared" si="3"/>
        <v/>
      </c>
      <c r="L25" s="26" t="str">
        <f t="shared" si="4"/>
        <v/>
      </c>
      <c r="N25" t="e">
        <f t="shared" si="5"/>
        <v>#N/A</v>
      </c>
      <c r="O25" t="e">
        <f t="shared" si="6"/>
        <v>#N/A</v>
      </c>
    </row>
    <row r="26" spans="1:15">
      <c r="A26" s="25">
        <v>46298.993750000001</v>
      </c>
      <c r="B26">
        <v>19.442</v>
      </c>
      <c r="C26">
        <v>47.82</v>
      </c>
      <c r="D26">
        <v>943.41800000000001</v>
      </c>
      <c r="E26">
        <v>5.3150000000000004</v>
      </c>
      <c r="F26">
        <v>0</v>
      </c>
      <c r="G26" s="26">
        <f t="shared" si="0"/>
        <v>8.0896478718688218</v>
      </c>
      <c r="H26" s="26">
        <f t="shared" si="7"/>
        <v>0.64499999999998892</v>
      </c>
      <c r="I26" s="26">
        <f t="shared" si="1"/>
        <v>14.126999999999999</v>
      </c>
      <c r="J26" t="str">
        <f t="shared" si="2"/>
        <v>Heating</v>
      </c>
      <c r="K26" s="26" t="str">
        <f t="shared" si="3"/>
        <v/>
      </c>
      <c r="L26" s="26" t="str">
        <f t="shared" si="4"/>
        <v/>
      </c>
      <c r="N26" t="e">
        <f t="shared" si="5"/>
        <v>#N/A</v>
      </c>
      <c r="O26" t="e">
        <f t="shared" si="6"/>
        <v>#N/A</v>
      </c>
    </row>
    <row r="27" spans="1:15">
      <c r="A27" s="25">
        <v>46298.994444444441</v>
      </c>
      <c r="B27">
        <v>19.475000000000001</v>
      </c>
      <c r="C27">
        <v>48.648000000000003</v>
      </c>
      <c r="D27">
        <v>943.43200000000002</v>
      </c>
      <c r="E27">
        <v>5.28</v>
      </c>
      <c r="F27">
        <v>0</v>
      </c>
      <c r="G27" s="26">
        <f t="shared" si="0"/>
        <v>8.3729121024530375</v>
      </c>
      <c r="H27" s="26">
        <f t="shared" si="7"/>
        <v>0.45000000000001705</v>
      </c>
      <c r="I27" s="26">
        <f t="shared" si="1"/>
        <v>14.195</v>
      </c>
      <c r="J27" t="str">
        <f t="shared" si="2"/>
        <v>Steady</v>
      </c>
      <c r="K27" s="26" t="str">
        <f t="shared" si="3"/>
        <v/>
      </c>
      <c r="L27" s="26" t="str">
        <f t="shared" si="4"/>
        <v/>
      </c>
      <c r="N27" t="e">
        <f t="shared" si="5"/>
        <v>#N/A</v>
      </c>
      <c r="O27" t="e">
        <f t="shared" si="6"/>
        <v>#N/A</v>
      </c>
    </row>
    <row r="28" spans="1:15">
      <c r="A28" s="25">
        <v>46298.995138888888</v>
      </c>
      <c r="B28">
        <v>19.483000000000001</v>
      </c>
      <c r="C28">
        <v>48.81</v>
      </c>
      <c r="D28">
        <v>943.42</v>
      </c>
      <c r="E28">
        <v>5.2450000000000001</v>
      </c>
      <c r="F28">
        <v>0</v>
      </c>
      <c r="G28" s="26">
        <f t="shared" si="0"/>
        <v>8.4293186379285121</v>
      </c>
      <c r="H28" s="26">
        <f t="shared" si="7"/>
        <v>0.75000000000001066</v>
      </c>
      <c r="I28" s="26">
        <f t="shared" si="1"/>
        <v>14.238</v>
      </c>
      <c r="J28" t="str">
        <f t="shared" si="2"/>
        <v>Heating</v>
      </c>
      <c r="K28" s="26" t="str">
        <f t="shared" si="3"/>
        <v/>
      </c>
      <c r="L28" s="26" t="str">
        <f t="shared" si="4"/>
        <v/>
      </c>
      <c r="N28" t="e">
        <f t="shared" si="5"/>
        <v>#N/A</v>
      </c>
      <c r="O28" t="e">
        <f t="shared" si="6"/>
        <v>#N/A</v>
      </c>
    </row>
    <row r="29" spans="1:15">
      <c r="A29" s="25">
        <v>46298.995833333327</v>
      </c>
      <c r="B29">
        <v>19.483000000000001</v>
      </c>
      <c r="C29">
        <v>48.737000000000002</v>
      </c>
      <c r="D29">
        <v>943.43799999999999</v>
      </c>
      <c r="E29">
        <v>5.21</v>
      </c>
      <c r="F29">
        <v>0</v>
      </c>
      <c r="G29" s="26">
        <f t="shared" si="0"/>
        <v>8.4072251649726475</v>
      </c>
      <c r="H29" s="26">
        <f t="shared" si="7"/>
        <v>0.10499999999996845</v>
      </c>
      <c r="I29" s="26">
        <f t="shared" si="1"/>
        <v>14.273</v>
      </c>
      <c r="J29" t="str">
        <f t="shared" si="2"/>
        <v>Steady</v>
      </c>
      <c r="K29" s="26" t="str">
        <f t="shared" si="3"/>
        <v/>
      </c>
      <c r="L29" s="26" t="str">
        <f t="shared" si="4"/>
        <v/>
      </c>
      <c r="N29" t="e">
        <f t="shared" si="5"/>
        <v>#N/A</v>
      </c>
      <c r="O29" t="e">
        <f t="shared" si="6"/>
        <v>#N/A</v>
      </c>
    </row>
    <row r="30" spans="1:15">
      <c r="A30" s="25">
        <v>46298.996527777781</v>
      </c>
      <c r="B30">
        <v>19.492000000000001</v>
      </c>
      <c r="C30">
        <v>48.911999999999999</v>
      </c>
      <c r="D30">
        <v>943.46299999999997</v>
      </c>
      <c r="E30">
        <v>5.1749999999999998</v>
      </c>
      <c r="F30">
        <v>0</v>
      </c>
      <c r="G30" s="26">
        <f t="shared" si="0"/>
        <v>8.4684002459464107</v>
      </c>
      <c r="H30" s="26">
        <f t="shared" si="7"/>
        <v>-0.22500000000000853</v>
      </c>
      <c r="I30" s="26">
        <f t="shared" si="1"/>
        <v>14.317</v>
      </c>
      <c r="J30" t="str">
        <f t="shared" si="2"/>
        <v>Cooling</v>
      </c>
      <c r="K30" s="26">
        <f t="shared" si="3"/>
        <v>14.317</v>
      </c>
      <c r="L30" s="26">
        <f t="shared" si="4"/>
        <v>-0.22500000000000853</v>
      </c>
      <c r="N30">
        <f t="shared" si="5"/>
        <v>14.317</v>
      </c>
      <c r="O30">
        <f t="shared" si="6"/>
        <v>-0.22500000000000853</v>
      </c>
    </row>
    <row r="31" spans="1:15">
      <c r="A31" s="25">
        <v>46298.99722222222</v>
      </c>
      <c r="B31">
        <v>19.481999999999999</v>
      </c>
      <c r="C31">
        <v>48.768000000000001</v>
      </c>
      <c r="D31">
        <v>943.45</v>
      </c>
      <c r="E31">
        <v>5.14</v>
      </c>
      <c r="F31">
        <v>0</v>
      </c>
      <c r="G31" s="26">
        <f t="shared" si="0"/>
        <v>8.4156934211547796</v>
      </c>
      <c r="H31" s="26">
        <f t="shared" si="7"/>
        <v>-0.29999999999999361</v>
      </c>
      <c r="I31" s="26">
        <f t="shared" si="1"/>
        <v>14.341999999999999</v>
      </c>
      <c r="J31" t="str">
        <f t="shared" si="2"/>
        <v>Cooling</v>
      </c>
      <c r="K31" s="26">
        <f t="shared" si="3"/>
        <v>14.341999999999999</v>
      </c>
      <c r="L31" s="26">
        <f t="shared" si="4"/>
        <v>-0.29999999999999361</v>
      </c>
      <c r="N31">
        <f t="shared" si="5"/>
        <v>14.341999999999999</v>
      </c>
      <c r="O31">
        <f t="shared" si="6"/>
        <v>-0.29999999999999361</v>
      </c>
    </row>
    <row r="32" spans="1:15">
      <c r="A32" s="25">
        <v>46298.997916666667</v>
      </c>
      <c r="B32">
        <v>19.468</v>
      </c>
      <c r="C32">
        <v>49.137999999999998</v>
      </c>
      <c r="D32">
        <v>943.46799999999996</v>
      </c>
      <c r="E32">
        <v>5.1050000000000004</v>
      </c>
      <c r="F32">
        <v>0</v>
      </c>
      <c r="G32" s="26">
        <f t="shared" si="0"/>
        <v>8.5144551706857339</v>
      </c>
      <c r="H32" s="26">
        <f t="shared" si="7"/>
        <v>-0.77999999999999403</v>
      </c>
      <c r="I32" s="26">
        <f t="shared" si="1"/>
        <v>14.363</v>
      </c>
      <c r="J32" t="str">
        <f t="shared" si="2"/>
        <v>Cooling</v>
      </c>
      <c r="K32" s="26">
        <f t="shared" si="3"/>
        <v>14.363</v>
      </c>
      <c r="L32" s="26">
        <f t="shared" si="4"/>
        <v>-0.77999999999999403</v>
      </c>
      <c r="N32">
        <f t="shared" si="5"/>
        <v>14.363</v>
      </c>
      <c r="O32">
        <f t="shared" si="6"/>
        <v>-0.77999999999999403</v>
      </c>
    </row>
    <row r="33" spans="1:15">
      <c r="A33" s="25">
        <v>46298.998611111107</v>
      </c>
      <c r="B33">
        <v>19.463000000000001</v>
      </c>
      <c r="C33">
        <v>49.247</v>
      </c>
      <c r="D33">
        <v>943.50800000000004</v>
      </c>
      <c r="E33">
        <v>5.07</v>
      </c>
      <c r="F33">
        <v>0</v>
      </c>
      <c r="G33" s="26">
        <f t="shared" si="0"/>
        <v>8.5425997247540337</v>
      </c>
      <c r="H33" s="26">
        <f t="shared" si="7"/>
        <v>-7.4999999999985079E-2</v>
      </c>
      <c r="I33" s="26">
        <f t="shared" si="1"/>
        <v>14.393000000000001</v>
      </c>
      <c r="J33" t="str">
        <f t="shared" si="2"/>
        <v>Steady</v>
      </c>
      <c r="K33" s="26" t="str">
        <f t="shared" si="3"/>
        <v/>
      </c>
      <c r="L33" s="26" t="str">
        <f t="shared" si="4"/>
        <v/>
      </c>
      <c r="N33" t="e">
        <f t="shared" si="5"/>
        <v>#N/A</v>
      </c>
      <c r="O33" t="e">
        <f t="shared" si="6"/>
        <v>#N/A</v>
      </c>
    </row>
    <row r="34" spans="1:15">
      <c r="A34" s="25">
        <v>46298.999305555553</v>
      </c>
      <c r="B34">
        <v>19.440000000000001</v>
      </c>
      <c r="C34">
        <v>49.531999999999996</v>
      </c>
      <c r="D34">
        <v>943.505</v>
      </c>
      <c r="E34">
        <v>5.0350000000000001</v>
      </c>
      <c r="F34">
        <v>0</v>
      </c>
      <c r="G34" s="26">
        <f t="shared" si="0"/>
        <v>8.6067520814576568</v>
      </c>
      <c r="H34" s="26">
        <f t="shared" si="7"/>
        <v>-0.11999999999998678</v>
      </c>
      <c r="I34" s="26">
        <f t="shared" si="1"/>
        <v>14.405000000000001</v>
      </c>
      <c r="J34" t="str">
        <f t="shared" si="2"/>
        <v>Steady</v>
      </c>
      <c r="K34" s="26" t="str">
        <f t="shared" si="3"/>
        <v/>
      </c>
      <c r="L34" s="26" t="str">
        <f t="shared" si="4"/>
        <v/>
      </c>
      <c r="N34" t="e">
        <f t="shared" si="5"/>
        <v>#N/A</v>
      </c>
      <c r="O34" t="e">
        <f t="shared" si="6"/>
        <v>#N/A</v>
      </c>
    </row>
    <row r="35" spans="1:15">
      <c r="A35" s="25">
        <v>46299</v>
      </c>
      <c r="B35">
        <v>19.477</v>
      </c>
      <c r="C35">
        <v>49.832999999999998</v>
      </c>
      <c r="D35">
        <v>943.47799999999995</v>
      </c>
      <c r="E35">
        <v>5</v>
      </c>
      <c r="F35">
        <v>0</v>
      </c>
      <c r="G35" s="26">
        <f t="shared" si="0"/>
        <v>8.7303822232768074</v>
      </c>
      <c r="H35" s="26">
        <f t="shared" si="7"/>
        <v>0</v>
      </c>
      <c r="I35" s="26">
        <f t="shared" si="1"/>
        <v>14.477</v>
      </c>
      <c r="J35" t="str">
        <f t="shared" si="2"/>
        <v>Steady</v>
      </c>
      <c r="K35" s="26" t="str">
        <f t="shared" si="3"/>
        <v/>
      </c>
      <c r="L35" s="26" t="str">
        <f t="shared" si="4"/>
        <v/>
      </c>
      <c r="N35" t="e">
        <f t="shared" si="5"/>
        <v>#N/A</v>
      </c>
      <c r="O35" t="e">
        <f t="shared" si="6"/>
        <v>#N/A</v>
      </c>
    </row>
    <row r="36" spans="1:15">
      <c r="A36" s="25">
        <v>46299.000694444447</v>
      </c>
      <c r="B36">
        <v>19.46</v>
      </c>
      <c r="C36">
        <v>49.552999999999997</v>
      </c>
      <c r="D36">
        <v>943.46299999999997</v>
      </c>
      <c r="E36">
        <v>4.99</v>
      </c>
      <c r="F36">
        <v>0</v>
      </c>
      <c r="G36" s="26">
        <f t="shared" si="0"/>
        <v>8.6314026437669931</v>
      </c>
      <c r="H36" s="26">
        <f t="shared" si="7"/>
        <v>0.29999999999999361</v>
      </c>
      <c r="I36" s="26">
        <f t="shared" si="1"/>
        <v>14.47</v>
      </c>
      <c r="J36" t="str">
        <f t="shared" si="2"/>
        <v>Steady</v>
      </c>
      <c r="K36" s="26" t="str">
        <f t="shared" si="3"/>
        <v/>
      </c>
      <c r="L36" s="26" t="str">
        <f t="shared" si="4"/>
        <v/>
      </c>
      <c r="N36" t="e">
        <f t="shared" si="5"/>
        <v>#N/A</v>
      </c>
      <c r="O36" t="e">
        <f t="shared" si="6"/>
        <v>#N/A</v>
      </c>
    </row>
    <row r="37" spans="1:15">
      <c r="A37" s="25">
        <v>46299.001388888893</v>
      </c>
      <c r="B37">
        <v>19.463000000000001</v>
      </c>
      <c r="C37">
        <v>49.822000000000003</v>
      </c>
      <c r="D37">
        <v>943.49300000000005</v>
      </c>
      <c r="E37">
        <v>4.9800000000000004</v>
      </c>
      <c r="F37">
        <v>0</v>
      </c>
      <c r="G37" s="26">
        <f t="shared" si="0"/>
        <v>8.7142385159577511</v>
      </c>
      <c r="H37" s="26">
        <f t="shared" si="7"/>
        <v>-0.33000000000003027</v>
      </c>
      <c r="I37" s="26">
        <f t="shared" si="1"/>
        <v>14.483000000000001</v>
      </c>
      <c r="J37" t="str">
        <f t="shared" si="2"/>
        <v>Cooling</v>
      </c>
      <c r="K37" s="26">
        <f t="shared" si="3"/>
        <v>14.483000000000001</v>
      </c>
      <c r="L37" s="26">
        <f t="shared" si="4"/>
        <v>-0.33000000000003027</v>
      </c>
      <c r="N37">
        <f t="shared" si="5"/>
        <v>14.483000000000001</v>
      </c>
      <c r="O37">
        <f t="shared" si="6"/>
        <v>-0.33000000000003027</v>
      </c>
    </row>
    <row r="38" spans="1:15">
      <c r="A38" s="25">
        <v>46299.002083333333</v>
      </c>
      <c r="B38">
        <v>19.46</v>
      </c>
      <c r="C38">
        <v>49.758000000000003</v>
      </c>
      <c r="D38">
        <v>943.47699999999998</v>
      </c>
      <c r="E38">
        <v>4.97</v>
      </c>
      <c r="F38">
        <v>0</v>
      </c>
      <c r="G38" s="26">
        <f t="shared" si="0"/>
        <v>8.6924621558470374</v>
      </c>
      <c r="H38" s="26">
        <f t="shared" si="7"/>
        <v>-0.11999999999998678</v>
      </c>
      <c r="I38" s="26">
        <f t="shared" si="1"/>
        <v>14.490000000000002</v>
      </c>
      <c r="J38" t="str">
        <f t="shared" si="2"/>
        <v>Steady</v>
      </c>
      <c r="K38" s="26" t="str">
        <f t="shared" si="3"/>
        <v/>
      </c>
      <c r="L38" s="26" t="str">
        <f t="shared" si="4"/>
        <v/>
      </c>
      <c r="N38" t="e">
        <f t="shared" si="5"/>
        <v>#N/A</v>
      </c>
      <c r="O38" t="e">
        <f t="shared" si="6"/>
        <v>#N/A</v>
      </c>
    </row>
    <row r="39" spans="1:15">
      <c r="A39" s="25">
        <v>46299.00277777778</v>
      </c>
      <c r="B39">
        <v>19.454999999999998</v>
      </c>
      <c r="C39">
        <v>50.158000000000001</v>
      </c>
      <c r="D39">
        <v>943.45799999999997</v>
      </c>
      <c r="E39">
        <v>4.96</v>
      </c>
      <c r="F39">
        <v>0</v>
      </c>
      <c r="G39" s="26">
        <f t="shared" si="0"/>
        <v>8.806363661292135</v>
      </c>
      <c r="H39" s="26">
        <f t="shared" si="7"/>
        <v>-0.22500000000000853</v>
      </c>
      <c r="I39" s="26">
        <f t="shared" si="1"/>
        <v>14.494999999999997</v>
      </c>
      <c r="J39" t="str">
        <f t="shared" si="2"/>
        <v>Cooling</v>
      </c>
      <c r="K39" s="26">
        <f t="shared" si="3"/>
        <v>14.494999999999997</v>
      </c>
      <c r="L39" s="26">
        <f t="shared" si="4"/>
        <v>-0.22500000000000853</v>
      </c>
      <c r="N39">
        <f t="shared" si="5"/>
        <v>14.494999999999997</v>
      </c>
      <c r="O39">
        <f t="shared" si="6"/>
        <v>-0.22500000000000853</v>
      </c>
    </row>
    <row r="40" spans="1:15">
      <c r="A40" s="25">
        <v>46299.003472222219</v>
      </c>
      <c r="B40">
        <v>19.452000000000002</v>
      </c>
      <c r="C40">
        <v>50.048000000000002</v>
      </c>
      <c r="D40">
        <v>943.48699999999997</v>
      </c>
      <c r="E40">
        <v>4.95</v>
      </c>
      <c r="F40">
        <v>0</v>
      </c>
      <c r="G40" s="26">
        <f t="shared" si="0"/>
        <v>8.7710987815307355</v>
      </c>
      <c r="H40" s="26">
        <f t="shared" si="7"/>
        <v>-0.22500000000000853</v>
      </c>
      <c r="I40" s="26">
        <f t="shared" si="1"/>
        <v>14.502000000000002</v>
      </c>
      <c r="J40" t="str">
        <f t="shared" si="2"/>
        <v>Cooling</v>
      </c>
      <c r="K40" s="26">
        <f t="shared" si="3"/>
        <v>14.502000000000002</v>
      </c>
      <c r="L40" s="26">
        <f t="shared" si="4"/>
        <v>-0.22500000000000853</v>
      </c>
      <c r="N40">
        <f t="shared" si="5"/>
        <v>14.502000000000002</v>
      </c>
      <c r="O40">
        <f t="shared" si="6"/>
        <v>-0.22500000000000853</v>
      </c>
    </row>
    <row r="41" spans="1:15">
      <c r="A41" s="25">
        <v>46299.004166666673</v>
      </c>
      <c r="B41">
        <v>19.448</v>
      </c>
      <c r="C41">
        <v>50.24</v>
      </c>
      <c r="D41">
        <v>943.48699999999997</v>
      </c>
      <c r="E41">
        <v>4.9400000000000004</v>
      </c>
      <c r="F41">
        <v>0</v>
      </c>
      <c r="G41" s="26">
        <f t="shared" si="0"/>
        <v>8.8241082339799597</v>
      </c>
      <c r="H41" s="26">
        <f t="shared" si="7"/>
        <v>-0.26999999999995694</v>
      </c>
      <c r="I41" s="26">
        <f t="shared" si="1"/>
        <v>14.507999999999999</v>
      </c>
      <c r="J41" t="str">
        <f t="shared" si="2"/>
        <v>Cooling</v>
      </c>
      <c r="K41" s="26">
        <f t="shared" si="3"/>
        <v>14.507999999999999</v>
      </c>
      <c r="L41" s="26">
        <f t="shared" si="4"/>
        <v>-0.26999999999995694</v>
      </c>
      <c r="N41">
        <f t="shared" si="5"/>
        <v>14.507999999999999</v>
      </c>
      <c r="O41">
        <f t="shared" si="6"/>
        <v>-0.26999999999995694</v>
      </c>
    </row>
    <row r="42" spans="1:15">
      <c r="A42" s="25">
        <v>46299.004861111112</v>
      </c>
      <c r="B42">
        <v>19.445</v>
      </c>
      <c r="C42">
        <v>50.375</v>
      </c>
      <c r="D42">
        <v>943.5</v>
      </c>
      <c r="E42">
        <v>4.93</v>
      </c>
      <c r="F42">
        <v>0</v>
      </c>
      <c r="G42" s="26">
        <f t="shared" si="0"/>
        <v>8.8610914796392048</v>
      </c>
      <c r="H42" s="26">
        <f t="shared" si="7"/>
        <v>-0.36000000000001364</v>
      </c>
      <c r="I42" s="26">
        <f t="shared" si="1"/>
        <v>14.515000000000001</v>
      </c>
      <c r="J42" t="str">
        <f t="shared" si="2"/>
        <v>Cooling</v>
      </c>
      <c r="K42" s="26">
        <f t="shared" si="3"/>
        <v>14.515000000000001</v>
      </c>
      <c r="L42" s="26">
        <f t="shared" si="4"/>
        <v>-0.36000000000001364</v>
      </c>
      <c r="N42">
        <f t="shared" si="5"/>
        <v>14.515000000000001</v>
      </c>
      <c r="O42">
        <f t="shared" si="6"/>
        <v>-0.36000000000001364</v>
      </c>
    </row>
    <row r="43" spans="1:15">
      <c r="A43" s="25">
        <v>46299.005555555559</v>
      </c>
      <c r="B43">
        <v>19.437000000000001</v>
      </c>
      <c r="C43">
        <v>50.015000000000001</v>
      </c>
      <c r="D43">
        <v>943.48500000000001</v>
      </c>
      <c r="E43">
        <v>4.92</v>
      </c>
      <c r="F43">
        <v>0</v>
      </c>
      <c r="G43" s="26">
        <f t="shared" si="0"/>
        <v>8.7475324000430508</v>
      </c>
      <c r="H43" s="26">
        <f t="shared" si="7"/>
        <v>-0.29999999999999361</v>
      </c>
      <c r="I43" s="26">
        <f t="shared" si="1"/>
        <v>14.517000000000001</v>
      </c>
      <c r="J43" t="str">
        <f t="shared" si="2"/>
        <v>Cooling</v>
      </c>
      <c r="K43" s="26">
        <f t="shared" si="3"/>
        <v>14.517000000000001</v>
      </c>
      <c r="L43" s="26">
        <f t="shared" si="4"/>
        <v>-0.29999999999999361</v>
      </c>
      <c r="N43">
        <f t="shared" si="5"/>
        <v>14.517000000000001</v>
      </c>
      <c r="O43">
        <f t="shared" si="6"/>
        <v>-0.29999999999999361</v>
      </c>
    </row>
    <row r="44" spans="1:15">
      <c r="A44" s="25">
        <v>46299.006249999999</v>
      </c>
      <c r="B44">
        <v>19.428000000000001</v>
      </c>
      <c r="C44">
        <v>50.247</v>
      </c>
      <c r="D44">
        <v>943.495</v>
      </c>
      <c r="E44">
        <v>4.91</v>
      </c>
      <c r="F44">
        <v>0</v>
      </c>
      <c r="G44" s="26">
        <f t="shared" si="0"/>
        <v>8.8077572944989235</v>
      </c>
      <c r="H44" s="26">
        <f t="shared" si="7"/>
        <v>-0.22500000000000853</v>
      </c>
      <c r="I44" s="26">
        <f t="shared" si="1"/>
        <v>14.518000000000001</v>
      </c>
      <c r="J44" t="str">
        <f t="shared" si="2"/>
        <v>Cooling</v>
      </c>
      <c r="K44" s="26">
        <f t="shared" si="3"/>
        <v>14.518000000000001</v>
      </c>
      <c r="L44" s="26">
        <f t="shared" si="4"/>
        <v>-0.22500000000000853</v>
      </c>
      <c r="N44">
        <f t="shared" si="5"/>
        <v>14.518000000000001</v>
      </c>
      <c r="O44">
        <f t="shared" si="6"/>
        <v>-0.22500000000000853</v>
      </c>
    </row>
    <row r="45" spans="1:15">
      <c r="A45" s="25">
        <v>46299.006944444453</v>
      </c>
      <c r="B45">
        <v>19.428000000000001</v>
      </c>
      <c r="C45">
        <v>50.505000000000003</v>
      </c>
      <c r="D45">
        <v>943.54300000000001</v>
      </c>
      <c r="E45">
        <v>4.9000000000000004</v>
      </c>
      <c r="F45">
        <v>0</v>
      </c>
      <c r="G45" s="26">
        <f t="shared" si="0"/>
        <v>8.8836145383742071</v>
      </c>
      <c r="H45" s="26">
        <f t="shared" si="7"/>
        <v>-0.21000000000004349</v>
      </c>
      <c r="I45" s="26">
        <f t="shared" si="1"/>
        <v>14.528</v>
      </c>
      <c r="J45" t="str">
        <f t="shared" si="2"/>
        <v>Cooling</v>
      </c>
      <c r="K45" s="26">
        <f t="shared" si="3"/>
        <v>14.528</v>
      </c>
      <c r="L45" s="26">
        <f t="shared" si="4"/>
        <v>-0.21000000000004349</v>
      </c>
      <c r="N45">
        <f t="shared" si="5"/>
        <v>14.528</v>
      </c>
      <c r="O45">
        <f t="shared" si="6"/>
        <v>-0.21000000000004349</v>
      </c>
    </row>
    <row r="46" spans="1:15">
      <c r="A46" s="25">
        <v>46299.007638888892</v>
      </c>
      <c r="B46">
        <v>19.43</v>
      </c>
      <c r="C46">
        <v>50.755000000000003</v>
      </c>
      <c r="D46">
        <v>943.548</v>
      </c>
      <c r="E46">
        <v>4.8899999999999997</v>
      </c>
      <c r="F46">
        <v>0</v>
      </c>
      <c r="G46" s="26">
        <f t="shared" si="0"/>
        <v>8.958637731077463</v>
      </c>
      <c r="H46" s="26">
        <f t="shared" si="7"/>
        <v>0</v>
      </c>
      <c r="I46" s="26">
        <f t="shared" si="1"/>
        <v>14.54</v>
      </c>
      <c r="J46" t="str">
        <f t="shared" si="2"/>
        <v>Steady</v>
      </c>
      <c r="K46" s="26" t="str">
        <f t="shared" si="3"/>
        <v/>
      </c>
      <c r="L46" s="26" t="str">
        <f t="shared" si="4"/>
        <v/>
      </c>
      <c r="N46" t="e">
        <f t="shared" si="5"/>
        <v>#N/A</v>
      </c>
      <c r="O46" t="e">
        <f t="shared" si="6"/>
        <v>#N/A</v>
      </c>
    </row>
    <row r="47" spans="1:15">
      <c r="A47" s="25">
        <v>46299.008333333331</v>
      </c>
      <c r="B47">
        <v>19.422999999999998</v>
      </c>
      <c r="C47">
        <v>50.734999999999999</v>
      </c>
      <c r="D47">
        <v>943.55799999999999</v>
      </c>
      <c r="E47">
        <v>4.88</v>
      </c>
      <c r="F47">
        <v>0</v>
      </c>
      <c r="G47" s="26">
        <f t="shared" si="0"/>
        <v>8.9463426835086324</v>
      </c>
      <c r="H47" s="26">
        <f t="shared" si="7"/>
        <v>5.9999999999966747E-2</v>
      </c>
      <c r="I47" s="26">
        <f t="shared" si="1"/>
        <v>14.542999999999999</v>
      </c>
      <c r="J47" t="str">
        <f t="shared" si="2"/>
        <v>Steady</v>
      </c>
      <c r="K47" s="26" t="str">
        <f t="shared" si="3"/>
        <v/>
      </c>
      <c r="L47" s="26" t="str">
        <f t="shared" si="4"/>
        <v/>
      </c>
      <c r="N47" t="e">
        <f t="shared" si="5"/>
        <v>#N/A</v>
      </c>
      <c r="O47" t="e">
        <f t="shared" si="6"/>
        <v>#N/A</v>
      </c>
    </row>
    <row r="48" spans="1:15">
      <c r="A48" s="25">
        <v>46299.009027777778</v>
      </c>
      <c r="B48">
        <v>19.428000000000001</v>
      </c>
      <c r="C48">
        <v>50.643000000000001</v>
      </c>
      <c r="D48">
        <v>943.57</v>
      </c>
      <c r="E48">
        <v>4.87</v>
      </c>
      <c r="F48">
        <v>0</v>
      </c>
      <c r="G48" s="26">
        <f t="shared" si="0"/>
        <v>8.9240490895860116</v>
      </c>
      <c r="H48" s="26">
        <f t="shared" si="7"/>
        <v>-7.4999999999985079E-2</v>
      </c>
      <c r="I48" s="26">
        <f t="shared" si="1"/>
        <v>14.558</v>
      </c>
      <c r="J48" t="str">
        <f t="shared" si="2"/>
        <v>Steady</v>
      </c>
      <c r="K48" s="26" t="str">
        <f t="shared" si="3"/>
        <v/>
      </c>
      <c r="L48" s="26" t="str">
        <f t="shared" si="4"/>
        <v/>
      </c>
      <c r="N48" t="e">
        <f t="shared" si="5"/>
        <v>#N/A</v>
      </c>
      <c r="O48" t="e">
        <f t="shared" si="6"/>
        <v>#N/A</v>
      </c>
    </row>
    <row r="49" spans="1:15">
      <c r="A49" s="25">
        <v>46299.009722222218</v>
      </c>
      <c r="B49">
        <v>19.431999999999999</v>
      </c>
      <c r="C49">
        <v>50.643000000000001</v>
      </c>
      <c r="D49">
        <v>943.56</v>
      </c>
      <c r="E49">
        <v>4.8600000000000003</v>
      </c>
      <c r="F49">
        <v>0</v>
      </c>
      <c r="G49" s="26">
        <f t="shared" si="0"/>
        <v>8.9277353342792001</v>
      </c>
      <c r="H49" s="26">
        <f t="shared" si="7"/>
        <v>-7.4999999999985079E-2</v>
      </c>
      <c r="I49" s="26">
        <f t="shared" si="1"/>
        <v>14.571999999999999</v>
      </c>
      <c r="J49" t="str">
        <f t="shared" si="2"/>
        <v>Steady</v>
      </c>
      <c r="K49" s="26" t="str">
        <f t="shared" si="3"/>
        <v/>
      </c>
      <c r="L49" s="26" t="str">
        <f t="shared" si="4"/>
        <v/>
      </c>
      <c r="N49" t="e">
        <f t="shared" si="5"/>
        <v>#N/A</v>
      </c>
      <c r="O49" t="e">
        <f t="shared" si="6"/>
        <v>#N/A</v>
      </c>
    </row>
    <row r="50" spans="1:15">
      <c r="A50" s="25">
        <v>46299.010416666657</v>
      </c>
      <c r="B50">
        <v>19.425000000000001</v>
      </c>
      <c r="C50">
        <v>50.67</v>
      </c>
      <c r="D50">
        <v>943.54300000000001</v>
      </c>
      <c r="E50">
        <v>4.8499999999999996</v>
      </c>
      <c r="F50">
        <v>0</v>
      </c>
      <c r="G50" s="26">
        <f t="shared" si="0"/>
        <v>8.9291839640855937</v>
      </c>
      <c r="H50" s="26">
        <f t="shared" si="7"/>
        <v>-0.15000000000002345</v>
      </c>
      <c r="I50" s="26">
        <f t="shared" si="1"/>
        <v>14.575000000000001</v>
      </c>
      <c r="J50" t="str">
        <f t="shared" si="2"/>
        <v>Steady</v>
      </c>
      <c r="K50" s="26" t="str">
        <f t="shared" si="3"/>
        <v/>
      </c>
      <c r="L50" s="26" t="str">
        <f t="shared" si="4"/>
        <v/>
      </c>
      <c r="N50" t="e">
        <f t="shared" si="5"/>
        <v>#N/A</v>
      </c>
      <c r="O50" t="e">
        <f t="shared" si="6"/>
        <v>#N/A</v>
      </c>
    </row>
    <row r="51" spans="1:15">
      <c r="A51" s="25">
        <v>46299.011111111111</v>
      </c>
      <c r="B51">
        <v>19.417999999999999</v>
      </c>
      <c r="C51">
        <v>50.747</v>
      </c>
      <c r="D51">
        <v>943.55200000000002</v>
      </c>
      <c r="E51">
        <v>4.84</v>
      </c>
      <c r="F51">
        <v>0</v>
      </c>
      <c r="G51" s="26">
        <f t="shared" si="0"/>
        <v>8.9452394572656377</v>
      </c>
      <c r="H51" s="26">
        <f t="shared" si="7"/>
        <v>-0.2549999999999919</v>
      </c>
      <c r="I51" s="26">
        <f t="shared" si="1"/>
        <v>14.577999999999999</v>
      </c>
      <c r="J51" t="str">
        <f t="shared" si="2"/>
        <v>Cooling</v>
      </c>
      <c r="K51" s="26">
        <f t="shared" si="3"/>
        <v>14.577999999999999</v>
      </c>
      <c r="L51" s="26">
        <f t="shared" si="4"/>
        <v>-0.2549999999999919</v>
      </c>
      <c r="N51">
        <f t="shared" si="5"/>
        <v>14.577999999999999</v>
      </c>
      <c r="O51">
        <f t="shared" si="6"/>
        <v>-0.2549999999999919</v>
      </c>
    </row>
    <row r="52" spans="1:15">
      <c r="A52" s="25">
        <v>46299.011805555558</v>
      </c>
      <c r="B52">
        <v>19.417999999999999</v>
      </c>
      <c r="C52">
        <v>50.825000000000003</v>
      </c>
      <c r="D52">
        <v>943.58799999999997</v>
      </c>
      <c r="E52">
        <v>4.83</v>
      </c>
      <c r="F52">
        <v>0</v>
      </c>
      <c r="G52" s="26">
        <f t="shared" si="0"/>
        <v>8.968007895437724</v>
      </c>
      <c r="H52" s="26">
        <f t="shared" si="7"/>
        <v>-0.33000000000003027</v>
      </c>
      <c r="I52" s="26">
        <f t="shared" si="1"/>
        <v>14.587999999999999</v>
      </c>
      <c r="J52" t="str">
        <f t="shared" si="2"/>
        <v>Cooling</v>
      </c>
      <c r="K52" s="26">
        <f t="shared" si="3"/>
        <v>14.587999999999999</v>
      </c>
      <c r="L52" s="26">
        <f t="shared" si="4"/>
        <v>-0.33000000000003027</v>
      </c>
      <c r="N52">
        <f t="shared" si="5"/>
        <v>14.587999999999999</v>
      </c>
      <c r="O52">
        <f t="shared" si="6"/>
        <v>-0.33000000000003027</v>
      </c>
    </row>
    <row r="53" spans="1:15">
      <c r="A53" s="25">
        <v>46299.012499999997</v>
      </c>
      <c r="B53">
        <v>19.414999999999999</v>
      </c>
      <c r="C53">
        <v>50.84</v>
      </c>
      <c r="D53">
        <v>943.54499999999996</v>
      </c>
      <c r="E53">
        <v>4.82</v>
      </c>
      <c r="F53">
        <v>0</v>
      </c>
      <c r="G53" s="26">
        <f t="shared" si="0"/>
        <v>8.9696169482552843</v>
      </c>
      <c r="H53" s="26">
        <f t="shared" si="7"/>
        <v>-0.27000000000001023</v>
      </c>
      <c r="I53" s="26">
        <f t="shared" si="1"/>
        <v>14.594999999999999</v>
      </c>
      <c r="J53" t="str">
        <f t="shared" si="2"/>
        <v>Cooling</v>
      </c>
      <c r="K53" s="26">
        <f t="shared" si="3"/>
        <v>14.594999999999999</v>
      </c>
      <c r="L53" s="26">
        <f t="shared" si="4"/>
        <v>-0.27000000000001023</v>
      </c>
      <c r="N53">
        <f t="shared" si="5"/>
        <v>14.594999999999999</v>
      </c>
      <c r="O53">
        <f t="shared" si="6"/>
        <v>-0.27000000000001023</v>
      </c>
    </row>
    <row r="54" spans="1:15">
      <c r="A54" s="25">
        <v>46299.013194444437</v>
      </c>
      <c r="B54">
        <v>19.402999999999999</v>
      </c>
      <c r="C54">
        <v>51.085000000000001</v>
      </c>
      <c r="D54">
        <v>943.56299999999999</v>
      </c>
      <c r="E54">
        <v>4.8099999999999996</v>
      </c>
      <c r="F54">
        <v>0</v>
      </c>
      <c r="G54" s="26">
        <f t="shared" si="0"/>
        <v>9.029843031530504</v>
      </c>
      <c r="H54" s="26">
        <f t="shared" si="7"/>
        <v>-0.44999999999996376</v>
      </c>
      <c r="I54" s="26">
        <f t="shared" si="1"/>
        <v>14.593</v>
      </c>
      <c r="J54" t="str">
        <f t="shared" si="2"/>
        <v>Cooling</v>
      </c>
      <c r="K54" s="26">
        <f t="shared" si="3"/>
        <v>14.593</v>
      </c>
      <c r="L54" s="26">
        <f t="shared" si="4"/>
        <v>-0.44999999999996376</v>
      </c>
      <c r="N54">
        <f t="shared" si="5"/>
        <v>14.593</v>
      </c>
      <c r="O54">
        <f t="shared" si="6"/>
        <v>-0.44999999999996376</v>
      </c>
    </row>
    <row r="55" spans="1:15">
      <c r="A55" s="25">
        <v>46299.013888888891</v>
      </c>
      <c r="B55">
        <v>19.399999999999999</v>
      </c>
      <c r="C55">
        <v>50.957000000000001</v>
      </c>
      <c r="D55">
        <v>943.52499999999998</v>
      </c>
      <c r="E55">
        <v>4.8</v>
      </c>
      <c r="F55">
        <v>0</v>
      </c>
      <c r="G55" s="26">
        <f t="shared" si="0"/>
        <v>8.9898686816175459</v>
      </c>
      <c r="H55" s="26">
        <f t="shared" si="7"/>
        <v>-0.49499999999996547</v>
      </c>
      <c r="I55" s="26">
        <f t="shared" si="1"/>
        <v>14.599999999999998</v>
      </c>
      <c r="J55" t="str">
        <f t="shared" si="2"/>
        <v>Cooling</v>
      </c>
      <c r="K55" s="26">
        <f t="shared" si="3"/>
        <v>14.599999999999998</v>
      </c>
      <c r="L55" s="26">
        <f t="shared" si="4"/>
        <v>-0.49499999999996547</v>
      </c>
      <c r="N55">
        <f t="shared" si="5"/>
        <v>14.599999999999998</v>
      </c>
      <c r="O55">
        <f t="shared" si="6"/>
        <v>-0.49499999999996547</v>
      </c>
    </row>
    <row r="56" spans="1:15">
      <c r="A56" s="25">
        <v>46299.01458333333</v>
      </c>
      <c r="B56">
        <v>19.388000000000002</v>
      </c>
      <c r="C56">
        <v>50.95</v>
      </c>
      <c r="D56">
        <v>943.53</v>
      </c>
      <c r="E56">
        <v>4.79</v>
      </c>
      <c r="F56">
        <v>0</v>
      </c>
      <c r="G56" s="26">
        <f t="shared" si="0"/>
        <v>8.9767648352238698</v>
      </c>
      <c r="H56" s="26">
        <f t="shared" si="7"/>
        <v>-0.14999999999997016</v>
      </c>
      <c r="I56" s="26">
        <f t="shared" si="1"/>
        <v>14.598000000000003</v>
      </c>
      <c r="J56" t="str">
        <f t="shared" si="2"/>
        <v>Steady</v>
      </c>
      <c r="K56" s="26" t="str">
        <f t="shared" si="3"/>
        <v/>
      </c>
      <c r="L56" s="26" t="str">
        <f t="shared" si="4"/>
        <v/>
      </c>
      <c r="N56" t="e">
        <f t="shared" si="5"/>
        <v>#N/A</v>
      </c>
      <c r="O56" t="e">
        <f t="shared" si="6"/>
        <v>#N/A</v>
      </c>
    </row>
    <row r="57" spans="1:15">
      <c r="A57" s="25">
        <v>46299.015277777777</v>
      </c>
      <c r="B57">
        <v>19.382000000000001</v>
      </c>
      <c r="C57">
        <v>51.085000000000001</v>
      </c>
      <c r="D57">
        <v>943.47799999999995</v>
      </c>
      <c r="E57">
        <v>4.78</v>
      </c>
      <c r="F57">
        <v>0</v>
      </c>
      <c r="G57" s="26">
        <f t="shared" si="0"/>
        <v>9.0104702284919806</v>
      </c>
      <c r="H57" s="26">
        <f t="shared" si="7"/>
        <v>-0.29999999999999361</v>
      </c>
      <c r="I57" s="26">
        <f t="shared" si="1"/>
        <v>14.602</v>
      </c>
      <c r="J57" t="str">
        <f t="shared" si="2"/>
        <v>Cooling</v>
      </c>
      <c r="K57" s="26">
        <f t="shared" si="3"/>
        <v>14.602</v>
      </c>
      <c r="L57" s="26">
        <f t="shared" si="4"/>
        <v>-0.29999999999999361</v>
      </c>
      <c r="N57">
        <f t="shared" si="5"/>
        <v>14.602</v>
      </c>
      <c r="O57">
        <f t="shared" si="6"/>
        <v>-0.29999999999999361</v>
      </c>
    </row>
    <row r="58" spans="1:15">
      <c r="A58" s="25">
        <v>46299.015972222223</v>
      </c>
      <c r="B58">
        <v>19.393000000000001</v>
      </c>
      <c r="C58">
        <v>51.073</v>
      </c>
      <c r="D58">
        <v>943.48699999999997</v>
      </c>
      <c r="E58">
        <v>4.7699999999999996</v>
      </c>
      <c r="F58">
        <v>0</v>
      </c>
      <c r="G58" s="26">
        <f t="shared" si="0"/>
        <v>9.0171334386130546</v>
      </c>
      <c r="H58" s="26">
        <f t="shared" si="7"/>
        <v>-0.22500000000000853</v>
      </c>
      <c r="I58" s="26">
        <f t="shared" si="1"/>
        <v>14.623000000000001</v>
      </c>
      <c r="J58" t="str">
        <f t="shared" si="2"/>
        <v>Cooling</v>
      </c>
      <c r="K58" s="26">
        <f t="shared" si="3"/>
        <v>14.623000000000001</v>
      </c>
      <c r="L58" s="26">
        <f t="shared" si="4"/>
        <v>-0.22500000000000853</v>
      </c>
      <c r="N58">
        <f t="shared" si="5"/>
        <v>14.623000000000001</v>
      </c>
      <c r="O58">
        <f t="shared" si="6"/>
        <v>-0.22500000000000853</v>
      </c>
    </row>
    <row r="59" spans="1:15">
      <c r="A59" s="25">
        <v>46299.01666666667</v>
      </c>
      <c r="B59">
        <v>19.38</v>
      </c>
      <c r="C59">
        <v>51.036999999999999</v>
      </c>
      <c r="D59">
        <v>943.44299999999998</v>
      </c>
      <c r="E59">
        <v>4.76</v>
      </c>
      <c r="F59">
        <v>0</v>
      </c>
      <c r="G59" s="26">
        <f t="shared" si="0"/>
        <v>8.9946843284380478</v>
      </c>
      <c r="H59" s="26">
        <f t="shared" si="7"/>
        <v>-0.18000000000000682</v>
      </c>
      <c r="I59" s="26">
        <f t="shared" si="1"/>
        <v>14.62</v>
      </c>
      <c r="J59" t="str">
        <f t="shared" si="2"/>
        <v>Steady</v>
      </c>
      <c r="K59" s="26" t="str">
        <f t="shared" si="3"/>
        <v/>
      </c>
      <c r="L59" s="26" t="str">
        <f t="shared" si="4"/>
        <v/>
      </c>
      <c r="N59" t="e">
        <f t="shared" si="5"/>
        <v>#N/A</v>
      </c>
      <c r="O59" t="e">
        <f t="shared" si="6"/>
        <v>#N/A</v>
      </c>
    </row>
    <row r="60" spans="1:15">
      <c r="A60" s="25">
        <v>46299.017361111109</v>
      </c>
      <c r="B60">
        <v>19.373000000000001</v>
      </c>
      <c r="C60">
        <v>51.012999999999998</v>
      </c>
      <c r="D60">
        <v>943.447</v>
      </c>
      <c r="E60">
        <v>4.75</v>
      </c>
      <c r="F60">
        <v>0</v>
      </c>
      <c r="G60" s="26">
        <f t="shared" si="0"/>
        <v>8.9812529969085553</v>
      </c>
      <c r="H60" s="26">
        <f t="shared" si="7"/>
        <v>-0.31500000000001194</v>
      </c>
      <c r="I60" s="26">
        <f t="shared" si="1"/>
        <v>14.623000000000001</v>
      </c>
      <c r="J60" t="str">
        <f t="shared" si="2"/>
        <v>Cooling</v>
      </c>
      <c r="K60" s="26">
        <f t="shared" si="3"/>
        <v>14.623000000000001</v>
      </c>
      <c r="L60" s="26">
        <f t="shared" si="4"/>
        <v>-0.31500000000001194</v>
      </c>
      <c r="N60">
        <f t="shared" si="5"/>
        <v>14.623000000000001</v>
      </c>
      <c r="O60">
        <f t="shared" si="6"/>
        <v>-0.31500000000001194</v>
      </c>
    </row>
    <row r="61" spans="1:15">
      <c r="A61" s="25">
        <v>46299.018055555563</v>
      </c>
      <c r="B61">
        <v>19.37</v>
      </c>
      <c r="C61">
        <v>51.162999999999997</v>
      </c>
      <c r="D61">
        <v>943.428</v>
      </c>
      <c r="E61">
        <v>4.74</v>
      </c>
      <c r="F61">
        <v>0</v>
      </c>
      <c r="G61" s="26">
        <f t="shared" si="0"/>
        <v>9.0220276184512809</v>
      </c>
      <c r="H61" s="26">
        <f t="shared" si="7"/>
        <v>-0.22500000000000853</v>
      </c>
      <c r="I61" s="26">
        <f t="shared" si="1"/>
        <v>14.63</v>
      </c>
      <c r="J61" t="str">
        <f t="shared" si="2"/>
        <v>Cooling</v>
      </c>
      <c r="K61" s="26">
        <f t="shared" si="3"/>
        <v>14.63</v>
      </c>
      <c r="L61" s="26">
        <f t="shared" si="4"/>
        <v>-0.22500000000000853</v>
      </c>
      <c r="N61">
        <f t="shared" si="5"/>
        <v>14.63</v>
      </c>
      <c r="O61">
        <f t="shared" si="6"/>
        <v>-0.22500000000000853</v>
      </c>
    </row>
    <row r="62" spans="1:15">
      <c r="A62" s="25">
        <v>46299.018750000003</v>
      </c>
      <c r="B62">
        <v>19.372</v>
      </c>
      <c r="C62">
        <v>51.137</v>
      </c>
      <c r="D62">
        <v>943.42700000000002</v>
      </c>
      <c r="E62">
        <v>4.7300000000000004</v>
      </c>
      <c r="F62">
        <v>0</v>
      </c>
      <c r="G62" s="26">
        <f t="shared" si="0"/>
        <v>9.0163337247272803</v>
      </c>
      <c r="H62" s="26">
        <f t="shared" si="7"/>
        <v>-0.31500000000001194</v>
      </c>
      <c r="I62" s="26">
        <f t="shared" si="1"/>
        <v>14.641999999999999</v>
      </c>
      <c r="J62" t="str">
        <f t="shared" si="2"/>
        <v>Cooling</v>
      </c>
      <c r="K62" s="26">
        <f t="shared" si="3"/>
        <v>14.641999999999999</v>
      </c>
      <c r="L62" s="26">
        <f t="shared" si="4"/>
        <v>-0.31500000000001194</v>
      </c>
      <c r="N62">
        <f t="shared" si="5"/>
        <v>14.641999999999999</v>
      </c>
      <c r="O62">
        <f t="shared" si="6"/>
        <v>-0.31500000000001194</v>
      </c>
    </row>
    <row r="63" spans="1:15">
      <c r="A63" s="25">
        <v>46299.019444444442</v>
      </c>
      <c r="B63">
        <v>19.364999999999998</v>
      </c>
      <c r="C63">
        <v>51.23</v>
      </c>
      <c r="D63">
        <v>943.428</v>
      </c>
      <c r="E63">
        <v>4.72</v>
      </c>
      <c r="F63">
        <v>0</v>
      </c>
      <c r="G63" s="26">
        <f t="shared" si="0"/>
        <v>9.0368257285607658</v>
      </c>
      <c r="H63" s="26">
        <f t="shared" si="7"/>
        <v>-0.29999999999999361</v>
      </c>
      <c r="I63" s="26">
        <f t="shared" si="1"/>
        <v>14.645</v>
      </c>
      <c r="J63" t="str">
        <f t="shared" si="2"/>
        <v>Cooling</v>
      </c>
      <c r="K63" s="26">
        <f t="shared" si="3"/>
        <v>14.645</v>
      </c>
      <c r="L63" s="26">
        <f t="shared" si="4"/>
        <v>-0.29999999999999361</v>
      </c>
      <c r="N63">
        <f t="shared" si="5"/>
        <v>14.645</v>
      </c>
      <c r="O63">
        <f t="shared" si="6"/>
        <v>-0.29999999999999361</v>
      </c>
    </row>
    <row r="64" spans="1:15">
      <c r="A64" s="25">
        <v>46299.020138888889</v>
      </c>
      <c r="B64">
        <v>19.352</v>
      </c>
      <c r="C64">
        <v>51.302999999999997</v>
      </c>
      <c r="D64">
        <v>943.42200000000003</v>
      </c>
      <c r="E64">
        <v>4.71</v>
      </c>
      <c r="F64">
        <v>0</v>
      </c>
      <c r="G64" s="26">
        <f t="shared" si="0"/>
        <v>9.0459513179343993</v>
      </c>
      <c r="H64" s="26">
        <f t="shared" si="7"/>
        <v>-0.29999999999999361</v>
      </c>
      <c r="I64" s="26">
        <f t="shared" si="1"/>
        <v>14.641999999999999</v>
      </c>
      <c r="J64" t="str">
        <f t="shared" si="2"/>
        <v>Cooling</v>
      </c>
      <c r="K64" s="26">
        <f t="shared" si="3"/>
        <v>14.641999999999999</v>
      </c>
      <c r="L64" s="26">
        <f t="shared" si="4"/>
        <v>-0.29999999999999361</v>
      </c>
      <c r="N64">
        <f t="shared" si="5"/>
        <v>14.641999999999999</v>
      </c>
      <c r="O64">
        <f t="shared" si="6"/>
        <v>-0.29999999999999361</v>
      </c>
    </row>
    <row r="65" spans="1:15">
      <c r="A65" s="25">
        <v>46299.020833333343</v>
      </c>
      <c r="B65">
        <v>19.350000000000001</v>
      </c>
      <c r="C65">
        <v>51.468000000000004</v>
      </c>
      <c r="D65">
        <v>943.47500000000002</v>
      </c>
      <c r="E65">
        <v>4.7</v>
      </c>
      <c r="F65">
        <v>0</v>
      </c>
      <c r="G65" s="26">
        <f t="shared" si="0"/>
        <v>9.0917495202872818</v>
      </c>
      <c r="H65" s="26">
        <f t="shared" si="7"/>
        <v>-0.40499999999996206</v>
      </c>
      <c r="I65" s="26">
        <f t="shared" si="1"/>
        <v>14.650000000000002</v>
      </c>
      <c r="J65" t="str">
        <f t="shared" si="2"/>
        <v>Cooling</v>
      </c>
      <c r="K65" s="26">
        <f t="shared" si="3"/>
        <v>14.650000000000002</v>
      </c>
      <c r="L65" s="26">
        <f t="shared" si="4"/>
        <v>-0.40499999999996206</v>
      </c>
      <c r="N65">
        <f t="shared" si="5"/>
        <v>14.650000000000002</v>
      </c>
      <c r="O65">
        <f t="shared" si="6"/>
        <v>-0.40499999999996206</v>
      </c>
    </row>
    <row r="66" spans="1:15">
      <c r="A66" s="25">
        <v>46299.021527777782</v>
      </c>
      <c r="B66">
        <v>19.352</v>
      </c>
      <c r="C66">
        <v>51.472999999999999</v>
      </c>
      <c r="D66">
        <v>943.49300000000005</v>
      </c>
      <c r="E66">
        <v>4.6900000000000004</v>
      </c>
      <c r="F66">
        <v>0</v>
      </c>
      <c r="G66" s="26">
        <f t="shared" ref="G66:G129" si="8">243.04*(LN(C66/100)+17.625*B66/(243.04+B66))/(17.625-LN(C66/100)-17.625*B66/(243.04+B66))</f>
        <v>9.095037874187808</v>
      </c>
      <c r="H66" s="26">
        <f t="shared" si="7"/>
        <v>-0.2549999999999919</v>
      </c>
      <c r="I66" s="26">
        <f t="shared" ref="I66:I129" si="9">B66-E66</f>
        <v>14.661999999999999</v>
      </c>
      <c r="J66" t="str">
        <f t="shared" ref="J66:J129" si="10">IF(H66="","",IF(H66&gt;0.6,"Heating",IF(H66&lt;-0.2,"Cooling","Steady")))</f>
        <v>Cooling</v>
      </c>
      <c r="K66" s="26">
        <f t="shared" ref="K66:K129" si="11">IF(J66="Cooling",I66,"")</f>
        <v>14.661999999999999</v>
      </c>
      <c r="L66" s="26">
        <f t="shared" ref="L66:L129" si="12">IF(J66="Cooling",H66,"")</f>
        <v>-0.2549999999999919</v>
      </c>
      <c r="N66">
        <f t="shared" ref="N66:N129" si="13">IF(K66="",NA(),K66)</f>
        <v>14.661999999999999</v>
      </c>
      <c r="O66">
        <f t="shared" ref="O66:O129" si="14">IF(L66="",NA(),L66)</f>
        <v>-0.2549999999999919</v>
      </c>
    </row>
    <row r="67" spans="1:15">
      <c r="A67" s="25">
        <v>46299.022222222222</v>
      </c>
      <c r="B67">
        <v>19.338000000000001</v>
      </c>
      <c r="C67">
        <v>51.451999999999998</v>
      </c>
      <c r="D67">
        <v>943.48800000000006</v>
      </c>
      <c r="E67">
        <v>4.68</v>
      </c>
      <c r="F67">
        <v>0</v>
      </c>
      <c r="G67" s="26">
        <f t="shared" si="8"/>
        <v>9.0760557183315544</v>
      </c>
      <c r="H67" s="26">
        <f t="shared" si="7"/>
        <v>-7.5000000000038369E-2</v>
      </c>
      <c r="I67" s="26">
        <f t="shared" si="9"/>
        <v>14.658000000000001</v>
      </c>
      <c r="J67" t="str">
        <f t="shared" si="10"/>
        <v>Steady</v>
      </c>
      <c r="K67" s="26" t="str">
        <f t="shared" si="11"/>
        <v/>
      </c>
      <c r="L67" s="26" t="str">
        <f t="shared" si="12"/>
        <v/>
      </c>
      <c r="N67" t="e">
        <f t="shared" si="13"/>
        <v>#N/A</v>
      </c>
      <c r="O67" t="e">
        <f t="shared" si="14"/>
        <v>#N/A</v>
      </c>
    </row>
    <row r="68" spans="1:15">
      <c r="A68" s="25">
        <v>46299.022916666669</v>
      </c>
      <c r="B68">
        <v>19.335000000000001</v>
      </c>
      <c r="C68">
        <v>51.26</v>
      </c>
      <c r="D68">
        <v>943.52700000000004</v>
      </c>
      <c r="E68">
        <v>4.67</v>
      </c>
      <c r="F68">
        <v>0</v>
      </c>
      <c r="G68" s="26">
        <f t="shared" si="8"/>
        <v>9.0178232786225578</v>
      </c>
      <c r="H68" s="26">
        <f t="shared" ref="H68:H131" si="15">(B70-B66)/4*60</f>
        <v>-0.2549999999999919</v>
      </c>
      <c r="I68" s="26">
        <f t="shared" si="9"/>
        <v>14.665000000000001</v>
      </c>
      <c r="J68" t="str">
        <f t="shared" si="10"/>
        <v>Cooling</v>
      </c>
      <c r="K68" s="26">
        <f t="shared" si="11"/>
        <v>14.665000000000001</v>
      </c>
      <c r="L68" s="26">
        <f t="shared" si="12"/>
        <v>-0.2549999999999919</v>
      </c>
      <c r="N68">
        <f t="shared" si="13"/>
        <v>14.665000000000001</v>
      </c>
      <c r="O68">
        <f t="shared" si="14"/>
        <v>-0.2549999999999919</v>
      </c>
    </row>
    <row r="69" spans="1:15">
      <c r="A69" s="25">
        <v>46299.023611111108</v>
      </c>
      <c r="B69">
        <v>19.344999999999999</v>
      </c>
      <c r="C69">
        <v>51.372999999999998</v>
      </c>
      <c r="D69">
        <v>943.52300000000002</v>
      </c>
      <c r="E69">
        <v>4.66</v>
      </c>
      <c r="F69">
        <v>0</v>
      </c>
      <c r="G69" s="26">
        <f t="shared" si="8"/>
        <v>9.0597188232715329</v>
      </c>
      <c r="H69" s="26">
        <f t="shared" si="15"/>
        <v>-0.15000000000002345</v>
      </c>
      <c r="I69" s="26">
        <f t="shared" si="9"/>
        <v>14.684999999999999</v>
      </c>
      <c r="J69" t="str">
        <f t="shared" si="10"/>
        <v>Steady</v>
      </c>
      <c r="K69" s="26" t="str">
        <f t="shared" si="11"/>
        <v/>
      </c>
      <c r="L69" s="26" t="str">
        <f t="shared" si="12"/>
        <v/>
      </c>
      <c r="N69" t="e">
        <f t="shared" si="13"/>
        <v>#N/A</v>
      </c>
      <c r="O69" t="e">
        <f t="shared" si="14"/>
        <v>#N/A</v>
      </c>
    </row>
    <row r="70" spans="1:15">
      <c r="A70" s="25">
        <v>46299.024305555547</v>
      </c>
      <c r="B70">
        <v>19.335000000000001</v>
      </c>
      <c r="C70">
        <v>51.414999999999999</v>
      </c>
      <c r="D70">
        <v>943.51499999999999</v>
      </c>
      <c r="E70">
        <v>4.6500000000000004</v>
      </c>
      <c r="F70">
        <v>0</v>
      </c>
      <c r="G70" s="26">
        <f t="shared" si="8"/>
        <v>9.062611927014423</v>
      </c>
      <c r="H70" s="26">
        <f t="shared" si="15"/>
        <v>-0.18000000000000682</v>
      </c>
      <c r="I70" s="26">
        <f t="shared" si="9"/>
        <v>14.685</v>
      </c>
      <c r="J70" t="str">
        <f t="shared" si="10"/>
        <v>Steady</v>
      </c>
      <c r="K70" s="26" t="str">
        <f t="shared" si="11"/>
        <v/>
      </c>
      <c r="L70" s="26" t="str">
        <f t="shared" si="12"/>
        <v/>
      </c>
      <c r="N70" t="e">
        <f t="shared" si="13"/>
        <v>#N/A</v>
      </c>
      <c r="O70" t="e">
        <f t="shared" si="14"/>
        <v>#N/A</v>
      </c>
    </row>
    <row r="71" spans="1:15">
      <c r="A71" s="25">
        <v>46299.025000000001</v>
      </c>
      <c r="B71">
        <v>19.327999999999999</v>
      </c>
      <c r="C71">
        <v>51.552</v>
      </c>
      <c r="D71">
        <v>943.53300000000002</v>
      </c>
      <c r="E71">
        <v>4.6399999999999997</v>
      </c>
      <c r="F71">
        <v>0</v>
      </c>
      <c r="G71" s="26">
        <f t="shared" si="8"/>
        <v>9.0956356011244903</v>
      </c>
      <c r="H71" s="26">
        <f t="shared" si="15"/>
        <v>-0.14999999999997016</v>
      </c>
      <c r="I71" s="26">
        <f t="shared" si="9"/>
        <v>14.687999999999999</v>
      </c>
      <c r="J71" t="str">
        <f t="shared" si="10"/>
        <v>Steady</v>
      </c>
      <c r="K71" s="26" t="str">
        <f t="shared" si="11"/>
        <v/>
      </c>
      <c r="L71" s="26" t="str">
        <f t="shared" si="12"/>
        <v/>
      </c>
      <c r="N71" t="e">
        <f t="shared" si="13"/>
        <v>#N/A</v>
      </c>
      <c r="O71" t="e">
        <f t="shared" si="14"/>
        <v>#N/A</v>
      </c>
    </row>
    <row r="72" spans="1:15">
      <c r="A72" s="25">
        <v>46299.025694444441</v>
      </c>
      <c r="B72">
        <v>19.323</v>
      </c>
      <c r="C72">
        <v>51.634999999999998</v>
      </c>
      <c r="D72">
        <v>943.52200000000005</v>
      </c>
      <c r="E72">
        <v>4.63</v>
      </c>
      <c r="F72">
        <v>0</v>
      </c>
      <c r="G72" s="26">
        <f t="shared" si="8"/>
        <v>9.1148944562107204</v>
      </c>
      <c r="H72" s="26">
        <f t="shared" si="15"/>
        <v>-3.0000000000036664E-2</v>
      </c>
      <c r="I72" s="26">
        <f t="shared" si="9"/>
        <v>14.693000000000001</v>
      </c>
      <c r="J72" t="str">
        <f t="shared" si="10"/>
        <v>Steady</v>
      </c>
      <c r="K72" s="26" t="str">
        <f t="shared" si="11"/>
        <v/>
      </c>
      <c r="L72" s="26" t="str">
        <f t="shared" si="12"/>
        <v/>
      </c>
      <c r="N72" t="e">
        <f t="shared" si="13"/>
        <v>#N/A</v>
      </c>
      <c r="O72" t="e">
        <f t="shared" si="14"/>
        <v>#N/A</v>
      </c>
    </row>
    <row r="73" spans="1:15">
      <c r="A73" s="25">
        <v>46299.026388888888</v>
      </c>
      <c r="B73">
        <v>19.335000000000001</v>
      </c>
      <c r="C73">
        <v>51.755000000000003</v>
      </c>
      <c r="D73">
        <v>943.52700000000004</v>
      </c>
      <c r="E73">
        <v>4.62</v>
      </c>
      <c r="F73">
        <v>0</v>
      </c>
      <c r="G73" s="26">
        <f t="shared" si="8"/>
        <v>9.160442221584896</v>
      </c>
      <c r="H73" s="26">
        <f t="shared" si="15"/>
        <v>-9.0000000000003411E-2</v>
      </c>
      <c r="I73" s="26">
        <f t="shared" si="9"/>
        <v>14.715</v>
      </c>
      <c r="J73" t="str">
        <f t="shared" si="10"/>
        <v>Steady</v>
      </c>
      <c r="K73" s="26" t="str">
        <f t="shared" si="11"/>
        <v/>
      </c>
      <c r="L73" s="26" t="str">
        <f t="shared" si="12"/>
        <v/>
      </c>
      <c r="N73" t="e">
        <f t="shared" si="13"/>
        <v>#N/A</v>
      </c>
      <c r="O73" t="e">
        <f t="shared" si="14"/>
        <v>#N/A</v>
      </c>
    </row>
    <row r="74" spans="1:15">
      <c r="A74" s="25">
        <v>46299.027083333327</v>
      </c>
      <c r="B74">
        <v>19.332999999999998</v>
      </c>
      <c r="C74">
        <v>51.895000000000003</v>
      </c>
      <c r="D74">
        <v>943.51199999999994</v>
      </c>
      <c r="E74">
        <v>4.6100000000000003</v>
      </c>
      <c r="F74">
        <v>0</v>
      </c>
      <c r="G74" s="26">
        <f t="shared" si="8"/>
        <v>9.1987120727641134</v>
      </c>
      <c r="H74" s="26">
        <f t="shared" si="15"/>
        <v>7.4999999999985079E-2</v>
      </c>
      <c r="I74" s="26">
        <f t="shared" si="9"/>
        <v>14.722999999999999</v>
      </c>
      <c r="J74" t="str">
        <f t="shared" si="10"/>
        <v>Steady</v>
      </c>
      <c r="K74" s="26" t="str">
        <f t="shared" si="11"/>
        <v/>
      </c>
      <c r="L74" s="26" t="str">
        <f t="shared" si="12"/>
        <v/>
      </c>
      <c r="N74" t="e">
        <f t="shared" si="13"/>
        <v>#N/A</v>
      </c>
      <c r="O74" t="e">
        <f t="shared" si="14"/>
        <v>#N/A</v>
      </c>
    </row>
    <row r="75" spans="1:15">
      <c r="A75" s="25">
        <v>46299.027777777781</v>
      </c>
      <c r="B75">
        <v>19.321999999999999</v>
      </c>
      <c r="C75">
        <v>51.814999999999998</v>
      </c>
      <c r="D75">
        <v>943.48500000000001</v>
      </c>
      <c r="E75">
        <v>4.5999999999999996</v>
      </c>
      <c r="F75">
        <v>0</v>
      </c>
      <c r="G75" s="26">
        <f t="shared" si="8"/>
        <v>9.1656345364935703</v>
      </c>
      <c r="H75" s="26">
        <f t="shared" si="15"/>
        <v>-0.15000000000002345</v>
      </c>
      <c r="I75" s="26">
        <f t="shared" si="9"/>
        <v>14.722</v>
      </c>
      <c r="J75" t="str">
        <f t="shared" si="10"/>
        <v>Steady</v>
      </c>
      <c r="K75" s="26" t="str">
        <f t="shared" si="11"/>
        <v/>
      </c>
      <c r="L75" s="26" t="str">
        <f t="shared" si="12"/>
        <v/>
      </c>
      <c r="N75" t="e">
        <f t="shared" si="13"/>
        <v>#N/A</v>
      </c>
      <c r="O75" t="e">
        <f t="shared" si="14"/>
        <v>#N/A</v>
      </c>
    </row>
    <row r="76" spans="1:15">
      <c r="A76" s="25">
        <v>46299.02847222222</v>
      </c>
      <c r="B76">
        <v>19.327999999999999</v>
      </c>
      <c r="C76">
        <v>51.773000000000003</v>
      </c>
      <c r="D76">
        <v>943.48800000000006</v>
      </c>
      <c r="E76">
        <v>4.59</v>
      </c>
      <c r="F76">
        <v>0</v>
      </c>
      <c r="G76" s="26">
        <f t="shared" si="8"/>
        <v>9.1591377561630871</v>
      </c>
      <c r="H76" s="26">
        <f t="shared" si="15"/>
        <v>-7.4999999999985079E-2</v>
      </c>
      <c r="I76" s="26">
        <f t="shared" si="9"/>
        <v>14.738</v>
      </c>
      <c r="J76" t="str">
        <f t="shared" si="10"/>
        <v>Steady</v>
      </c>
      <c r="K76" s="26" t="str">
        <f t="shared" si="11"/>
        <v/>
      </c>
      <c r="L76" s="26" t="str">
        <f t="shared" si="12"/>
        <v/>
      </c>
      <c r="N76" t="e">
        <f t="shared" si="13"/>
        <v>#N/A</v>
      </c>
      <c r="O76" t="e">
        <f t="shared" si="14"/>
        <v>#N/A</v>
      </c>
    </row>
    <row r="77" spans="1:15">
      <c r="A77" s="25">
        <v>46299.029166666667</v>
      </c>
      <c r="B77">
        <v>19.324999999999999</v>
      </c>
      <c r="C77">
        <v>51.933</v>
      </c>
      <c r="D77">
        <v>943.50699999999995</v>
      </c>
      <c r="E77">
        <v>4.58</v>
      </c>
      <c r="F77">
        <v>0</v>
      </c>
      <c r="G77" s="26">
        <f t="shared" si="8"/>
        <v>9.2021901249681779</v>
      </c>
      <c r="H77" s="26">
        <f t="shared" si="15"/>
        <v>9.0000000000003411E-2</v>
      </c>
      <c r="I77" s="26">
        <f t="shared" si="9"/>
        <v>14.744999999999999</v>
      </c>
      <c r="J77" t="str">
        <f t="shared" si="10"/>
        <v>Steady</v>
      </c>
      <c r="K77" s="26" t="str">
        <f t="shared" si="11"/>
        <v/>
      </c>
      <c r="L77" s="26" t="str">
        <f t="shared" si="12"/>
        <v/>
      </c>
      <c r="N77" t="e">
        <f t="shared" si="13"/>
        <v>#N/A</v>
      </c>
      <c r="O77" t="e">
        <f t="shared" si="14"/>
        <v>#N/A</v>
      </c>
    </row>
    <row r="78" spans="1:15">
      <c r="A78" s="25">
        <v>46299.029861111107</v>
      </c>
      <c r="B78">
        <v>19.327999999999999</v>
      </c>
      <c r="C78">
        <v>51.695</v>
      </c>
      <c r="D78">
        <v>943.47699999999998</v>
      </c>
      <c r="E78">
        <v>4.57</v>
      </c>
      <c r="F78">
        <v>0</v>
      </c>
      <c r="G78" s="26">
        <f t="shared" si="8"/>
        <v>9.1367525865575026</v>
      </c>
      <c r="H78" s="26">
        <f t="shared" si="15"/>
        <v>-0.23999999999997357</v>
      </c>
      <c r="I78" s="26">
        <f t="shared" si="9"/>
        <v>14.757999999999999</v>
      </c>
      <c r="J78" t="str">
        <f t="shared" si="10"/>
        <v>Cooling</v>
      </c>
      <c r="K78" s="26">
        <f t="shared" si="11"/>
        <v>14.757999999999999</v>
      </c>
      <c r="L78" s="26">
        <f t="shared" si="12"/>
        <v>-0.23999999999997357</v>
      </c>
      <c r="N78">
        <f t="shared" si="13"/>
        <v>14.757999999999999</v>
      </c>
      <c r="O78">
        <f t="shared" si="14"/>
        <v>-0.23999999999997357</v>
      </c>
    </row>
    <row r="79" spans="1:15">
      <c r="A79" s="25">
        <v>46299.030555555553</v>
      </c>
      <c r="B79">
        <v>19.327999999999999</v>
      </c>
      <c r="C79">
        <v>51.813000000000002</v>
      </c>
      <c r="D79">
        <v>943.47500000000002</v>
      </c>
      <c r="E79">
        <v>4.5599999999999996</v>
      </c>
      <c r="F79">
        <v>0</v>
      </c>
      <c r="G79" s="26">
        <f t="shared" si="8"/>
        <v>9.1706057910675156</v>
      </c>
      <c r="H79" s="26">
        <f t="shared" si="15"/>
        <v>-0.19499999999997186</v>
      </c>
      <c r="I79" s="26">
        <f t="shared" si="9"/>
        <v>14.768000000000001</v>
      </c>
      <c r="J79" t="str">
        <f t="shared" si="10"/>
        <v>Steady</v>
      </c>
      <c r="K79" s="26" t="str">
        <f t="shared" si="11"/>
        <v/>
      </c>
      <c r="L79" s="26" t="str">
        <f t="shared" si="12"/>
        <v/>
      </c>
      <c r="N79" t="e">
        <f t="shared" si="13"/>
        <v>#N/A</v>
      </c>
      <c r="O79" t="e">
        <f t="shared" si="14"/>
        <v>#N/A</v>
      </c>
    </row>
    <row r="80" spans="1:15">
      <c r="A80" s="25">
        <v>46299.03125</v>
      </c>
      <c r="B80">
        <v>19.312000000000001</v>
      </c>
      <c r="C80">
        <v>51.784999999999997</v>
      </c>
      <c r="D80">
        <v>943.46500000000003</v>
      </c>
      <c r="E80">
        <v>4.55</v>
      </c>
      <c r="F80">
        <v>0</v>
      </c>
      <c r="G80" s="26">
        <f t="shared" si="8"/>
        <v>9.1477947702581162</v>
      </c>
      <c r="H80" s="26">
        <f t="shared" si="15"/>
        <v>-0.52500000000000213</v>
      </c>
      <c r="I80" s="26">
        <f t="shared" si="9"/>
        <v>14.762</v>
      </c>
      <c r="J80" t="str">
        <f t="shared" si="10"/>
        <v>Cooling</v>
      </c>
      <c r="K80" s="26">
        <f t="shared" si="11"/>
        <v>14.762</v>
      </c>
      <c r="L80" s="26">
        <f t="shared" si="12"/>
        <v>-0.52500000000000213</v>
      </c>
      <c r="N80">
        <f t="shared" si="13"/>
        <v>14.762</v>
      </c>
      <c r="O80">
        <f t="shared" si="14"/>
        <v>-0.52500000000000213</v>
      </c>
    </row>
    <row r="81" spans="1:15">
      <c r="A81" s="25">
        <v>46299.031944444447</v>
      </c>
      <c r="B81">
        <v>19.312000000000001</v>
      </c>
      <c r="C81">
        <v>52.008000000000003</v>
      </c>
      <c r="D81">
        <v>943.46</v>
      </c>
      <c r="E81">
        <v>4.54</v>
      </c>
      <c r="F81">
        <v>0</v>
      </c>
      <c r="G81" s="26">
        <f t="shared" si="8"/>
        <v>9.2116091554289579</v>
      </c>
      <c r="H81" s="26">
        <f t="shared" si="15"/>
        <v>-0.38999999999999702</v>
      </c>
      <c r="I81" s="26">
        <f t="shared" si="9"/>
        <v>14.772000000000002</v>
      </c>
      <c r="J81" t="str">
        <f t="shared" si="10"/>
        <v>Cooling</v>
      </c>
      <c r="K81" s="26">
        <f t="shared" si="11"/>
        <v>14.772000000000002</v>
      </c>
      <c r="L81" s="26">
        <f t="shared" si="12"/>
        <v>-0.38999999999999702</v>
      </c>
      <c r="N81">
        <f t="shared" si="13"/>
        <v>14.772000000000002</v>
      </c>
      <c r="O81">
        <f t="shared" si="14"/>
        <v>-0.38999999999999702</v>
      </c>
    </row>
    <row r="82" spans="1:15">
      <c r="A82" s="25">
        <v>46299.032638888893</v>
      </c>
      <c r="B82">
        <v>19.292999999999999</v>
      </c>
      <c r="C82">
        <v>52.122999999999998</v>
      </c>
      <c r="D82">
        <v>943.44200000000001</v>
      </c>
      <c r="E82">
        <v>4.53</v>
      </c>
      <c r="F82">
        <v>0</v>
      </c>
      <c r="G82" s="26">
        <f t="shared" si="8"/>
        <v>9.226853827170153</v>
      </c>
      <c r="H82" s="26">
        <f t="shared" si="15"/>
        <v>-0.15000000000002345</v>
      </c>
      <c r="I82" s="26">
        <f t="shared" si="9"/>
        <v>14.762999999999998</v>
      </c>
      <c r="J82" t="str">
        <f t="shared" si="10"/>
        <v>Steady</v>
      </c>
      <c r="K82" s="26" t="str">
        <f t="shared" si="11"/>
        <v/>
      </c>
      <c r="L82" s="26" t="str">
        <f t="shared" si="12"/>
        <v/>
      </c>
      <c r="N82" t="e">
        <f t="shared" si="13"/>
        <v>#N/A</v>
      </c>
      <c r="O82" t="e">
        <f t="shared" si="14"/>
        <v>#N/A</v>
      </c>
    </row>
    <row r="83" spans="1:15">
      <c r="A83" s="25">
        <v>46299.033333333333</v>
      </c>
      <c r="B83">
        <v>19.302</v>
      </c>
      <c r="C83">
        <v>51.825000000000003</v>
      </c>
      <c r="D83">
        <v>943.45699999999999</v>
      </c>
      <c r="E83">
        <v>4.5199999999999996</v>
      </c>
      <c r="F83">
        <v>0</v>
      </c>
      <c r="G83" s="26">
        <f t="shared" si="8"/>
        <v>9.1500181061075931</v>
      </c>
      <c r="H83" s="26">
        <f t="shared" si="15"/>
        <v>-0.22500000000000853</v>
      </c>
      <c r="I83" s="26">
        <f t="shared" si="9"/>
        <v>14.782</v>
      </c>
      <c r="J83" t="str">
        <f t="shared" si="10"/>
        <v>Cooling</v>
      </c>
      <c r="K83" s="26">
        <f t="shared" si="11"/>
        <v>14.782</v>
      </c>
      <c r="L83" s="26">
        <f t="shared" si="12"/>
        <v>-0.22500000000000853</v>
      </c>
      <c r="N83">
        <f t="shared" si="13"/>
        <v>14.782</v>
      </c>
      <c r="O83">
        <f t="shared" si="14"/>
        <v>-0.22500000000000853</v>
      </c>
    </row>
    <row r="84" spans="1:15">
      <c r="A84" s="25">
        <v>46299.03402777778</v>
      </c>
      <c r="B84">
        <v>19.302</v>
      </c>
      <c r="C84">
        <v>51.896999999999998</v>
      </c>
      <c r="D84">
        <v>943.452</v>
      </c>
      <c r="E84">
        <v>4.51</v>
      </c>
      <c r="F84">
        <v>0</v>
      </c>
      <c r="G84" s="26">
        <f t="shared" si="8"/>
        <v>9.170632761622965</v>
      </c>
      <c r="H84" s="26">
        <f t="shared" si="15"/>
        <v>7.4999999999985079E-2</v>
      </c>
      <c r="I84" s="26">
        <f t="shared" si="9"/>
        <v>14.792</v>
      </c>
      <c r="J84" t="str">
        <f t="shared" si="10"/>
        <v>Steady</v>
      </c>
      <c r="K84" s="26" t="str">
        <f t="shared" si="11"/>
        <v/>
      </c>
      <c r="L84" s="26" t="str">
        <f t="shared" si="12"/>
        <v/>
      </c>
      <c r="N84" t="e">
        <f t="shared" si="13"/>
        <v>#N/A</v>
      </c>
      <c r="O84" t="e">
        <f t="shared" si="14"/>
        <v>#N/A</v>
      </c>
    </row>
    <row r="85" spans="1:15">
      <c r="A85" s="25">
        <v>46299.034722222219</v>
      </c>
      <c r="B85">
        <v>19.297000000000001</v>
      </c>
      <c r="C85">
        <v>52.152999999999999</v>
      </c>
      <c r="D85">
        <v>943.46799999999996</v>
      </c>
      <c r="E85">
        <v>4.5</v>
      </c>
      <c r="F85">
        <v>0</v>
      </c>
      <c r="G85" s="26">
        <f t="shared" si="8"/>
        <v>9.2391015944927464</v>
      </c>
      <c r="H85" s="26">
        <f t="shared" si="15"/>
        <v>-0.18000000000000682</v>
      </c>
      <c r="I85" s="26">
        <f t="shared" si="9"/>
        <v>14.797000000000001</v>
      </c>
      <c r="J85" t="str">
        <f t="shared" si="10"/>
        <v>Steady</v>
      </c>
      <c r="K85" s="26" t="str">
        <f t="shared" si="11"/>
        <v/>
      </c>
      <c r="L85" s="26" t="str">
        <f t="shared" si="12"/>
        <v/>
      </c>
      <c r="N85" t="e">
        <f t="shared" si="13"/>
        <v>#N/A</v>
      </c>
      <c r="O85" t="e">
        <f t="shared" si="14"/>
        <v>#N/A</v>
      </c>
    </row>
    <row r="86" spans="1:15">
      <c r="A86" s="25">
        <v>46299.035416666673</v>
      </c>
      <c r="B86">
        <v>19.297999999999998</v>
      </c>
      <c r="C86">
        <v>52.115000000000002</v>
      </c>
      <c r="D86">
        <v>943.45299999999997</v>
      </c>
      <c r="E86">
        <v>4.49</v>
      </c>
      <c r="F86">
        <v>0</v>
      </c>
      <c r="G86" s="26">
        <f t="shared" si="8"/>
        <v>9.2291970253752353</v>
      </c>
      <c r="H86" s="26">
        <f t="shared" si="15"/>
        <v>-0.32999999999997698</v>
      </c>
      <c r="I86" s="26">
        <f t="shared" si="9"/>
        <v>14.807999999999998</v>
      </c>
      <c r="J86" t="str">
        <f t="shared" si="10"/>
        <v>Cooling</v>
      </c>
      <c r="K86" s="26">
        <f t="shared" si="11"/>
        <v>14.807999999999998</v>
      </c>
      <c r="L86" s="26">
        <f t="shared" si="12"/>
        <v>-0.32999999999997698</v>
      </c>
      <c r="N86">
        <f t="shared" si="13"/>
        <v>14.807999999999998</v>
      </c>
      <c r="O86">
        <f t="shared" si="14"/>
        <v>-0.32999999999997698</v>
      </c>
    </row>
    <row r="87" spans="1:15">
      <c r="A87" s="25">
        <v>46299.036111111112</v>
      </c>
      <c r="B87">
        <v>19.29</v>
      </c>
      <c r="C87">
        <v>51.96</v>
      </c>
      <c r="D87">
        <v>943.47500000000002</v>
      </c>
      <c r="E87">
        <v>4.4800000000000004</v>
      </c>
      <c r="F87">
        <v>0</v>
      </c>
      <c r="G87" s="26">
        <f t="shared" si="8"/>
        <v>9.1775572503450462</v>
      </c>
      <c r="H87" s="26">
        <f t="shared" si="15"/>
        <v>-0.29999999999999361</v>
      </c>
      <c r="I87" s="26">
        <f t="shared" si="9"/>
        <v>14.809999999999999</v>
      </c>
      <c r="J87" t="str">
        <f t="shared" si="10"/>
        <v>Cooling</v>
      </c>
      <c r="K87" s="26">
        <f t="shared" si="11"/>
        <v>14.809999999999999</v>
      </c>
      <c r="L87" s="26">
        <f t="shared" si="12"/>
        <v>-0.29999999999999361</v>
      </c>
      <c r="N87">
        <f t="shared" si="13"/>
        <v>14.809999999999999</v>
      </c>
      <c r="O87">
        <f t="shared" si="14"/>
        <v>-0.29999999999999361</v>
      </c>
    </row>
    <row r="88" spans="1:15">
      <c r="A88" s="25">
        <v>46299.036805555559</v>
      </c>
      <c r="B88">
        <v>19.28</v>
      </c>
      <c r="C88">
        <v>52.033000000000001</v>
      </c>
      <c r="D88">
        <v>943.48699999999997</v>
      </c>
      <c r="E88">
        <v>4.47</v>
      </c>
      <c r="F88">
        <v>0</v>
      </c>
      <c r="G88" s="26">
        <f t="shared" si="8"/>
        <v>9.1891628954948015</v>
      </c>
      <c r="H88" s="26">
        <f t="shared" si="15"/>
        <v>-0.53999999999996717</v>
      </c>
      <c r="I88" s="26">
        <f t="shared" si="9"/>
        <v>14.810000000000002</v>
      </c>
      <c r="J88" t="str">
        <f t="shared" si="10"/>
        <v>Cooling</v>
      </c>
      <c r="K88" s="26">
        <f t="shared" si="11"/>
        <v>14.810000000000002</v>
      </c>
      <c r="L88" s="26">
        <f t="shared" si="12"/>
        <v>-0.53999999999996717</v>
      </c>
      <c r="N88">
        <f t="shared" si="13"/>
        <v>14.810000000000002</v>
      </c>
      <c r="O88">
        <f t="shared" si="14"/>
        <v>-0.53999999999996717</v>
      </c>
    </row>
    <row r="89" spans="1:15">
      <c r="A89" s="25">
        <v>46299.037499999999</v>
      </c>
      <c r="B89">
        <v>19.277000000000001</v>
      </c>
      <c r="C89">
        <v>52.16</v>
      </c>
      <c r="D89">
        <v>943.48199999999997</v>
      </c>
      <c r="E89">
        <v>4.46</v>
      </c>
      <c r="F89">
        <v>0</v>
      </c>
      <c r="G89" s="26">
        <f t="shared" si="8"/>
        <v>9.2225995420734321</v>
      </c>
      <c r="H89" s="26">
        <f t="shared" si="15"/>
        <v>-0.41999999999998039</v>
      </c>
      <c r="I89" s="26">
        <f t="shared" si="9"/>
        <v>14.817</v>
      </c>
      <c r="J89" t="str">
        <f t="shared" si="10"/>
        <v>Cooling</v>
      </c>
      <c r="K89" s="26">
        <f t="shared" si="11"/>
        <v>14.817</v>
      </c>
      <c r="L89" s="26">
        <f t="shared" si="12"/>
        <v>-0.41999999999998039</v>
      </c>
      <c r="N89">
        <f t="shared" si="13"/>
        <v>14.817</v>
      </c>
      <c r="O89">
        <f t="shared" si="14"/>
        <v>-0.41999999999998039</v>
      </c>
    </row>
    <row r="90" spans="1:15">
      <c r="A90" s="25">
        <v>46299.038194444453</v>
      </c>
      <c r="B90">
        <v>19.262</v>
      </c>
      <c r="C90">
        <v>51.972000000000001</v>
      </c>
      <c r="D90">
        <v>943.43299999999999</v>
      </c>
      <c r="E90">
        <v>4.45</v>
      </c>
      <c r="F90">
        <v>0</v>
      </c>
      <c r="G90" s="26">
        <f t="shared" si="8"/>
        <v>9.1551028998494122</v>
      </c>
      <c r="H90" s="26">
        <f t="shared" si="15"/>
        <v>-0.40500000000001535</v>
      </c>
      <c r="I90" s="26">
        <f t="shared" si="9"/>
        <v>14.812000000000001</v>
      </c>
      <c r="J90" t="str">
        <f t="shared" si="10"/>
        <v>Cooling</v>
      </c>
      <c r="K90" s="26">
        <f t="shared" si="11"/>
        <v>14.812000000000001</v>
      </c>
      <c r="L90" s="26">
        <f t="shared" si="12"/>
        <v>-0.40500000000001535</v>
      </c>
      <c r="N90">
        <f t="shared" si="13"/>
        <v>14.812000000000001</v>
      </c>
      <c r="O90">
        <f t="shared" si="14"/>
        <v>-0.40500000000001535</v>
      </c>
    </row>
    <row r="91" spans="1:15">
      <c r="A91" s="25">
        <v>46299.038888888892</v>
      </c>
      <c r="B91">
        <v>19.262</v>
      </c>
      <c r="C91">
        <v>52.04</v>
      </c>
      <c r="D91">
        <v>943.452</v>
      </c>
      <c r="E91">
        <v>4.4400000000000004</v>
      </c>
      <c r="F91">
        <v>0</v>
      </c>
      <c r="G91" s="26">
        <f t="shared" si="8"/>
        <v>9.1745187035748614</v>
      </c>
      <c r="H91" s="26">
        <f t="shared" si="15"/>
        <v>-0.2549999999999919</v>
      </c>
      <c r="I91" s="26">
        <f t="shared" si="9"/>
        <v>14.821999999999999</v>
      </c>
      <c r="J91" t="str">
        <f t="shared" si="10"/>
        <v>Cooling</v>
      </c>
      <c r="K91" s="26">
        <f t="shared" si="11"/>
        <v>14.821999999999999</v>
      </c>
      <c r="L91" s="26">
        <f t="shared" si="12"/>
        <v>-0.2549999999999919</v>
      </c>
      <c r="N91">
        <f t="shared" si="13"/>
        <v>14.821999999999999</v>
      </c>
      <c r="O91">
        <f t="shared" si="14"/>
        <v>-0.2549999999999919</v>
      </c>
    </row>
    <row r="92" spans="1:15">
      <c r="A92" s="25">
        <v>46299.039583333331</v>
      </c>
      <c r="B92">
        <v>19.253</v>
      </c>
      <c r="C92">
        <v>52.122999999999998</v>
      </c>
      <c r="D92">
        <v>943.44</v>
      </c>
      <c r="E92">
        <v>4.43</v>
      </c>
      <c r="F92">
        <v>0</v>
      </c>
      <c r="G92" s="26">
        <f t="shared" si="8"/>
        <v>9.1898644462709083</v>
      </c>
      <c r="H92" s="26">
        <f t="shared" si="15"/>
        <v>1.5000000000018332E-2</v>
      </c>
      <c r="I92" s="26">
        <f t="shared" si="9"/>
        <v>14.823</v>
      </c>
      <c r="J92" t="str">
        <f t="shared" si="10"/>
        <v>Steady</v>
      </c>
      <c r="K92" s="26" t="str">
        <f t="shared" si="11"/>
        <v/>
      </c>
      <c r="L92" s="26" t="str">
        <f t="shared" si="12"/>
        <v/>
      </c>
      <c r="N92" t="e">
        <f t="shared" si="13"/>
        <v>#N/A</v>
      </c>
      <c r="O92" t="e">
        <f t="shared" si="14"/>
        <v>#N/A</v>
      </c>
    </row>
    <row r="93" spans="1:15">
      <c r="A93" s="25">
        <v>46299.040277777778</v>
      </c>
      <c r="B93">
        <v>19.260000000000002</v>
      </c>
      <c r="C93">
        <v>52.031999999999996</v>
      </c>
      <c r="D93">
        <v>943.44200000000001</v>
      </c>
      <c r="E93">
        <v>4.42</v>
      </c>
      <c r="F93">
        <v>0</v>
      </c>
      <c r="G93" s="26">
        <f t="shared" si="8"/>
        <v>9.1703865585151068</v>
      </c>
      <c r="H93" s="26">
        <f t="shared" si="15"/>
        <v>0</v>
      </c>
      <c r="I93" s="26">
        <f t="shared" si="9"/>
        <v>14.840000000000002</v>
      </c>
      <c r="J93" t="str">
        <f t="shared" si="10"/>
        <v>Steady</v>
      </c>
      <c r="K93" s="26" t="str">
        <f t="shared" si="11"/>
        <v/>
      </c>
      <c r="L93" s="26" t="str">
        <f t="shared" si="12"/>
        <v/>
      </c>
      <c r="N93" t="e">
        <f t="shared" si="13"/>
        <v>#N/A</v>
      </c>
      <c r="O93" t="e">
        <f t="shared" si="14"/>
        <v>#N/A</v>
      </c>
    </row>
    <row r="94" spans="1:15">
      <c r="A94" s="25">
        <v>46299.040972222218</v>
      </c>
      <c r="B94">
        <v>19.263000000000002</v>
      </c>
      <c r="C94">
        <v>52.256999999999998</v>
      </c>
      <c r="D94">
        <v>943.44299999999998</v>
      </c>
      <c r="E94">
        <v>4.41</v>
      </c>
      <c r="F94">
        <v>0</v>
      </c>
      <c r="G94" s="26">
        <f t="shared" si="8"/>
        <v>9.237253649323014</v>
      </c>
      <c r="H94" s="26">
        <f t="shared" si="15"/>
        <v>0.22500000000000853</v>
      </c>
      <c r="I94" s="26">
        <f t="shared" si="9"/>
        <v>14.853000000000002</v>
      </c>
      <c r="J94" t="str">
        <f t="shared" si="10"/>
        <v>Steady</v>
      </c>
      <c r="K94" s="26" t="str">
        <f t="shared" si="11"/>
        <v/>
      </c>
      <c r="L94" s="26" t="str">
        <f t="shared" si="12"/>
        <v/>
      </c>
      <c r="N94" t="e">
        <f t="shared" si="13"/>
        <v>#N/A</v>
      </c>
      <c r="O94" t="e">
        <f t="shared" si="14"/>
        <v>#N/A</v>
      </c>
    </row>
    <row r="95" spans="1:15">
      <c r="A95" s="25">
        <v>46299.041666666657</v>
      </c>
      <c r="B95">
        <v>19.262</v>
      </c>
      <c r="C95">
        <v>51.975000000000001</v>
      </c>
      <c r="D95">
        <v>943.45299999999997</v>
      </c>
      <c r="E95">
        <v>4.4000000000000004</v>
      </c>
      <c r="F95">
        <v>0</v>
      </c>
      <c r="G95" s="26">
        <f t="shared" si="8"/>
        <v>9.1559599518695904</v>
      </c>
      <c r="H95" s="26">
        <f t="shared" si="15"/>
        <v>7.4999999999985079E-2</v>
      </c>
      <c r="I95" s="26">
        <f t="shared" si="9"/>
        <v>14.862</v>
      </c>
      <c r="J95" t="str">
        <f t="shared" si="10"/>
        <v>Steady</v>
      </c>
      <c r="K95" s="26" t="str">
        <f t="shared" si="11"/>
        <v/>
      </c>
      <c r="L95" s="26" t="str">
        <f t="shared" si="12"/>
        <v/>
      </c>
      <c r="N95" t="e">
        <f t="shared" si="13"/>
        <v>#N/A</v>
      </c>
      <c r="O95" t="e">
        <f t="shared" si="14"/>
        <v>#N/A</v>
      </c>
    </row>
    <row r="96" spans="1:15">
      <c r="A96" s="25">
        <v>46299.042361111111</v>
      </c>
      <c r="B96">
        <v>19.268000000000001</v>
      </c>
      <c r="C96">
        <v>52.088000000000001</v>
      </c>
      <c r="D96">
        <v>943.45699999999999</v>
      </c>
      <c r="E96">
        <v>4.3920000000000003</v>
      </c>
      <c r="F96">
        <v>0</v>
      </c>
      <c r="G96" s="26">
        <f t="shared" si="8"/>
        <v>9.193758486364132</v>
      </c>
      <c r="H96" s="26">
        <f t="shared" si="15"/>
        <v>-0.12000000000004007</v>
      </c>
      <c r="I96" s="26">
        <f t="shared" si="9"/>
        <v>14.876000000000001</v>
      </c>
      <c r="J96" t="str">
        <f t="shared" si="10"/>
        <v>Steady</v>
      </c>
      <c r="K96" s="26" t="str">
        <f t="shared" si="11"/>
        <v/>
      </c>
      <c r="L96" s="26" t="str">
        <f t="shared" si="12"/>
        <v/>
      </c>
      <c r="N96" t="e">
        <f t="shared" si="13"/>
        <v>#N/A</v>
      </c>
      <c r="O96" t="e">
        <f t="shared" si="14"/>
        <v>#N/A</v>
      </c>
    </row>
    <row r="97" spans="1:15">
      <c r="A97" s="25">
        <v>46299.043055555558</v>
      </c>
      <c r="B97">
        <v>19.265000000000001</v>
      </c>
      <c r="C97">
        <v>52.13</v>
      </c>
      <c r="D97">
        <v>943.46799999999996</v>
      </c>
      <c r="E97">
        <v>4.383</v>
      </c>
      <c r="F97">
        <v>0</v>
      </c>
      <c r="G97" s="26">
        <f t="shared" si="8"/>
        <v>9.2029559585225265</v>
      </c>
      <c r="H97" s="26">
        <f t="shared" si="15"/>
        <v>-6.0000000000020037E-2</v>
      </c>
      <c r="I97" s="26">
        <f t="shared" si="9"/>
        <v>14.882000000000001</v>
      </c>
      <c r="J97" t="str">
        <f t="shared" si="10"/>
        <v>Steady</v>
      </c>
      <c r="K97" s="26" t="str">
        <f t="shared" si="11"/>
        <v/>
      </c>
      <c r="L97" s="26" t="str">
        <f t="shared" si="12"/>
        <v/>
      </c>
      <c r="N97" t="e">
        <f t="shared" si="13"/>
        <v>#N/A</v>
      </c>
      <c r="O97" t="e">
        <f t="shared" si="14"/>
        <v>#N/A</v>
      </c>
    </row>
    <row r="98" spans="1:15">
      <c r="A98" s="25">
        <v>46299.043749999997</v>
      </c>
      <c r="B98">
        <v>19.254999999999999</v>
      </c>
      <c r="C98">
        <v>52.122999999999998</v>
      </c>
      <c r="D98">
        <v>943.46699999999998</v>
      </c>
      <c r="E98">
        <v>4.375</v>
      </c>
      <c r="F98">
        <v>0</v>
      </c>
      <c r="G98" s="26">
        <f t="shared" si="8"/>
        <v>9.1917139255958062</v>
      </c>
      <c r="H98" s="26">
        <f t="shared" si="15"/>
        <v>-0.31500000000001194</v>
      </c>
      <c r="I98" s="26">
        <f t="shared" si="9"/>
        <v>14.879999999999999</v>
      </c>
      <c r="J98" t="str">
        <f t="shared" si="10"/>
        <v>Cooling</v>
      </c>
      <c r="K98" s="26">
        <f t="shared" si="11"/>
        <v>14.879999999999999</v>
      </c>
      <c r="L98" s="26">
        <f t="shared" si="12"/>
        <v>-0.31500000000001194</v>
      </c>
      <c r="N98">
        <f t="shared" si="13"/>
        <v>14.879999999999999</v>
      </c>
      <c r="O98">
        <f t="shared" si="14"/>
        <v>-0.31500000000001194</v>
      </c>
    </row>
    <row r="99" spans="1:15">
      <c r="A99" s="25">
        <v>46299.044444444437</v>
      </c>
      <c r="B99">
        <v>19.257999999999999</v>
      </c>
      <c r="C99">
        <v>51.975000000000001</v>
      </c>
      <c r="D99">
        <v>943.48299999999995</v>
      </c>
      <c r="E99">
        <v>4.367</v>
      </c>
      <c r="F99">
        <v>0</v>
      </c>
      <c r="G99" s="26">
        <f t="shared" si="8"/>
        <v>9.1522622380813026</v>
      </c>
      <c r="H99" s="26">
        <f t="shared" si="15"/>
        <v>-0.29999999999999361</v>
      </c>
      <c r="I99" s="26">
        <f t="shared" si="9"/>
        <v>14.890999999999998</v>
      </c>
      <c r="J99" t="str">
        <f t="shared" si="10"/>
        <v>Cooling</v>
      </c>
      <c r="K99" s="26">
        <f t="shared" si="11"/>
        <v>14.890999999999998</v>
      </c>
      <c r="L99" s="26">
        <f t="shared" si="12"/>
        <v>-0.29999999999999361</v>
      </c>
      <c r="N99">
        <f t="shared" si="13"/>
        <v>14.890999999999998</v>
      </c>
      <c r="O99">
        <f t="shared" si="14"/>
        <v>-0.29999999999999361</v>
      </c>
    </row>
    <row r="100" spans="1:15">
      <c r="A100" s="25">
        <v>46299.045138888891</v>
      </c>
      <c r="B100">
        <v>19.247</v>
      </c>
      <c r="C100">
        <v>51.945</v>
      </c>
      <c r="D100">
        <v>943.452</v>
      </c>
      <c r="E100">
        <v>4.3579999999999997</v>
      </c>
      <c r="F100">
        <v>0</v>
      </c>
      <c r="G100" s="26">
        <f t="shared" si="8"/>
        <v>9.1335219604737947</v>
      </c>
      <c r="H100" s="26">
        <f t="shared" si="15"/>
        <v>-0.10499999999996845</v>
      </c>
      <c r="I100" s="26">
        <f t="shared" si="9"/>
        <v>14.888999999999999</v>
      </c>
      <c r="J100" t="str">
        <f t="shared" si="10"/>
        <v>Steady</v>
      </c>
      <c r="K100" s="26" t="str">
        <f t="shared" si="11"/>
        <v/>
      </c>
      <c r="L100" s="26" t="str">
        <f t="shared" si="12"/>
        <v/>
      </c>
      <c r="N100" t="e">
        <f t="shared" si="13"/>
        <v>#N/A</v>
      </c>
      <c r="O100" t="e">
        <f t="shared" si="14"/>
        <v>#N/A</v>
      </c>
    </row>
    <row r="101" spans="1:15">
      <c r="A101" s="25">
        <v>46299.04583333333</v>
      </c>
      <c r="B101">
        <v>19.245000000000001</v>
      </c>
      <c r="C101">
        <v>52.195</v>
      </c>
      <c r="D101">
        <v>943.49300000000005</v>
      </c>
      <c r="E101">
        <v>4.3499999999999996</v>
      </c>
      <c r="F101">
        <v>0</v>
      </c>
      <c r="G101" s="26">
        <f t="shared" si="8"/>
        <v>9.2029686614252615</v>
      </c>
      <c r="H101" s="26">
        <f t="shared" si="15"/>
        <v>-0.29999999999999361</v>
      </c>
      <c r="I101" s="26">
        <f t="shared" si="9"/>
        <v>14.895000000000001</v>
      </c>
      <c r="J101" t="str">
        <f t="shared" si="10"/>
        <v>Cooling</v>
      </c>
      <c r="K101" s="26">
        <f t="shared" si="11"/>
        <v>14.895000000000001</v>
      </c>
      <c r="L101" s="26">
        <f t="shared" si="12"/>
        <v>-0.29999999999999361</v>
      </c>
      <c r="N101">
        <f t="shared" si="13"/>
        <v>14.895000000000001</v>
      </c>
      <c r="O101">
        <f t="shared" si="14"/>
        <v>-0.29999999999999361</v>
      </c>
    </row>
    <row r="102" spans="1:15">
      <c r="A102" s="25">
        <v>46299.046527777777</v>
      </c>
      <c r="B102">
        <v>19.248000000000001</v>
      </c>
      <c r="C102">
        <v>52.046999999999997</v>
      </c>
      <c r="D102">
        <v>943.48699999999997</v>
      </c>
      <c r="E102">
        <v>4.3419999999999996</v>
      </c>
      <c r="F102">
        <v>0</v>
      </c>
      <c r="G102" s="26">
        <f t="shared" si="8"/>
        <v>9.1635719913216978</v>
      </c>
      <c r="H102" s="26">
        <f t="shared" si="15"/>
        <v>-0.15000000000002345</v>
      </c>
      <c r="I102" s="26">
        <f t="shared" si="9"/>
        <v>14.906000000000002</v>
      </c>
      <c r="J102" t="str">
        <f t="shared" si="10"/>
        <v>Steady</v>
      </c>
      <c r="K102" s="26" t="str">
        <f t="shared" si="11"/>
        <v/>
      </c>
      <c r="L102" s="26" t="str">
        <f t="shared" si="12"/>
        <v/>
      </c>
      <c r="N102" t="e">
        <f t="shared" si="13"/>
        <v>#N/A</v>
      </c>
      <c r="O102" t="e">
        <f t="shared" si="14"/>
        <v>#N/A</v>
      </c>
    </row>
    <row r="103" spans="1:15">
      <c r="A103" s="25">
        <v>46299.047222222223</v>
      </c>
      <c r="B103">
        <v>19.238</v>
      </c>
      <c r="C103">
        <v>52.106999999999999</v>
      </c>
      <c r="D103">
        <v>943.49800000000005</v>
      </c>
      <c r="E103">
        <v>4.3330000000000002</v>
      </c>
      <c r="F103">
        <v>0</v>
      </c>
      <c r="G103" s="26">
        <f t="shared" si="8"/>
        <v>9.1714341261674175</v>
      </c>
      <c r="H103" s="26">
        <f t="shared" si="15"/>
        <v>-0.22500000000000853</v>
      </c>
      <c r="I103" s="26">
        <f t="shared" si="9"/>
        <v>14.904999999999999</v>
      </c>
      <c r="J103" t="str">
        <f t="shared" si="10"/>
        <v>Cooling</v>
      </c>
      <c r="K103" s="26">
        <f t="shared" si="11"/>
        <v>14.904999999999999</v>
      </c>
      <c r="L103" s="26">
        <f t="shared" si="12"/>
        <v>-0.22500000000000853</v>
      </c>
      <c r="N103">
        <f t="shared" si="13"/>
        <v>14.904999999999999</v>
      </c>
      <c r="O103">
        <f t="shared" si="14"/>
        <v>-0.22500000000000853</v>
      </c>
    </row>
    <row r="104" spans="1:15">
      <c r="A104" s="25">
        <v>46299.04791666667</v>
      </c>
      <c r="B104">
        <v>19.236999999999998</v>
      </c>
      <c r="C104">
        <v>52.106999999999999</v>
      </c>
      <c r="D104">
        <v>943.47500000000002</v>
      </c>
      <c r="E104">
        <v>4.3250000000000002</v>
      </c>
      <c r="F104">
        <v>0</v>
      </c>
      <c r="G104" s="26">
        <f t="shared" si="8"/>
        <v>9.1705094154732443</v>
      </c>
      <c r="H104" s="26">
        <f t="shared" si="15"/>
        <v>-0.31500000000001194</v>
      </c>
      <c r="I104" s="26">
        <f t="shared" si="9"/>
        <v>14.911999999999999</v>
      </c>
      <c r="J104" t="str">
        <f t="shared" si="10"/>
        <v>Cooling</v>
      </c>
      <c r="K104" s="26">
        <f t="shared" si="11"/>
        <v>14.911999999999999</v>
      </c>
      <c r="L104" s="26">
        <f t="shared" si="12"/>
        <v>-0.31500000000001194</v>
      </c>
      <c r="N104">
        <f t="shared" si="13"/>
        <v>14.911999999999999</v>
      </c>
      <c r="O104">
        <f t="shared" si="14"/>
        <v>-0.31500000000001194</v>
      </c>
    </row>
    <row r="105" spans="1:15">
      <c r="A105" s="25">
        <v>46299.048611111109</v>
      </c>
      <c r="B105">
        <v>19.23</v>
      </c>
      <c r="C105">
        <v>52.313000000000002</v>
      </c>
      <c r="D105">
        <v>943.47699999999998</v>
      </c>
      <c r="E105">
        <v>4.3170000000000002</v>
      </c>
      <c r="F105">
        <v>0</v>
      </c>
      <c r="G105" s="26">
        <f t="shared" si="8"/>
        <v>9.2226383975456852</v>
      </c>
      <c r="H105" s="26">
        <f t="shared" si="15"/>
        <v>-0.16499999999998849</v>
      </c>
      <c r="I105" s="26">
        <f t="shared" si="9"/>
        <v>14.913</v>
      </c>
      <c r="J105" t="str">
        <f t="shared" si="10"/>
        <v>Steady</v>
      </c>
      <c r="K105" s="26" t="str">
        <f t="shared" si="11"/>
        <v/>
      </c>
      <c r="L105" s="26" t="str">
        <f t="shared" si="12"/>
        <v/>
      </c>
      <c r="N105" t="e">
        <f t="shared" si="13"/>
        <v>#N/A</v>
      </c>
      <c r="O105" t="e">
        <f t="shared" si="14"/>
        <v>#N/A</v>
      </c>
    </row>
    <row r="106" spans="1:15">
      <c r="A106" s="25">
        <v>46299.049305555563</v>
      </c>
      <c r="B106">
        <v>19.227</v>
      </c>
      <c r="C106">
        <v>52.347999999999999</v>
      </c>
      <c r="D106">
        <v>943.46299999999997</v>
      </c>
      <c r="E106">
        <v>4.3079999999999998</v>
      </c>
      <c r="F106">
        <v>0</v>
      </c>
      <c r="G106" s="26">
        <f t="shared" si="8"/>
        <v>9.2297991547801477</v>
      </c>
      <c r="H106" s="26">
        <f t="shared" si="15"/>
        <v>-0.28499999999997527</v>
      </c>
      <c r="I106" s="26">
        <f t="shared" si="9"/>
        <v>14.919</v>
      </c>
      <c r="J106" t="str">
        <f t="shared" si="10"/>
        <v>Cooling</v>
      </c>
      <c r="K106" s="26">
        <f t="shared" si="11"/>
        <v>14.919</v>
      </c>
      <c r="L106" s="26">
        <f t="shared" si="12"/>
        <v>-0.28499999999997527</v>
      </c>
      <c r="N106">
        <f t="shared" si="13"/>
        <v>14.919</v>
      </c>
      <c r="O106">
        <f t="shared" si="14"/>
        <v>-0.28499999999997527</v>
      </c>
    </row>
    <row r="107" spans="1:15">
      <c r="A107" s="25">
        <v>46299.05</v>
      </c>
      <c r="B107">
        <v>19.227</v>
      </c>
      <c r="C107">
        <v>52.133000000000003</v>
      </c>
      <c r="D107">
        <v>943.44</v>
      </c>
      <c r="E107">
        <v>4.3</v>
      </c>
      <c r="F107">
        <v>0</v>
      </c>
      <c r="G107" s="26">
        <f t="shared" si="8"/>
        <v>9.1686697539908604</v>
      </c>
      <c r="H107" s="26">
        <f t="shared" si="15"/>
        <v>-0.10500000000002174</v>
      </c>
      <c r="I107" s="26">
        <f t="shared" si="9"/>
        <v>14.927</v>
      </c>
      <c r="J107" t="str">
        <f t="shared" si="10"/>
        <v>Steady</v>
      </c>
      <c r="K107" s="26" t="str">
        <f t="shared" si="11"/>
        <v/>
      </c>
      <c r="L107" s="26" t="str">
        <f t="shared" si="12"/>
        <v/>
      </c>
      <c r="N107" t="e">
        <f t="shared" si="13"/>
        <v>#N/A</v>
      </c>
      <c r="O107" t="e">
        <f t="shared" si="14"/>
        <v>#N/A</v>
      </c>
    </row>
    <row r="108" spans="1:15">
      <c r="A108" s="25">
        <v>46299.050694444442</v>
      </c>
      <c r="B108">
        <v>19.218</v>
      </c>
      <c r="C108">
        <v>52.094999999999999</v>
      </c>
      <c r="D108">
        <v>943.44799999999998</v>
      </c>
      <c r="E108">
        <v>4.2919999999999998</v>
      </c>
      <c r="F108">
        <v>0</v>
      </c>
      <c r="G108" s="26">
        <f t="shared" si="8"/>
        <v>9.1495201588299437</v>
      </c>
      <c r="H108" s="26">
        <f t="shared" si="15"/>
        <v>-7.4999999999985079E-2</v>
      </c>
      <c r="I108" s="26">
        <f t="shared" si="9"/>
        <v>14.926</v>
      </c>
      <c r="J108" t="str">
        <f t="shared" si="10"/>
        <v>Steady</v>
      </c>
      <c r="K108" s="26" t="str">
        <f t="shared" si="11"/>
        <v/>
      </c>
      <c r="L108" s="26" t="str">
        <f t="shared" si="12"/>
        <v/>
      </c>
      <c r="N108" t="e">
        <f t="shared" si="13"/>
        <v>#N/A</v>
      </c>
      <c r="O108" t="e">
        <f t="shared" si="14"/>
        <v>#N/A</v>
      </c>
    </row>
    <row r="109" spans="1:15">
      <c r="A109" s="25">
        <v>46299.051388888889</v>
      </c>
      <c r="B109">
        <v>19.222999999999999</v>
      </c>
      <c r="C109">
        <v>52.197000000000003</v>
      </c>
      <c r="D109">
        <v>943.44200000000001</v>
      </c>
      <c r="E109">
        <v>4.2830000000000004</v>
      </c>
      <c r="F109">
        <v>0</v>
      </c>
      <c r="G109" s="26">
        <f t="shared" si="8"/>
        <v>9.1831900183036925</v>
      </c>
      <c r="H109" s="26">
        <f t="shared" si="15"/>
        <v>-0.22500000000000853</v>
      </c>
      <c r="I109" s="26">
        <f t="shared" si="9"/>
        <v>14.939999999999998</v>
      </c>
      <c r="J109" t="str">
        <f t="shared" si="10"/>
        <v>Cooling</v>
      </c>
      <c r="K109" s="26">
        <f t="shared" si="11"/>
        <v>14.939999999999998</v>
      </c>
      <c r="L109" s="26">
        <f t="shared" si="12"/>
        <v>-0.22500000000000853</v>
      </c>
      <c r="N109">
        <f t="shared" si="13"/>
        <v>14.939999999999998</v>
      </c>
      <c r="O109">
        <f t="shared" si="14"/>
        <v>-0.22500000000000853</v>
      </c>
    </row>
    <row r="110" spans="1:15">
      <c r="A110" s="25">
        <v>46299.052083333343</v>
      </c>
      <c r="B110">
        <v>19.222000000000001</v>
      </c>
      <c r="C110">
        <v>52.284999999999997</v>
      </c>
      <c r="D110">
        <v>943.45799999999997</v>
      </c>
      <c r="E110">
        <v>4.2750000000000004</v>
      </c>
      <c r="F110">
        <v>0</v>
      </c>
      <c r="G110" s="26">
        <f t="shared" si="8"/>
        <v>9.2072843682253911</v>
      </c>
      <c r="H110" s="26">
        <f t="shared" si="15"/>
        <v>-0.19500000000002515</v>
      </c>
      <c r="I110" s="26">
        <f t="shared" si="9"/>
        <v>14.947000000000001</v>
      </c>
      <c r="J110" t="str">
        <f t="shared" si="10"/>
        <v>Steady</v>
      </c>
      <c r="K110" s="26" t="str">
        <f t="shared" si="11"/>
        <v/>
      </c>
      <c r="L110" s="26" t="str">
        <f t="shared" si="12"/>
        <v/>
      </c>
      <c r="N110" t="e">
        <f t="shared" si="13"/>
        <v>#N/A</v>
      </c>
      <c r="O110" t="e">
        <f t="shared" si="14"/>
        <v>#N/A</v>
      </c>
    </row>
    <row r="111" spans="1:15">
      <c r="A111" s="25">
        <v>46299.052777777782</v>
      </c>
      <c r="B111">
        <v>19.212</v>
      </c>
      <c r="C111">
        <v>52.104999999999997</v>
      </c>
      <c r="D111">
        <v>943.45799999999997</v>
      </c>
      <c r="E111">
        <v>4.2670000000000003</v>
      </c>
      <c r="F111">
        <v>0</v>
      </c>
      <c r="G111" s="26">
        <f t="shared" si="8"/>
        <v>9.1468216831510833</v>
      </c>
      <c r="H111" s="26">
        <f t="shared" si="15"/>
        <v>-0.37499999999997868</v>
      </c>
      <c r="I111" s="26">
        <f t="shared" si="9"/>
        <v>14.945</v>
      </c>
      <c r="J111" t="str">
        <f t="shared" si="10"/>
        <v>Cooling</v>
      </c>
      <c r="K111" s="26">
        <f t="shared" si="11"/>
        <v>14.945</v>
      </c>
      <c r="L111" s="26">
        <f t="shared" si="12"/>
        <v>-0.37499999999997868</v>
      </c>
      <c r="N111">
        <f t="shared" si="13"/>
        <v>14.945</v>
      </c>
      <c r="O111">
        <f t="shared" si="14"/>
        <v>-0.37499999999997868</v>
      </c>
    </row>
    <row r="112" spans="1:15">
      <c r="A112" s="25">
        <v>46299.053472222222</v>
      </c>
      <c r="B112">
        <v>19.204999999999998</v>
      </c>
      <c r="C112">
        <v>52.277999999999999</v>
      </c>
      <c r="D112">
        <v>943.46199999999999</v>
      </c>
      <c r="E112">
        <v>4.258</v>
      </c>
      <c r="F112">
        <v>0</v>
      </c>
      <c r="G112" s="26">
        <f t="shared" si="8"/>
        <v>9.1895693024984109</v>
      </c>
      <c r="H112" s="26">
        <f t="shared" si="15"/>
        <v>-0.43499999999999872</v>
      </c>
      <c r="I112" s="26">
        <f t="shared" si="9"/>
        <v>14.946999999999999</v>
      </c>
      <c r="J112" t="str">
        <f t="shared" si="10"/>
        <v>Cooling</v>
      </c>
      <c r="K112" s="26">
        <f t="shared" si="11"/>
        <v>14.946999999999999</v>
      </c>
      <c r="L112" s="26">
        <f t="shared" si="12"/>
        <v>-0.43499999999999872</v>
      </c>
      <c r="N112">
        <f t="shared" si="13"/>
        <v>14.946999999999999</v>
      </c>
      <c r="O112">
        <f t="shared" si="14"/>
        <v>-0.43499999999999872</v>
      </c>
    </row>
    <row r="113" spans="1:15">
      <c r="A113" s="25">
        <v>46299.054166666669</v>
      </c>
      <c r="B113">
        <v>19.198</v>
      </c>
      <c r="C113">
        <v>52.402000000000001</v>
      </c>
      <c r="D113">
        <v>943.46</v>
      </c>
      <c r="E113">
        <v>4.25</v>
      </c>
      <c r="F113">
        <v>0</v>
      </c>
      <c r="G113" s="26">
        <f t="shared" si="8"/>
        <v>9.2182831381643862</v>
      </c>
      <c r="H113" s="26">
        <f t="shared" si="15"/>
        <v>-0.43499999999999872</v>
      </c>
      <c r="I113" s="26">
        <f t="shared" si="9"/>
        <v>14.948</v>
      </c>
      <c r="J113" t="str">
        <f t="shared" si="10"/>
        <v>Cooling</v>
      </c>
      <c r="K113" s="26">
        <f t="shared" si="11"/>
        <v>14.948</v>
      </c>
      <c r="L113" s="26">
        <f t="shared" si="12"/>
        <v>-0.43499999999999872</v>
      </c>
      <c r="N113">
        <f t="shared" si="13"/>
        <v>14.948</v>
      </c>
      <c r="O113">
        <f t="shared" si="14"/>
        <v>-0.43499999999999872</v>
      </c>
    </row>
    <row r="114" spans="1:15">
      <c r="A114" s="25">
        <v>46299.054861111108</v>
      </c>
      <c r="B114">
        <v>19.193000000000001</v>
      </c>
      <c r="C114">
        <v>52.192999999999998</v>
      </c>
      <c r="D114">
        <v>943.45</v>
      </c>
      <c r="E114">
        <v>4.242</v>
      </c>
      <c r="F114">
        <v>0</v>
      </c>
      <c r="G114" s="26">
        <f t="shared" si="8"/>
        <v>9.1543049395072735</v>
      </c>
      <c r="H114" s="26">
        <f t="shared" si="15"/>
        <v>-0.2549999999999919</v>
      </c>
      <c r="I114" s="26">
        <f t="shared" si="9"/>
        <v>14.951000000000001</v>
      </c>
      <c r="J114" t="str">
        <f t="shared" si="10"/>
        <v>Cooling</v>
      </c>
      <c r="K114" s="26">
        <f t="shared" si="11"/>
        <v>14.951000000000001</v>
      </c>
      <c r="L114" s="26">
        <f t="shared" si="12"/>
        <v>-0.2549999999999919</v>
      </c>
      <c r="N114">
        <f t="shared" si="13"/>
        <v>14.951000000000001</v>
      </c>
      <c r="O114">
        <f t="shared" si="14"/>
        <v>-0.2549999999999919</v>
      </c>
    </row>
    <row r="115" spans="1:15">
      <c r="A115" s="25">
        <v>46299.055555555547</v>
      </c>
      <c r="B115">
        <v>19.183</v>
      </c>
      <c r="C115">
        <v>52.048000000000002</v>
      </c>
      <c r="D115">
        <v>943.43700000000001</v>
      </c>
      <c r="E115">
        <v>4.2329999999999997</v>
      </c>
      <c r="F115">
        <v>0</v>
      </c>
      <c r="G115" s="26">
        <f t="shared" si="8"/>
        <v>9.1037587229033115</v>
      </c>
      <c r="H115" s="26">
        <f t="shared" si="15"/>
        <v>-0.15000000000002345</v>
      </c>
      <c r="I115" s="26">
        <f t="shared" si="9"/>
        <v>14.95</v>
      </c>
      <c r="J115" t="str">
        <f t="shared" si="10"/>
        <v>Steady</v>
      </c>
      <c r="K115" s="26" t="str">
        <f t="shared" si="11"/>
        <v/>
      </c>
      <c r="L115" s="26" t="str">
        <f t="shared" si="12"/>
        <v/>
      </c>
      <c r="N115" t="e">
        <f t="shared" si="13"/>
        <v>#N/A</v>
      </c>
      <c r="O115" t="e">
        <f t="shared" si="14"/>
        <v>#N/A</v>
      </c>
    </row>
    <row r="116" spans="1:15">
      <c r="A116" s="25">
        <v>46299.056250000001</v>
      </c>
      <c r="B116">
        <v>19.187999999999999</v>
      </c>
      <c r="C116">
        <v>52.423000000000002</v>
      </c>
      <c r="D116">
        <v>943.46699999999998</v>
      </c>
      <c r="E116">
        <v>4.2249999999999996</v>
      </c>
      <c r="F116">
        <v>0</v>
      </c>
      <c r="G116" s="26">
        <f t="shared" si="8"/>
        <v>9.214981540259398</v>
      </c>
      <c r="H116" s="26">
        <f t="shared" si="15"/>
        <v>-0.37500000000003197</v>
      </c>
      <c r="I116" s="26">
        <f t="shared" si="9"/>
        <v>14.962999999999999</v>
      </c>
      <c r="J116" t="str">
        <f t="shared" si="10"/>
        <v>Cooling</v>
      </c>
      <c r="K116" s="26">
        <f t="shared" si="11"/>
        <v>14.962999999999999</v>
      </c>
      <c r="L116" s="26">
        <f t="shared" si="12"/>
        <v>-0.37500000000003197</v>
      </c>
      <c r="N116">
        <f t="shared" si="13"/>
        <v>14.962999999999999</v>
      </c>
      <c r="O116">
        <f t="shared" si="14"/>
        <v>-0.37500000000003197</v>
      </c>
    </row>
    <row r="117" spans="1:15">
      <c r="A117" s="25">
        <v>46299.056944444441</v>
      </c>
      <c r="B117">
        <v>19.187999999999999</v>
      </c>
      <c r="C117">
        <v>52.368000000000002</v>
      </c>
      <c r="D117">
        <v>943.49</v>
      </c>
      <c r="E117">
        <v>4.2169999999999996</v>
      </c>
      <c r="F117">
        <v>0</v>
      </c>
      <c r="G117" s="26">
        <f t="shared" si="8"/>
        <v>9.19938908468154</v>
      </c>
      <c r="H117" s="26">
        <f t="shared" si="15"/>
        <v>-4.5000000000001705E-2</v>
      </c>
      <c r="I117" s="26">
        <f t="shared" si="9"/>
        <v>14.971</v>
      </c>
      <c r="J117" t="str">
        <f t="shared" si="10"/>
        <v>Steady</v>
      </c>
      <c r="K117" s="26" t="str">
        <f t="shared" si="11"/>
        <v/>
      </c>
      <c r="L117" s="26" t="str">
        <f t="shared" si="12"/>
        <v/>
      </c>
      <c r="N117" t="e">
        <f t="shared" si="13"/>
        <v>#N/A</v>
      </c>
      <c r="O117" t="e">
        <f t="shared" si="14"/>
        <v>#N/A</v>
      </c>
    </row>
    <row r="118" spans="1:15">
      <c r="A118" s="25">
        <v>46299.057638888888</v>
      </c>
      <c r="B118">
        <v>19.167999999999999</v>
      </c>
      <c r="C118">
        <v>52.353000000000002</v>
      </c>
      <c r="D118">
        <v>943.46</v>
      </c>
      <c r="E118">
        <v>4.2080000000000002</v>
      </c>
      <c r="F118">
        <v>0</v>
      </c>
      <c r="G118" s="26">
        <f t="shared" si="8"/>
        <v>9.176629293828416</v>
      </c>
      <c r="H118" s="26">
        <f t="shared" si="15"/>
        <v>-0.26999999999995694</v>
      </c>
      <c r="I118" s="26">
        <f t="shared" si="9"/>
        <v>14.959999999999999</v>
      </c>
      <c r="J118" t="str">
        <f t="shared" si="10"/>
        <v>Cooling</v>
      </c>
      <c r="K118" s="26">
        <f t="shared" si="11"/>
        <v>14.959999999999999</v>
      </c>
      <c r="L118" s="26">
        <f t="shared" si="12"/>
        <v>-0.26999999999995694</v>
      </c>
      <c r="N118">
        <f t="shared" si="13"/>
        <v>14.959999999999999</v>
      </c>
      <c r="O118">
        <f t="shared" si="14"/>
        <v>-0.26999999999995694</v>
      </c>
    </row>
    <row r="119" spans="1:15">
      <c r="A119" s="25">
        <v>46299.058333333327</v>
      </c>
      <c r="B119">
        <v>19.18</v>
      </c>
      <c r="C119">
        <v>52.225000000000001</v>
      </c>
      <c r="D119">
        <v>943.45500000000004</v>
      </c>
      <c r="E119">
        <v>4.2</v>
      </c>
      <c r="F119">
        <v>0</v>
      </c>
      <c r="G119" s="26">
        <f t="shared" si="8"/>
        <v>9.151381210810893</v>
      </c>
      <c r="H119" s="26">
        <f t="shared" si="15"/>
        <v>-0.19499999999997186</v>
      </c>
      <c r="I119" s="26">
        <f t="shared" si="9"/>
        <v>14.98</v>
      </c>
      <c r="J119" t="str">
        <f t="shared" si="10"/>
        <v>Steady</v>
      </c>
      <c r="K119" s="26" t="str">
        <f t="shared" si="11"/>
        <v/>
      </c>
      <c r="L119" s="26" t="str">
        <f t="shared" si="12"/>
        <v/>
      </c>
      <c r="N119" t="e">
        <f t="shared" si="13"/>
        <v>#N/A</v>
      </c>
      <c r="O119" t="e">
        <f t="shared" si="14"/>
        <v>#N/A</v>
      </c>
    </row>
    <row r="120" spans="1:15">
      <c r="A120" s="25">
        <v>46299.059027777781</v>
      </c>
      <c r="B120">
        <v>19.170000000000002</v>
      </c>
      <c r="C120">
        <v>52.277000000000001</v>
      </c>
      <c r="D120">
        <v>943.43799999999999</v>
      </c>
      <c r="E120">
        <v>4.1920000000000002</v>
      </c>
      <c r="F120">
        <v>0</v>
      </c>
      <c r="G120" s="26">
        <f t="shared" si="8"/>
        <v>9.1569074401801238</v>
      </c>
      <c r="H120" s="26">
        <f t="shared" si="15"/>
        <v>7.4999999999985079E-2</v>
      </c>
      <c r="I120" s="26">
        <f t="shared" si="9"/>
        <v>14.978000000000002</v>
      </c>
      <c r="J120" t="str">
        <f t="shared" si="10"/>
        <v>Steady</v>
      </c>
      <c r="K120" s="26" t="str">
        <f t="shared" si="11"/>
        <v/>
      </c>
      <c r="L120" s="26" t="str">
        <f t="shared" si="12"/>
        <v/>
      </c>
      <c r="N120" t="e">
        <f t="shared" si="13"/>
        <v>#N/A</v>
      </c>
      <c r="O120" t="e">
        <f t="shared" si="14"/>
        <v>#N/A</v>
      </c>
    </row>
    <row r="121" spans="1:15">
      <c r="A121" s="25">
        <v>46299.05972222222</v>
      </c>
      <c r="B121">
        <v>19.175000000000001</v>
      </c>
      <c r="C121">
        <v>52.457999999999998</v>
      </c>
      <c r="D121">
        <v>943.45500000000004</v>
      </c>
      <c r="E121">
        <v>4.1829999999999998</v>
      </c>
      <c r="F121">
        <v>0</v>
      </c>
      <c r="G121" s="26">
        <f t="shared" si="8"/>
        <v>9.212865555854048</v>
      </c>
      <c r="H121" s="26">
        <f t="shared" si="15"/>
        <v>-0.32999999999997698</v>
      </c>
      <c r="I121" s="26">
        <f t="shared" si="9"/>
        <v>14.992000000000001</v>
      </c>
      <c r="J121" t="str">
        <f t="shared" si="10"/>
        <v>Cooling</v>
      </c>
      <c r="K121" s="26">
        <f t="shared" si="11"/>
        <v>14.992000000000001</v>
      </c>
      <c r="L121" s="26">
        <f t="shared" si="12"/>
        <v>-0.32999999999997698</v>
      </c>
      <c r="N121">
        <f t="shared" si="13"/>
        <v>14.992000000000001</v>
      </c>
      <c r="O121">
        <f t="shared" si="14"/>
        <v>-0.32999999999997698</v>
      </c>
    </row>
    <row r="122" spans="1:15">
      <c r="A122" s="25">
        <v>46299.060416666667</v>
      </c>
      <c r="B122">
        <v>19.172999999999998</v>
      </c>
      <c r="C122">
        <v>52.493000000000002</v>
      </c>
      <c r="D122">
        <v>943.45299999999997</v>
      </c>
      <c r="E122">
        <v>4.1749999999999998</v>
      </c>
      <c r="F122">
        <v>0</v>
      </c>
      <c r="G122" s="26">
        <f t="shared" si="8"/>
        <v>9.2209226715911097</v>
      </c>
      <c r="H122" s="26">
        <f t="shared" si="15"/>
        <v>-0.19500000000002515</v>
      </c>
      <c r="I122" s="26">
        <f t="shared" si="9"/>
        <v>14.997999999999998</v>
      </c>
      <c r="J122" t="str">
        <f t="shared" si="10"/>
        <v>Steady</v>
      </c>
      <c r="K122" s="26" t="str">
        <f t="shared" si="11"/>
        <v/>
      </c>
      <c r="L122" s="26" t="str">
        <f t="shared" si="12"/>
        <v/>
      </c>
      <c r="N122" t="e">
        <f t="shared" si="13"/>
        <v>#N/A</v>
      </c>
      <c r="O122" t="e">
        <f t="shared" si="14"/>
        <v>#N/A</v>
      </c>
    </row>
    <row r="123" spans="1:15">
      <c r="A123" s="25">
        <v>46299.061111111107</v>
      </c>
      <c r="B123">
        <v>19.158000000000001</v>
      </c>
      <c r="C123">
        <v>52.274999999999999</v>
      </c>
      <c r="D123">
        <v>943.44</v>
      </c>
      <c r="E123">
        <v>4.1669999999999998</v>
      </c>
      <c r="F123">
        <v>0</v>
      </c>
      <c r="G123" s="26">
        <f t="shared" si="8"/>
        <v>9.1452384001467077</v>
      </c>
      <c r="H123" s="26">
        <f t="shared" si="15"/>
        <v>-0.33000000000003027</v>
      </c>
      <c r="I123" s="26">
        <f t="shared" si="9"/>
        <v>14.991000000000001</v>
      </c>
      <c r="J123" t="str">
        <f t="shared" si="10"/>
        <v>Cooling</v>
      </c>
      <c r="K123" s="26">
        <f t="shared" si="11"/>
        <v>14.991000000000001</v>
      </c>
      <c r="L123" s="26">
        <f t="shared" si="12"/>
        <v>-0.33000000000003027</v>
      </c>
      <c r="N123">
        <f t="shared" si="13"/>
        <v>14.991000000000001</v>
      </c>
      <c r="O123">
        <f t="shared" si="14"/>
        <v>-0.33000000000003027</v>
      </c>
    </row>
    <row r="124" spans="1:15">
      <c r="A124" s="25">
        <v>46299.061805555553</v>
      </c>
      <c r="B124">
        <v>19.157</v>
      </c>
      <c r="C124">
        <v>52.508000000000003</v>
      </c>
      <c r="D124">
        <v>943.447</v>
      </c>
      <c r="E124">
        <v>4.1580000000000004</v>
      </c>
      <c r="F124">
        <v>0</v>
      </c>
      <c r="G124" s="26">
        <f t="shared" si="8"/>
        <v>9.2103581404883546</v>
      </c>
      <c r="H124" s="26">
        <f t="shared" si="15"/>
        <v>-0.34499999999999531</v>
      </c>
      <c r="I124" s="26">
        <f t="shared" si="9"/>
        <v>14.998999999999999</v>
      </c>
      <c r="J124" t="str">
        <f t="shared" si="10"/>
        <v>Cooling</v>
      </c>
      <c r="K124" s="26">
        <f t="shared" si="11"/>
        <v>14.998999999999999</v>
      </c>
      <c r="L124" s="26">
        <f t="shared" si="12"/>
        <v>-0.34499999999999531</v>
      </c>
      <c r="N124">
        <f t="shared" si="13"/>
        <v>14.998999999999999</v>
      </c>
      <c r="O124">
        <f t="shared" si="14"/>
        <v>-0.34499999999999531</v>
      </c>
    </row>
    <row r="125" spans="1:15">
      <c r="A125" s="25">
        <v>46299.0625</v>
      </c>
      <c r="B125">
        <v>19.152999999999999</v>
      </c>
      <c r="C125">
        <v>52.41</v>
      </c>
      <c r="D125">
        <v>943.43299999999999</v>
      </c>
      <c r="E125">
        <v>4.1500000000000004</v>
      </c>
      <c r="F125">
        <v>0</v>
      </c>
      <c r="G125" s="26">
        <f t="shared" si="8"/>
        <v>9.1789097406776463</v>
      </c>
      <c r="H125" s="26">
        <f t="shared" si="15"/>
        <v>-0.19500000000002515</v>
      </c>
      <c r="I125" s="26">
        <f t="shared" si="9"/>
        <v>15.002999999999998</v>
      </c>
      <c r="J125" t="str">
        <f t="shared" si="10"/>
        <v>Steady</v>
      </c>
      <c r="K125" s="26" t="str">
        <f t="shared" si="11"/>
        <v/>
      </c>
      <c r="L125" s="26" t="str">
        <f t="shared" si="12"/>
        <v/>
      </c>
      <c r="N125" t="e">
        <f t="shared" si="13"/>
        <v>#N/A</v>
      </c>
      <c r="O125" t="e">
        <f t="shared" si="14"/>
        <v>#N/A</v>
      </c>
    </row>
    <row r="126" spans="1:15">
      <c r="A126" s="25">
        <v>46299.063194444447</v>
      </c>
      <c r="B126">
        <v>19.149999999999999</v>
      </c>
      <c r="C126">
        <v>52.412999999999997</v>
      </c>
      <c r="D126">
        <v>943.46699999999998</v>
      </c>
      <c r="E126">
        <v>4.1420000000000003</v>
      </c>
      <c r="F126">
        <v>0</v>
      </c>
      <c r="G126" s="26">
        <f t="shared" si="8"/>
        <v>9.1769836756678433</v>
      </c>
      <c r="H126" s="26">
        <f t="shared" si="15"/>
        <v>-0.36000000000001364</v>
      </c>
      <c r="I126" s="26">
        <f t="shared" si="9"/>
        <v>15.007999999999999</v>
      </c>
      <c r="J126" t="str">
        <f t="shared" si="10"/>
        <v>Cooling</v>
      </c>
      <c r="K126" s="26">
        <f t="shared" si="11"/>
        <v>15.007999999999999</v>
      </c>
      <c r="L126" s="26">
        <f t="shared" si="12"/>
        <v>-0.36000000000001364</v>
      </c>
      <c r="N126">
        <f t="shared" si="13"/>
        <v>15.007999999999999</v>
      </c>
      <c r="O126">
        <f t="shared" si="14"/>
        <v>-0.36000000000001364</v>
      </c>
    </row>
    <row r="127" spans="1:15">
      <c r="A127" s="25">
        <v>46299.063888888893</v>
      </c>
      <c r="B127">
        <v>19.145</v>
      </c>
      <c r="C127">
        <v>52.204999999999998</v>
      </c>
      <c r="D127">
        <v>943.45799999999997</v>
      </c>
      <c r="E127">
        <v>4.133</v>
      </c>
      <c r="F127">
        <v>0</v>
      </c>
      <c r="G127" s="26">
        <f t="shared" si="8"/>
        <v>9.113321527150358</v>
      </c>
      <c r="H127" s="26">
        <f t="shared" si="15"/>
        <v>-0.37499999999997868</v>
      </c>
      <c r="I127" s="26">
        <f t="shared" si="9"/>
        <v>15.012</v>
      </c>
      <c r="J127" t="str">
        <f t="shared" si="10"/>
        <v>Cooling</v>
      </c>
      <c r="K127" s="26">
        <f t="shared" si="11"/>
        <v>15.012</v>
      </c>
      <c r="L127" s="26">
        <f t="shared" si="12"/>
        <v>-0.37499999999997868</v>
      </c>
      <c r="N127">
        <f t="shared" si="13"/>
        <v>15.012</v>
      </c>
      <c r="O127">
        <f t="shared" si="14"/>
        <v>-0.37499999999997868</v>
      </c>
    </row>
    <row r="128" spans="1:15">
      <c r="A128" s="25">
        <v>46299.064583333333</v>
      </c>
      <c r="B128">
        <v>19.132999999999999</v>
      </c>
      <c r="C128">
        <v>52.335000000000001</v>
      </c>
      <c r="D128">
        <v>943.49800000000005</v>
      </c>
      <c r="E128">
        <v>4.125</v>
      </c>
      <c r="F128">
        <v>0</v>
      </c>
      <c r="G128" s="26">
        <f t="shared" si="8"/>
        <v>9.1391402890479938</v>
      </c>
      <c r="H128" s="26">
        <f t="shared" si="15"/>
        <v>-0.26999999999995694</v>
      </c>
      <c r="I128" s="26">
        <f t="shared" si="9"/>
        <v>15.007999999999999</v>
      </c>
      <c r="J128" t="str">
        <f t="shared" si="10"/>
        <v>Cooling</v>
      </c>
      <c r="K128" s="26">
        <f t="shared" si="11"/>
        <v>15.007999999999999</v>
      </c>
      <c r="L128" s="26">
        <f t="shared" si="12"/>
        <v>-0.26999999999995694</v>
      </c>
      <c r="N128">
        <f t="shared" si="13"/>
        <v>15.007999999999999</v>
      </c>
      <c r="O128">
        <f t="shared" si="14"/>
        <v>-0.26999999999995694</v>
      </c>
    </row>
    <row r="129" spans="1:15">
      <c r="A129" s="25">
        <v>46299.06527777778</v>
      </c>
      <c r="B129">
        <v>19.128</v>
      </c>
      <c r="C129">
        <v>52.576999999999998</v>
      </c>
      <c r="D129">
        <v>943.55700000000002</v>
      </c>
      <c r="E129">
        <v>4.117</v>
      </c>
      <c r="F129">
        <v>0</v>
      </c>
      <c r="G129" s="26">
        <f t="shared" si="8"/>
        <v>9.2030211325037925</v>
      </c>
      <c r="H129" s="26">
        <f t="shared" si="15"/>
        <v>-0.22500000000000853</v>
      </c>
      <c r="I129" s="26">
        <f t="shared" si="9"/>
        <v>15.010999999999999</v>
      </c>
      <c r="J129" t="str">
        <f t="shared" si="10"/>
        <v>Cooling</v>
      </c>
      <c r="K129" s="26">
        <f t="shared" si="11"/>
        <v>15.010999999999999</v>
      </c>
      <c r="L129" s="26">
        <f t="shared" si="12"/>
        <v>-0.22500000000000853</v>
      </c>
      <c r="N129">
        <f t="shared" si="13"/>
        <v>15.010999999999999</v>
      </c>
      <c r="O129">
        <f t="shared" si="14"/>
        <v>-0.22500000000000853</v>
      </c>
    </row>
    <row r="130" spans="1:15">
      <c r="A130" s="25">
        <v>46299.065972222219</v>
      </c>
      <c r="B130">
        <v>19.132000000000001</v>
      </c>
      <c r="C130">
        <v>52.542999999999999</v>
      </c>
      <c r="D130">
        <v>943.59299999999996</v>
      </c>
      <c r="E130">
        <v>4.1079999999999997</v>
      </c>
      <c r="F130">
        <v>0</v>
      </c>
      <c r="G130" s="26">
        <f t="shared" ref="G130:G193" si="16">243.04*(LN(C130/100)+17.625*B130/(243.04+B130))/(17.625-LN(C130/100)-17.625*B130/(243.04+B130))</f>
        <v>9.1971156012735271</v>
      </c>
      <c r="H130" s="26">
        <f t="shared" si="15"/>
        <v>-1.4999999999965041E-2</v>
      </c>
      <c r="I130" s="26">
        <f t="shared" ref="I130:I193" si="17">B130-E130</f>
        <v>15.024000000000001</v>
      </c>
      <c r="J130" t="str">
        <f t="shared" ref="J130:J193" si="18">IF(H130="","",IF(H130&gt;0.6,"Heating",IF(H130&lt;-0.2,"Cooling","Steady")))</f>
        <v>Steady</v>
      </c>
      <c r="K130" s="26" t="str">
        <f t="shared" ref="K130:K193" si="19">IF(J130="Cooling",I130,"")</f>
        <v/>
      </c>
      <c r="L130" s="26" t="str">
        <f t="shared" ref="L130:L193" si="20">IF(J130="Cooling",H130,"")</f>
        <v/>
      </c>
      <c r="N130" t="e">
        <f t="shared" ref="N130:N193" si="21">IF(K130="",NA(),K130)</f>
        <v>#N/A</v>
      </c>
      <c r="O130" t="e">
        <f t="shared" ref="O130:O193" si="22">IF(L130="",NA(),L130)</f>
        <v>#N/A</v>
      </c>
    </row>
    <row r="131" spans="1:15">
      <c r="A131" s="25">
        <v>46299.066666666673</v>
      </c>
      <c r="B131">
        <v>19.13</v>
      </c>
      <c r="C131">
        <v>52.267000000000003</v>
      </c>
      <c r="D131">
        <v>943.56200000000001</v>
      </c>
      <c r="E131">
        <v>4.0999999999999996</v>
      </c>
      <c r="F131">
        <v>0</v>
      </c>
      <c r="G131" s="26">
        <f t="shared" si="16"/>
        <v>9.1170641864394355</v>
      </c>
      <c r="H131" s="26">
        <f t="shared" si="15"/>
        <v>0</v>
      </c>
      <c r="I131" s="26">
        <f t="shared" si="17"/>
        <v>15.03</v>
      </c>
      <c r="J131" t="str">
        <f t="shared" si="18"/>
        <v>Steady</v>
      </c>
      <c r="K131" s="26" t="str">
        <f t="shared" si="19"/>
        <v/>
      </c>
      <c r="L131" s="26" t="str">
        <f t="shared" si="20"/>
        <v/>
      </c>
      <c r="N131" t="e">
        <f t="shared" si="21"/>
        <v>#N/A</v>
      </c>
      <c r="O131" t="e">
        <f t="shared" si="22"/>
        <v>#N/A</v>
      </c>
    </row>
    <row r="132" spans="1:15">
      <c r="A132" s="25">
        <v>46299.067361111112</v>
      </c>
      <c r="B132">
        <v>19.132000000000001</v>
      </c>
      <c r="C132">
        <v>52.633000000000003</v>
      </c>
      <c r="D132">
        <v>943.58500000000004</v>
      </c>
      <c r="E132">
        <v>4.0919999999999996</v>
      </c>
      <c r="F132">
        <v>0</v>
      </c>
      <c r="G132" s="26">
        <f t="shared" si="16"/>
        <v>9.2225376666215571</v>
      </c>
      <c r="H132" s="26">
        <f t="shared" ref="H132:H195" si="23">(B134-B130)/4*60</f>
        <v>-0.22500000000000853</v>
      </c>
      <c r="I132" s="26">
        <f t="shared" si="17"/>
        <v>15.040000000000003</v>
      </c>
      <c r="J132" t="str">
        <f t="shared" si="18"/>
        <v>Cooling</v>
      </c>
      <c r="K132" s="26">
        <f t="shared" si="19"/>
        <v>15.040000000000003</v>
      </c>
      <c r="L132" s="26">
        <f t="shared" si="20"/>
        <v>-0.22500000000000853</v>
      </c>
      <c r="N132">
        <f t="shared" si="21"/>
        <v>15.040000000000003</v>
      </c>
      <c r="O132">
        <f t="shared" si="22"/>
        <v>-0.22500000000000853</v>
      </c>
    </row>
    <row r="133" spans="1:15">
      <c r="A133" s="25">
        <v>46299.068055555559</v>
      </c>
      <c r="B133">
        <v>19.128</v>
      </c>
      <c r="C133">
        <v>52.368000000000002</v>
      </c>
      <c r="D133">
        <v>943.59500000000003</v>
      </c>
      <c r="E133">
        <v>4.0830000000000002</v>
      </c>
      <c r="F133">
        <v>0</v>
      </c>
      <c r="G133" s="26">
        <f t="shared" si="16"/>
        <v>9.1438725024125844</v>
      </c>
      <c r="H133" s="26">
        <f t="shared" si="23"/>
        <v>-0.29999999999999361</v>
      </c>
      <c r="I133" s="26">
        <f t="shared" si="17"/>
        <v>15.045</v>
      </c>
      <c r="J133" t="str">
        <f t="shared" si="18"/>
        <v>Cooling</v>
      </c>
      <c r="K133" s="26">
        <f t="shared" si="19"/>
        <v>15.045</v>
      </c>
      <c r="L133" s="26">
        <f t="shared" si="20"/>
        <v>-0.29999999999999361</v>
      </c>
      <c r="N133">
        <f t="shared" si="21"/>
        <v>15.045</v>
      </c>
      <c r="O133">
        <f t="shared" si="22"/>
        <v>-0.29999999999999361</v>
      </c>
    </row>
    <row r="134" spans="1:15">
      <c r="A134" s="25">
        <v>46299.068749999999</v>
      </c>
      <c r="B134">
        <v>19.117000000000001</v>
      </c>
      <c r="C134">
        <v>52.356999999999999</v>
      </c>
      <c r="D134">
        <v>943.59799999999996</v>
      </c>
      <c r="E134">
        <v>4.0750000000000002</v>
      </c>
      <c r="F134">
        <v>0</v>
      </c>
      <c r="G134" s="26">
        <f t="shared" si="16"/>
        <v>9.1305757577341069</v>
      </c>
      <c r="H134" s="26">
        <f t="shared" si="23"/>
        <v>-0.36000000000001364</v>
      </c>
      <c r="I134" s="26">
        <f t="shared" si="17"/>
        <v>15.042000000000002</v>
      </c>
      <c r="J134" t="str">
        <f t="shared" si="18"/>
        <v>Cooling</v>
      </c>
      <c r="K134" s="26">
        <f t="shared" si="19"/>
        <v>15.042000000000002</v>
      </c>
      <c r="L134" s="26">
        <f t="shared" si="20"/>
        <v>-0.36000000000001364</v>
      </c>
      <c r="N134">
        <f t="shared" si="21"/>
        <v>15.042000000000002</v>
      </c>
      <c r="O134">
        <f t="shared" si="22"/>
        <v>-0.36000000000001364</v>
      </c>
    </row>
    <row r="135" spans="1:15">
      <c r="A135" s="25">
        <v>46299.069444444453</v>
      </c>
      <c r="B135">
        <v>19.11</v>
      </c>
      <c r="C135">
        <v>52.28</v>
      </c>
      <c r="D135">
        <v>943.62800000000004</v>
      </c>
      <c r="E135">
        <v>4.0670000000000002</v>
      </c>
      <c r="F135">
        <v>0</v>
      </c>
      <c r="G135" s="26">
        <f t="shared" si="16"/>
        <v>9.1022536242653675</v>
      </c>
      <c r="H135" s="26">
        <f t="shared" si="23"/>
        <v>-0.45000000000001705</v>
      </c>
      <c r="I135" s="26">
        <f t="shared" si="17"/>
        <v>15.042999999999999</v>
      </c>
      <c r="J135" t="str">
        <f t="shared" si="18"/>
        <v>Cooling</v>
      </c>
      <c r="K135" s="26">
        <f t="shared" si="19"/>
        <v>15.042999999999999</v>
      </c>
      <c r="L135" s="26">
        <f t="shared" si="20"/>
        <v>-0.45000000000001705</v>
      </c>
      <c r="N135">
        <f t="shared" si="21"/>
        <v>15.042999999999999</v>
      </c>
      <c r="O135">
        <f t="shared" si="22"/>
        <v>-0.45000000000001705</v>
      </c>
    </row>
    <row r="136" spans="1:15">
      <c r="A136" s="25">
        <v>46299.070138888892</v>
      </c>
      <c r="B136">
        <v>19.108000000000001</v>
      </c>
      <c r="C136">
        <v>52.491999999999997</v>
      </c>
      <c r="D136">
        <v>943.58799999999997</v>
      </c>
      <c r="E136">
        <v>4.0579999999999998</v>
      </c>
      <c r="F136">
        <v>0</v>
      </c>
      <c r="G136" s="26">
        <f t="shared" si="16"/>
        <v>9.160479643372847</v>
      </c>
      <c r="H136" s="26">
        <f t="shared" si="23"/>
        <v>-0.20999999999999019</v>
      </c>
      <c r="I136" s="26">
        <f t="shared" si="17"/>
        <v>15.05</v>
      </c>
      <c r="J136" t="str">
        <f t="shared" si="18"/>
        <v>Cooling</v>
      </c>
      <c r="K136" s="26">
        <f t="shared" si="19"/>
        <v>15.05</v>
      </c>
      <c r="L136" s="26">
        <f t="shared" si="20"/>
        <v>-0.20999999999999019</v>
      </c>
      <c r="N136">
        <f t="shared" si="21"/>
        <v>15.05</v>
      </c>
      <c r="O136">
        <f t="shared" si="22"/>
        <v>-0.20999999999999019</v>
      </c>
    </row>
    <row r="137" spans="1:15">
      <c r="A137" s="25">
        <v>46299.070833333331</v>
      </c>
      <c r="B137">
        <v>19.097999999999999</v>
      </c>
      <c r="C137">
        <v>52.46</v>
      </c>
      <c r="D137">
        <v>943.60699999999997</v>
      </c>
      <c r="E137">
        <v>4.05</v>
      </c>
      <c r="F137">
        <v>0</v>
      </c>
      <c r="G137" s="26">
        <f t="shared" si="16"/>
        <v>9.1421704416031737</v>
      </c>
      <c r="H137" s="26">
        <f t="shared" si="23"/>
        <v>-0.10499999999996845</v>
      </c>
      <c r="I137" s="26">
        <f t="shared" si="17"/>
        <v>15.047999999999998</v>
      </c>
      <c r="J137" t="str">
        <f t="shared" si="18"/>
        <v>Steady</v>
      </c>
      <c r="K137" s="26" t="str">
        <f t="shared" si="19"/>
        <v/>
      </c>
      <c r="L137" s="26" t="str">
        <f t="shared" si="20"/>
        <v/>
      </c>
      <c r="N137" t="e">
        <f t="shared" si="21"/>
        <v>#N/A</v>
      </c>
      <c r="O137" t="e">
        <f t="shared" si="22"/>
        <v>#N/A</v>
      </c>
    </row>
    <row r="138" spans="1:15">
      <c r="A138" s="25">
        <v>46299.071527777778</v>
      </c>
      <c r="B138">
        <v>19.103000000000002</v>
      </c>
      <c r="C138">
        <v>52.478000000000002</v>
      </c>
      <c r="D138">
        <v>943.61699999999996</v>
      </c>
      <c r="E138">
        <v>4.0419999999999998</v>
      </c>
      <c r="F138">
        <v>0</v>
      </c>
      <c r="G138" s="26">
        <f t="shared" si="16"/>
        <v>9.1518913569012366</v>
      </c>
      <c r="H138" s="26">
        <f t="shared" si="23"/>
        <v>-0.16499999999998849</v>
      </c>
      <c r="I138" s="26">
        <f t="shared" si="17"/>
        <v>15.061000000000002</v>
      </c>
      <c r="J138" t="str">
        <f t="shared" si="18"/>
        <v>Steady</v>
      </c>
      <c r="K138" s="26" t="str">
        <f t="shared" si="19"/>
        <v/>
      </c>
      <c r="L138" s="26" t="str">
        <f t="shared" si="20"/>
        <v/>
      </c>
      <c r="N138" t="e">
        <f t="shared" si="21"/>
        <v>#N/A</v>
      </c>
      <c r="O138" t="e">
        <f t="shared" si="22"/>
        <v>#N/A</v>
      </c>
    </row>
    <row r="139" spans="1:15">
      <c r="A139" s="25">
        <v>46299.072222222218</v>
      </c>
      <c r="B139">
        <v>19.103000000000002</v>
      </c>
      <c r="C139">
        <v>52.533000000000001</v>
      </c>
      <c r="D139">
        <v>943.63699999999994</v>
      </c>
      <c r="E139">
        <v>4.0330000000000004</v>
      </c>
      <c r="F139">
        <v>0</v>
      </c>
      <c r="G139" s="26">
        <f t="shared" si="16"/>
        <v>9.1674452843989052</v>
      </c>
      <c r="H139" s="26">
        <f t="shared" si="23"/>
        <v>0</v>
      </c>
      <c r="I139" s="26">
        <f t="shared" si="17"/>
        <v>15.07</v>
      </c>
      <c r="J139" t="str">
        <f t="shared" si="18"/>
        <v>Steady</v>
      </c>
      <c r="K139" s="26" t="str">
        <f t="shared" si="19"/>
        <v/>
      </c>
      <c r="L139" s="26" t="str">
        <f t="shared" si="20"/>
        <v/>
      </c>
      <c r="N139" t="e">
        <f t="shared" si="21"/>
        <v>#N/A</v>
      </c>
      <c r="O139" t="e">
        <f t="shared" si="22"/>
        <v>#N/A</v>
      </c>
    </row>
    <row r="140" spans="1:15">
      <c r="A140" s="25">
        <v>46299.072916666657</v>
      </c>
      <c r="B140">
        <v>19.097000000000001</v>
      </c>
      <c r="C140">
        <v>52.652000000000001</v>
      </c>
      <c r="D140">
        <v>943.60299999999995</v>
      </c>
      <c r="E140">
        <v>4.0250000000000004</v>
      </c>
      <c r="F140">
        <v>0</v>
      </c>
      <c r="G140" s="26">
        <f t="shared" si="16"/>
        <v>9.1954939292852842</v>
      </c>
      <c r="H140" s="26">
        <f t="shared" si="23"/>
        <v>-0.31500000000001194</v>
      </c>
      <c r="I140" s="26">
        <f t="shared" si="17"/>
        <v>15.072000000000001</v>
      </c>
      <c r="J140" t="str">
        <f t="shared" si="18"/>
        <v>Cooling</v>
      </c>
      <c r="K140" s="26">
        <f t="shared" si="19"/>
        <v>15.072000000000001</v>
      </c>
      <c r="L140" s="26">
        <f t="shared" si="20"/>
        <v>-0.31500000000001194</v>
      </c>
      <c r="N140">
        <f t="shared" si="21"/>
        <v>15.072000000000001</v>
      </c>
      <c r="O140">
        <f t="shared" si="22"/>
        <v>-0.31500000000001194</v>
      </c>
    </row>
    <row r="141" spans="1:15">
      <c r="A141" s="25">
        <v>46299.073611111111</v>
      </c>
      <c r="B141">
        <v>19.097999999999999</v>
      </c>
      <c r="C141">
        <v>52.701999999999998</v>
      </c>
      <c r="D141">
        <v>943.63800000000003</v>
      </c>
      <c r="E141">
        <v>4.0170000000000003</v>
      </c>
      <c r="F141">
        <v>0</v>
      </c>
      <c r="G141" s="26">
        <f t="shared" si="16"/>
        <v>9.2105186059486783</v>
      </c>
      <c r="H141" s="26">
        <f t="shared" si="23"/>
        <v>-0.3000000000000469</v>
      </c>
      <c r="I141" s="26">
        <f t="shared" si="17"/>
        <v>15.081</v>
      </c>
      <c r="J141" t="str">
        <f t="shared" si="18"/>
        <v>Cooling</v>
      </c>
      <c r="K141" s="26">
        <f t="shared" si="19"/>
        <v>15.081</v>
      </c>
      <c r="L141" s="26">
        <f t="shared" si="20"/>
        <v>-0.3000000000000469</v>
      </c>
      <c r="N141">
        <f t="shared" si="21"/>
        <v>15.081</v>
      </c>
      <c r="O141">
        <f t="shared" si="22"/>
        <v>-0.3000000000000469</v>
      </c>
    </row>
    <row r="142" spans="1:15">
      <c r="A142" s="25">
        <v>46299.074305555558</v>
      </c>
      <c r="B142">
        <v>19.082000000000001</v>
      </c>
      <c r="C142">
        <v>52.814999999999998</v>
      </c>
      <c r="D142">
        <v>943.61</v>
      </c>
      <c r="E142">
        <v>4.008</v>
      </c>
      <c r="F142">
        <v>0</v>
      </c>
      <c r="G142" s="26">
        <f t="shared" si="16"/>
        <v>9.227518921875367</v>
      </c>
      <c r="H142" s="26">
        <f t="shared" si="23"/>
        <v>-0.21000000000004349</v>
      </c>
      <c r="I142" s="26">
        <f t="shared" si="17"/>
        <v>15.074000000000002</v>
      </c>
      <c r="J142" t="str">
        <f t="shared" si="18"/>
        <v>Cooling</v>
      </c>
      <c r="K142" s="26">
        <f t="shared" si="19"/>
        <v>15.074000000000002</v>
      </c>
      <c r="L142" s="26">
        <f t="shared" si="20"/>
        <v>-0.21000000000004349</v>
      </c>
      <c r="N142">
        <f t="shared" si="21"/>
        <v>15.074000000000002</v>
      </c>
      <c r="O142">
        <f t="shared" si="22"/>
        <v>-0.21000000000004349</v>
      </c>
    </row>
    <row r="143" spans="1:15">
      <c r="A143" s="25">
        <v>46299.074999999997</v>
      </c>
      <c r="B143">
        <v>19.082999999999998</v>
      </c>
      <c r="C143">
        <v>52.862000000000002</v>
      </c>
      <c r="D143">
        <v>943.60799999999995</v>
      </c>
      <c r="E143">
        <v>4</v>
      </c>
      <c r="F143">
        <v>0</v>
      </c>
      <c r="G143" s="26">
        <f t="shared" si="16"/>
        <v>9.2416608135834029</v>
      </c>
      <c r="H143" s="26">
        <f t="shared" si="23"/>
        <v>-0.41999999999998039</v>
      </c>
      <c r="I143" s="26">
        <f t="shared" si="17"/>
        <v>15.082999999999998</v>
      </c>
      <c r="J143" t="str">
        <f t="shared" si="18"/>
        <v>Cooling</v>
      </c>
      <c r="K143" s="26">
        <f t="shared" si="19"/>
        <v>15.082999999999998</v>
      </c>
      <c r="L143" s="26">
        <f t="shared" si="20"/>
        <v>-0.41999999999998039</v>
      </c>
      <c r="N143">
        <f t="shared" si="21"/>
        <v>15.082999999999998</v>
      </c>
      <c r="O143">
        <f t="shared" si="22"/>
        <v>-0.41999999999998039</v>
      </c>
    </row>
    <row r="144" spans="1:15">
      <c r="A144" s="25">
        <v>46299.075694444437</v>
      </c>
      <c r="B144">
        <v>19.082999999999998</v>
      </c>
      <c r="C144">
        <v>52.828000000000003</v>
      </c>
      <c r="D144">
        <v>943.64</v>
      </c>
      <c r="E144">
        <v>3.992</v>
      </c>
      <c r="F144">
        <v>0</v>
      </c>
      <c r="G144" s="26">
        <f t="shared" si="16"/>
        <v>9.2321015804349269</v>
      </c>
      <c r="H144" s="26">
        <f t="shared" si="23"/>
        <v>-0.10500000000002174</v>
      </c>
      <c r="I144" s="26">
        <f t="shared" si="17"/>
        <v>15.090999999999998</v>
      </c>
      <c r="J144" t="str">
        <f t="shared" si="18"/>
        <v>Steady</v>
      </c>
      <c r="K144" s="26" t="str">
        <f t="shared" si="19"/>
        <v/>
      </c>
      <c r="L144" s="26" t="str">
        <f t="shared" si="20"/>
        <v/>
      </c>
      <c r="N144" t="e">
        <f t="shared" si="21"/>
        <v>#N/A</v>
      </c>
      <c r="O144" t="e">
        <f t="shared" si="22"/>
        <v>#N/A</v>
      </c>
    </row>
    <row r="145" spans="1:15">
      <c r="A145" s="25">
        <v>46299.076388888891</v>
      </c>
      <c r="B145">
        <v>19.07</v>
      </c>
      <c r="C145">
        <v>52.85</v>
      </c>
      <c r="D145">
        <v>943.60199999999998</v>
      </c>
      <c r="E145">
        <v>3.9830000000000001</v>
      </c>
      <c r="F145">
        <v>0</v>
      </c>
      <c r="G145" s="26">
        <f t="shared" si="16"/>
        <v>9.2262457239907114</v>
      </c>
      <c r="H145" s="26">
        <f t="shared" si="23"/>
        <v>-0.29999999999999361</v>
      </c>
      <c r="I145" s="26">
        <f t="shared" si="17"/>
        <v>15.087</v>
      </c>
      <c r="J145" t="str">
        <f t="shared" si="18"/>
        <v>Cooling</v>
      </c>
      <c r="K145" s="26">
        <f t="shared" si="19"/>
        <v>15.087</v>
      </c>
      <c r="L145" s="26">
        <f t="shared" si="20"/>
        <v>-0.29999999999999361</v>
      </c>
      <c r="N145">
        <f t="shared" si="21"/>
        <v>15.087</v>
      </c>
      <c r="O145">
        <f t="shared" si="22"/>
        <v>-0.29999999999999361</v>
      </c>
    </row>
    <row r="146" spans="1:15">
      <c r="A146" s="25">
        <v>46299.07708333333</v>
      </c>
      <c r="B146">
        <v>19.074999999999999</v>
      </c>
      <c r="C146">
        <v>52.792000000000002</v>
      </c>
      <c r="D146">
        <v>943.59799999999996</v>
      </c>
      <c r="E146">
        <v>3.9750000000000001</v>
      </c>
      <c r="F146">
        <v>0</v>
      </c>
      <c r="G146" s="26">
        <f t="shared" si="16"/>
        <v>9.2145647086273108</v>
      </c>
      <c r="H146" s="26">
        <f t="shared" si="23"/>
        <v>-0.46499999999998209</v>
      </c>
      <c r="I146" s="26">
        <f t="shared" si="17"/>
        <v>15.1</v>
      </c>
      <c r="J146" t="str">
        <f t="shared" si="18"/>
        <v>Cooling</v>
      </c>
      <c r="K146" s="26">
        <f t="shared" si="19"/>
        <v>15.1</v>
      </c>
      <c r="L146" s="26">
        <f t="shared" si="20"/>
        <v>-0.46499999999998209</v>
      </c>
      <c r="N146">
        <f t="shared" si="21"/>
        <v>15.1</v>
      </c>
      <c r="O146">
        <f t="shared" si="22"/>
        <v>-0.46499999999998209</v>
      </c>
    </row>
    <row r="147" spans="1:15">
      <c r="A147" s="25">
        <v>46299.077777777777</v>
      </c>
      <c r="B147">
        <v>19.062999999999999</v>
      </c>
      <c r="C147">
        <v>52.862000000000002</v>
      </c>
      <c r="D147">
        <v>943.6</v>
      </c>
      <c r="E147">
        <v>3.9670000000000001</v>
      </c>
      <c r="F147">
        <v>0</v>
      </c>
      <c r="G147" s="26">
        <f t="shared" si="16"/>
        <v>9.2231343578589531</v>
      </c>
      <c r="H147" s="26">
        <f t="shared" si="23"/>
        <v>-0.33000000000003027</v>
      </c>
      <c r="I147" s="26">
        <f t="shared" si="17"/>
        <v>15.095999999999998</v>
      </c>
      <c r="J147" t="str">
        <f t="shared" si="18"/>
        <v>Cooling</v>
      </c>
      <c r="K147" s="26">
        <f t="shared" si="19"/>
        <v>15.095999999999998</v>
      </c>
      <c r="L147" s="26">
        <f t="shared" si="20"/>
        <v>-0.33000000000003027</v>
      </c>
      <c r="N147">
        <f t="shared" si="21"/>
        <v>15.095999999999998</v>
      </c>
      <c r="O147">
        <f t="shared" si="22"/>
        <v>-0.33000000000003027</v>
      </c>
    </row>
    <row r="148" spans="1:15">
      <c r="A148" s="25">
        <v>46299.078472222223</v>
      </c>
      <c r="B148">
        <v>19.052</v>
      </c>
      <c r="C148">
        <v>53.006999999999998</v>
      </c>
      <c r="D148">
        <v>943.62699999999995</v>
      </c>
      <c r="E148">
        <v>3.9580000000000002</v>
      </c>
      <c r="F148">
        <v>0</v>
      </c>
      <c r="G148" s="26">
        <f t="shared" si="16"/>
        <v>9.2536420178978052</v>
      </c>
      <c r="H148" s="26">
        <f t="shared" si="23"/>
        <v>-0.41999999999998039</v>
      </c>
      <c r="I148" s="26">
        <f t="shared" si="17"/>
        <v>15.093999999999999</v>
      </c>
      <c r="J148" t="str">
        <f t="shared" si="18"/>
        <v>Cooling</v>
      </c>
      <c r="K148" s="26">
        <f t="shared" si="19"/>
        <v>15.093999999999999</v>
      </c>
      <c r="L148" s="26">
        <f t="shared" si="20"/>
        <v>-0.41999999999998039</v>
      </c>
      <c r="N148">
        <f t="shared" si="21"/>
        <v>15.093999999999999</v>
      </c>
      <c r="O148">
        <f t="shared" si="22"/>
        <v>-0.41999999999998039</v>
      </c>
    </row>
    <row r="149" spans="1:15">
      <c r="A149" s="25">
        <v>46299.07916666667</v>
      </c>
      <c r="B149">
        <v>19.047999999999998</v>
      </c>
      <c r="C149">
        <v>53.023000000000003</v>
      </c>
      <c r="D149">
        <v>943.59699999999998</v>
      </c>
      <c r="E149">
        <v>3.95</v>
      </c>
      <c r="F149">
        <v>0</v>
      </c>
      <c r="G149" s="26">
        <f t="shared" si="16"/>
        <v>9.254420088035376</v>
      </c>
      <c r="H149" s="26">
        <f t="shared" si="23"/>
        <v>-0.29999999999999361</v>
      </c>
      <c r="I149" s="26">
        <f t="shared" si="17"/>
        <v>15.097999999999999</v>
      </c>
      <c r="J149" t="str">
        <f t="shared" si="18"/>
        <v>Cooling</v>
      </c>
      <c r="K149" s="26">
        <f t="shared" si="19"/>
        <v>15.097999999999999</v>
      </c>
      <c r="L149" s="26">
        <f t="shared" si="20"/>
        <v>-0.29999999999999361</v>
      </c>
      <c r="N149">
        <f t="shared" si="21"/>
        <v>15.097999999999999</v>
      </c>
      <c r="O149">
        <f t="shared" si="22"/>
        <v>-0.29999999999999361</v>
      </c>
    </row>
    <row r="150" spans="1:15">
      <c r="A150" s="25">
        <v>46299.079861111109</v>
      </c>
      <c r="B150">
        <v>19.047000000000001</v>
      </c>
      <c r="C150">
        <v>52.927</v>
      </c>
      <c r="D150">
        <v>943.59799999999996</v>
      </c>
      <c r="E150">
        <v>3.9420000000000002</v>
      </c>
      <c r="F150">
        <v>0</v>
      </c>
      <c r="G150" s="26">
        <f t="shared" si="16"/>
        <v>9.2265682070353545</v>
      </c>
      <c r="H150" s="26">
        <f t="shared" si="23"/>
        <v>-7.4999999999985079E-2</v>
      </c>
      <c r="I150" s="26">
        <f t="shared" si="17"/>
        <v>15.105</v>
      </c>
      <c r="J150" t="str">
        <f t="shared" si="18"/>
        <v>Steady</v>
      </c>
      <c r="K150" s="26" t="str">
        <f t="shared" si="19"/>
        <v/>
      </c>
      <c r="L150" s="26" t="str">
        <f t="shared" si="20"/>
        <v/>
      </c>
      <c r="N150" t="e">
        <f t="shared" si="21"/>
        <v>#N/A</v>
      </c>
      <c r="O150" t="e">
        <f t="shared" si="22"/>
        <v>#N/A</v>
      </c>
    </row>
    <row r="151" spans="1:15">
      <c r="A151" s="25">
        <v>46299.080555555563</v>
      </c>
      <c r="B151">
        <v>19.042999999999999</v>
      </c>
      <c r="C151">
        <v>52.968000000000004</v>
      </c>
      <c r="D151">
        <v>943.55200000000002</v>
      </c>
      <c r="E151">
        <v>3.9329999999999998</v>
      </c>
      <c r="F151">
        <v>0</v>
      </c>
      <c r="G151" s="26">
        <f t="shared" si="16"/>
        <v>9.2343665911090138</v>
      </c>
      <c r="H151" s="26">
        <f t="shared" si="23"/>
        <v>-0.29999999999999361</v>
      </c>
      <c r="I151" s="26">
        <f t="shared" si="17"/>
        <v>15.11</v>
      </c>
      <c r="J151" t="str">
        <f t="shared" si="18"/>
        <v>Cooling</v>
      </c>
      <c r="K151" s="26">
        <f t="shared" si="19"/>
        <v>15.11</v>
      </c>
      <c r="L151" s="26">
        <f t="shared" si="20"/>
        <v>-0.29999999999999361</v>
      </c>
      <c r="N151">
        <f t="shared" si="21"/>
        <v>15.11</v>
      </c>
      <c r="O151">
        <f t="shared" si="22"/>
        <v>-0.29999999999999361</v>
      </c>
    </row>
    <row r="152" spans="1:15">
      <c r="A152" s="25">
        <v>46299.081250000003</v>
      </c>
      <c r="B152">
        <v>19.047000000000001</v>
      </c>
      <c r="C152">
        <v>52.802</v>
      </c>
      <c r="D152">
        <v>943.59</v>
      </c>
      <c r="E152">
        <v>3.9249999999999998</v>
      </c>
      <c r="F152">
        <v>0</v>
      </c>
      <c r="G152" s="26">
        <f t="shared" si="16"/>
        <v>9.1914446791640874</v>
      </c>
      <c r="H152" s="26">
        <f t="shared" si="23"/>
        <v>-0.15000000000002345</v>
      </c>
      <c r="I152" s="26">
        <f t="shared" si="17"/>
        <v>15.122</v>
      </c>
      <c r="J152" t="str">
        <f t="shared" si="18"/>
        <v>Steady</v>
      </c>
      <c r="K152" s="26" t="str">
        <f t="shared" si="19"/>
        <v/>
      </c>
      <c r="L152" s="26" t="str">
        <f t="shared" si="20"/>
        <v/>
      </c>
      <c r="N152" t="e">
        <f t="shared" si="21"/>
        <v>#N/A</v>
      </c>
      <c r="O152" t="e">
        <f t="shared" si="22"/>
        <v>#N/A</v>
      </c>
    </row>
    <row r="153" spans="1:15">
      <c r="A153" s="25">
        <v>46299.081944444442</v>
      </c>
      <c r="B153">
        <v>19.027999999999999</v>
      </c>
      <c r="C153">
        <v>52.966999999999999</v>
      </c>
      <c r="D153">
        <v>943.59199999999998</v>
      </c>
      <c r="E153">
        <v>3.9169999999999998</v>
      </c>
      <c r="F153">
        <v>0</v>
      </c>
      <c r="G153" s="26">
        <f t="shared" si="16"/>
        <v>9.2201878545348599</v>
      </c>
      <c r="H153" s="26">
        <f t="shared" si="23"/>
        <v>-0.23999999999997357</v>
      </c>
      <c r="I153" s="26">
        <f t="shared" si="17"/>
        <v>15.110999999999999</v>
      </c>
      <c r="J153" t="str">
        <f t="shared" si="18"/>
        <v>Cooling</v>
      </c>
      <c r="K153" s="26">
        <f t="shared" si="19"/>
        <v>15.110999999999999</v>
      </c>
      <c r="L153" s="26">
        <f t="shared" si="20"/>
        <v>-0.23999999999997357</v>
      </c>
      <c r="N153">
        <f t="shared" si="21"/>
        <v>15.110999999999999</v>
      </c>
      <c r="O153">
        <f t="shared" si="22"/>
        <v>-0.23999999999997357</v>
      </c>
    </row>
    <row r="154" spans="1:15">
      <c r="A154" s="25">
        <v>46299.082638888889</v>
      </c>
      <c r="B154">
        <v>19.036999999999999</v>
      </c>
      <c r="C154">
        <v>52.976999999999997</v>
      </c>
      <c r="D154">
        <v>943.59500000000003</v>
      </c>
      <c r="E154">
        <v>3.9079999999999999</v>
      </c>
      <c r="F154">
        <v>0</v>
      </c>
      <c r="G154" s="26">
        <f t="shared" si="16"/>
        <v>9.231331448809188</v>
      </c>
      <c r="H154" s="26">
        <f t="shared" si="23"/>
        <v>-0.36000000000001364</v>
      </c>
      <c r="I154" s="26">
        <f t="shared" si="17"/>
        <v>15.129</v>
      </c>
      <c r="J154" t="str">
        <f t="shared" si="18"/>
        <v>Cooling</v>
      </c>
      <c r="K154" s="26">
        <f t="shared" si="19"/>
        <v>15.129</v>
      </c>
      <c r="L154" s="26">
        <f t="shared" si="20"/>
        <v>-0.36000000000001364</v>
      </c>
      <c r="N154">
        <f t="shared" si="21"/>
        <v>15.129</v>
      </c>
      <c r="O154">
        <f t="shared" si="22"/>
        <v>-0.36000000000001364</v>
      </c>
    </row>
    <row r="155" spans="1:15">
      <c r="A155" s="25">
        <v>46299.083333333343</v>
      </c>
      <c r="B155">
        <v>19.027000000000001</v>
      </c>
      <c r="C155">
        <v>53.055</v>
      </c>
      <c r="D155">
        <v>943.59</v>
      </c>
      <c r="E155">
        <v>3.9</v>
      </c>
      <c r="F155">
        <v>0</v>
      </c>
      <c r="G155" s="26">
        <f t="shared" si="16"/>
        <v>9.2439243422071975</v>
      </c>
      <c r="H155" s="26">
        <f t="shared" si="23"/>
        <v>-7.4999999999985079E-2</v>
      </c>
      <c r="I155" s="26">
        <f t="shared" si="17"/>
        <v>15.127000000000001</v>
      </c>
      <c r="J155" t="str">
        <f t="shared" si="18"/>
        <v>Steady</v>
      </c>
      <c r="K155" s="26" t="str">
        <f t="shared" si="19"/>
        <v/>
      </c>
      <c r="L155" s="26" t="str">
        <f t="shared" si="20"/>
        <v/>
      </c>
      <c r="N155" t="e">
        <f t="shared" si="21"/>
        <v>#N/A</v>
      </c>
      <c r="O155" t="e">
        <f t="shared" si="22"/>
        <v>#N/A</v>
      </c>
    </row>
    <row r="156" spans="1:15">
      <c r="A156" s="25">
        <v>46299.084027777782</v>
      </c>
      <c r="B156">
        <v>19.023</v>
      </c>
      <c r="C156">
        <v>52.912999999999997</v>
      </c>
      <c r="D156">
        <v>943.59799999999996</v>
      </c>
      <c r="E156">
        <v>3.8980000000000001</v>
      </c>
      <c r="F156">
        <v>0</v>
      </c>
      <c r="G156" s="26">
        <f t="shared" si="16"/>
        <v>9.2004034994576749</v>
      </c>
      <c r="H156" s="26">
        <f t="shared" si="23"/>
        <v>-0.40499999999996206</v>
      </c>
      <c r="I156" s="26">
        <f t="shared" si="17"/>
        <v>15.125</v>
      </c>
      <c r="J156" t="str">
        <f t="shared" si="18"/>
        <v>Cooling</v>
      </c>
      <c r="K156" s="26">
        <f t="shared" si="19"/>
        <v>15.125</v>
      </c>
      <c r="L156" s="26">
        <f t="shared" si="20"/>
        <v>-0.40499999999996206</v>
      </c>
      <c r="N156">
        <f t="shared" si="21"/>
        <v>15.125</v>
      </c>
      <c r="O156">
        <f t="shared" si="22"/>
        <v>-0.40499999999996206</v>
      </c>
    </row>
    <row r="157" spans="1:15">
      <c r="A157" s="25">
        <v>46299.084722222222</v>
      </c>
      <c r="B157">
        <v>19.023</v>
      </c>
      <c r="C157">
        <v>52.872999999999998</v>
      </c>
      <c r="D157">
        <v>943.61500000000001</v>
      </c>
      <c r="E157">
        <v>3.8969999999999998</v>
      </c>
      <c r="F157">
        <v>0</v>
      </c>
      <c r="G157" s="26">
        <f t="shared" si="16"/>
        <v>9.1891712977174898</v>
      </c>
      <c r="H157" s="26">
        <f t="shared" si="23"/>
        <v>-0.33000000000003027</v>
      </c>
      <c r="I157" s="26">
        <f t="shared" si="17"/>
        <v>15.125999999999999</v>
      </c>
      <c r="J157" t="str">
        <f t="shared" si="18"/>
        <v>Cooling</v>
      </c>
      <c r="K157" s="26">
        <f t="shared" si="19"/>
        <v>15.125999999999999</v>
      </c>
      <c r="L157" s="26">
        <f t="shared" si="20"/>
        <v>-0.33000000000003027</v>
      </c>
      <c r="N157">
        <f t="shared" si="21"/>
        <v>15.125999999999999</v>
      </c>
      <c r="O157">
        <f t="shared" si="22"/>
        <v>-0.33000000000003027</v>
      </c>
    </row>
    <row r="158" spans="1:15">
      <c r="A158" s="25">
        <v>46299.085416666669</v>
      </c>
      <c r="B158">
        <v>19.010000000000002</v>
      </c>
      <c r="C158">
        <v>53.045000000000002</v>
      </c>
      <c r="D158">
        <v>943.65499999999997</v>
      </c>
      <c r="E158">
        <v>3.895</v>
      </c>
      <c r="F158">
        <v>0</v>
      </c>
      <c r="G158" s="26">
        <f t="shared" si="16"/>
        <v>9.2253693983738287</v>
      </c>
      <c r="H158" s="26">
        <f t="shared" si="23"/>
        <v>-0.34499999999999531</v>
      </c>
      <c r="I158" s="26">
        <f t="shared" si="17"/>
        <v>15.115000000000002</v>
      </c>
      <c r="J158" t="str">
        <f t="shared" si="18"/>
        <v>Cooling</v>
      </c>
      <c r="K158" s="26">
        <f t="shared" si="19"/>
        <v>15.115000000000002</v>
      </c>
      <c r="L158" s="26">
        <f t="shared" si="20"/>
        <v>-0.34499999999999531</v>
      </c>
      <c r="N158">
        <f t="shared" si="21"/>
        <v>15.115000000000002</v>
      </c>
      <c r="O158">
        <f t="shared" si="22"/>
        <v>-0.34499999999999531</v>
      </c>
    </row>
    <row r="159" spans="1:15">
      <c r="A159" s="25">
        <v>46299.086111111108</v>
      </c>
      <c r="B159">
        <v>19.004999999999999</v>
      </c>
      <c r="C159">
        <v>53.036999999999999</v>
      </c>
      <c r="D159">
        <v>943.625</v>
      </c>
      <c r="E159">
        <v>3.8929999999999998</v>
      </c>
      <c r="F159">
        <v>0</v>
      </c>
      <c r="G159" s="26">
        <f t="shared" si="16"/>
        <v>9.2184951990213886</v>
      </c>
      <c r="H159" s="26">
        <f t="shared" si="23"/>
        <v>-0.45000000000001705</v>
      </c>
      <c r="I159" s="26">
        <f t="shared" si="17"/>
        <v>15.111999999999998</v>
      </c>
      <c r="J159" t="str">
        <f t="shared" si="18"/>
        <v>Cooling</v>
      </c>
      <c r="K159" s="26">
        <f t="shared" si="19"/>
        <v>15.111999999999998</v>
      </c>
      <c r="L159" s="26">
        <f t="shared" si="20"/>
        <v>-0.45000000000001705</v>
      </c>
      <c r="N159">
        <f t="shared" si="21"/>
        <v>15.111999999999998</v>
      </c>
      <c r="O159">
        <f t="shared" si="22"/>
        <v>-0.45000000000001705</v>
      </c>
    </row>
    <row r="160" spans="1:15">
      <c r="A160" s="25">
        <v>46299.086805555547</v>
      </c>
      <c r="B160">
        <v>19</v>
      </c>
      <c r="C160">
        <v>52.89</v>
      </c>
      <c r="D160">
        <v>943.65300000000002</v>
      </c>
      <c r="E160">
        <v>3.8919999999999999</v>
      </c>
      <c r="F160">
        <v>0</v>
      </c>
      <c r="G160" s="26">
        <f t="shared" si="16"/>
        <v>9.172638771057418</v>
      </c>
      <c r="H160" s="26">
        <f t="shared" si="23"/>
        <v>-0.22500000000000853</v>
      </c>
      <c r="I160" s="26">
        <f t="shared" si="17"/>
        <v>15.108000000000001</v>
      </c>
      <c r="J160" t="str">
        <f t="shared" si="18"/>
        <v>Cooling</v>
      </c>
      <c r="K160" s="26">
        <f t="shared" si="19"/>
        <v>15.108000000000001</v>
      </c>
      <c r="L160" s="26">
        <f t="shared" si="20"/>
        <v>-0.22500000000000853</v>
      </c>
      <c r="N160">
        <f t="shared" si="21"/>
        <v>15.108000000000001</v>
      </c>
      <c r="O160">
        <f t="shared" si="22"/>
        <v>-0.22500000000000853</v>
      </c>
    </row>
    <row r="161" spans="1:15">
      <c r="A161" s="25">
        <v>46299.087500000001</v>
      </c>
      <c r="B161">
        <v>18.992999999999999</v>
      </c>
      <c r="C161">
        <v>53.042000000000002</v>
      </c>
      <c r="D161">
        <v>943.63499999999999</v>
      </c>
      <c r="E161">
        <v>3.89</v>
      </c>
      <c r="F161">
        <v>0</v>
      </c>
      <c r="G161" s="26">
        <f t="shared" si="16"/>
        <v>9.2087750571293441</v>
      </c>
      <c r="H161" s="26">
        <f t="shared" si="23"/>
        <v>-0.2549999999999919</v>
      </c>
      <c r="I161" s="26">
        <f t="shared" si="17"/>
        <v>15.102999999999998</v>
      </c>
      <c r="J161" t="str">
        <f t="shared" si="18"/>
        <v>Cooling</v>
      </c>
      <c r="K161" s="26">
        <f t="shared" si="19"/>
        <v>15.102999999999998</v>
      </c>
      <c r="L161" s="26">
        <f t="shared" si="20"/>
        <v>-0.2549999999999919</v>
      </c>
      <c r="N161">
        <f t="shared" si="21"/>
        <v>15.102999999999998</v>
      </c>
      <c r="O161">
        <f t="shared" si="22"/>
        <v>-0.2549999999999919</v>
      </c>
    </row>
    <row r="162" spans="1:15">
      <c r="A162" s="25">
        <v>46299.088194444441</v>
      </c>
      <c r="B162">
        <v>18.995000000000001</v>
      </c>
      <c r="C162">
        <v>52.866999999999997</v>
      </c>
      <c r="D162">
        <v>943.61500000000001</v>
      </c>
      <c r="E162">
        <v>3.8879999999999999</v>
      </c>
      <c r="F162">
        <v>0</v>
      </c>
      <c r="G162" s="26">
        <f t="shared" si="16"/>
        <v>9.1615480184701799</v>
      </c>
      <c r="H162" s="26">
        <f t="shared" si="23"/>
        <v>-0.32999999999997698</v>
      </c>
      <c r="I162" s="26">
        <f t="shared" si="17"/>
        <v>15.107000000000001</v>
      </c>
      <c r="J162" t="str">
        <f t="shared" si="18"/>
        <v>Cooling</v>
      </c>
      <c r="K162" s="26">
        <f t="shared" si="19"/>
        <v>15.107000000000001</v>
      </c>
      <c r="L162" s="26">
        <f t="shared" si="20"/>
        <v>-0.32999999999997698</v>
      </c>
      <c r="N162">
        <f t="shared" si="21"/>
        <v>15.107000000000001</v>
      </c>
      <c r="O162">
        <f t="shared" si="22"/>
        <v>-0.32999999999997698</v>
      </c>
    </row>
    <row r="163" spans="1:15">
      <c r="A163" s="25">
        <v>46299.088888888888</v>
      </c>
      <c r="B163">
        <v>18.988</v>
      </c>
      <c r="C163">
        <v>52.887</v>
      </c>
      <c r="D163">
        <v>943.59500000000003</v>
      </c>
      <c r="E163">
        <v>3.887</v>
      </c>
      <c r="F163">
        <v>0</v>
      </c>
      <c r="G163" s="26">
        <f t="shared" si="16"/>
        <v>9.1606796911356714</v>
      </c>
      <c r="H163" s="26">
        <f t="shared" si="23"/>
        <v>-0.23999999999997357</v>
      </c>
      <c r="I163" s="26">
        <f t="shared" si="17"/>
        <v>15.100999999999999</v>
      </c>
      <c r="J163" t="str">
        <f t="shared" si="18"/>
        <v>Cooling</v>
      </c>
      <c r="K163" s="26">
        <f t="shared" si="19"/>
        <v>15.100999999999999</v>
      </c>
      <c r="L163" s="26">
        <f t="shared" si="20"/>
        <v>-0.23999999999997357</v>
      </c>
      <c r="N163">
        <f t="shared" si="21"/>
        <v>15.100999999999999</v>
      </c>
      <c r="O163">
        <f t="shared" si="22"/>
        <v>-0.23999999999997357</v>
      </c>
    </row>
    <row r="164" spans="1:15">
      <c r="A164" s="25">
        <v>46299.089583333327</v>
      </c>
      <c r="B164">
        <v>18.978000000000002</v>
      </c>
      <c r="C164">
        <v>53.046999999999997</v>
      </c>
      <c r="D164">
        <v>943.57500000000005</v>
      </c>
      <c r="E164">
        <v>3.8849999999999998</v>
      </c>
      <c r="F164">
        <v>0</v>
      </c>
      <c r="G164" s="26">
        <f t="shared" si="16"/>
        <v>9.1962743275254049</v>
      </c>
      <c r="H164" s="26">
        <f t="shared" si="23"/>
        <v>-0.27000000000001023</v>
      </c>
      <c r="I164" s="26">
        <f t="shared" si="17"/>
        <v>15.093000000000002</v>
      </c>
      <c r="J164" t="str">
        <f t="shared" si="18"/>
        <v>Cooling</v>
      </c>
      <c r="K164" s="26">
        <f t="shared" si="19"/>
        <v>15.093000000000002</v>
      </c>
      <c r="L164" s="26">
        <f t="shared" si="20"/>
        <v>-0.27000000000001023</v>
      </c>
      <c r="N164">
        <f t="shared" si="21"/>
        <v>15.093000000000002</v>
      </c>
      <c r="O164">
        <f t="shared" si="22"/>
        <v>-0.27000000000001023</v>
      </c>
    </row>
    <row r="165" spans="1:15">
      <c r="A165" s="25">
        <v>46299.090277777781</v>
      </c>
      <c r="B165">
        <v>18.977</v>
      </c>
      <c r="C165">
        <v>53.14</v>
      </c>
      <c r="D165">
        <v>943.60699999999997</v>
      </c>
      <c r="E165">
        <v>3.883</v>
      </c>
      <c r="F165">
        <v>0</v>
      </c>
      <c r="G165" s="26">
        <f t="shared" si="16"/>
        <v>9.2213666528857718</v>
      </c>
      <c r="H165" s="26">
        <f t="shared" si="23"/>
        <v>-0.22500000000000853</v>
      </c>
      <c r="I165" s="26">
        <f t="shared" si="17"/>
        <v>15.094000000000001</v>
      </c>
      <c r="J165" t="str">
        <f t="shared" si="18"/>
        <v>Cooling</v>
      </c>
      <c r="K165" s="26">
        <f t="shared" si="19"/>
        <v>15.094000000000001</v>
      </c>
      <c r="L165" s="26">
        <f t="shared" si="20"/>
        <v>-0.22500000000000853</v>
      </c>
      <c r="N165">
        <f t="shared" si="21"/>
        <v>15.094000000000001</v>
      </c>
      <c r="O165">
        <f t="shared" si="22"/>
        <v>-0.22500000000000853</v>
      </c>
    </row>
    <row r="166" spans="1:15">
      <c r="A166" s="25">
        <v>46299.09097222222</v>
      </c>
      <c r="B166">
        <v>18.977</v>
      </c>
      <c r="C166">
        <v>52.981999999999999</v>
      </c>
      <c r="D166">
        <v>943.61</v>
      </c>
      <c r="E166">
        <v>3.8820000000000001</v>
      </c>
      <c r="F166">
        <v>0</v>
      </c>
      <c r="G166" s="26">
        <f t="shared" si="16"/>
        <v>9.1771383338943302</v>
      </c>
      <c r="H166" s="26">
        <f t="shared" si="23"/>
        <v>-9.0000000000003411E-2</v>
      </c>
      <c r="I166" s="26">
        <f t="shared" si="17"/>
        <v>15.095000000000001</v>
      </c>
      <c r="J166" t="str">
        <f t="shared" si="18"/>
        <v>Steady</v>
      </c>
      <c r="K166" s="26" t="str">
        <f t="shared" si="19"/>
        <v/>
      </c>
      <c r="L166" s="26" t="str">
        <f t="shared" si="20"/>
        <v/>
      </c>
      <c r="N166" t="e">
        <f t="shared" si="21"/>
        <v>#N/A</v>
      </c>
      <c r="O166" t="e">
        <f t="shared" si="22"/>
        <v>#N/A</v>
      </c>
    </row>
    <row r="167" spans="1:15">
      <c r="A167" s="25">
        <v>46299.091666666667</v>
      </c>
      <c r="B167">
        <v>18.972999999999999</v>
      </c>
      <c r="C167">
        <v>52.942999999999998</v>
      </c>
      <c r="D167">
        <v>943.58699999999999</v>
      </c>
      <c r="E167">
        <v>3.88</v>
      </c>
      <c r="F167">
        <v>0</v>
      </c>
      <c r="G167" s="26">
        <f t="shared" si="16"/>
        <v>9.1624972495225574</v>
      </c>
      <c r="H167" s="26">
        <f t="shared" si="23"/>
        <v>-0.20999999999999019</v>
      </c>
      <c r="I167" s="26">
        <f t="shared" si="17"/>
        <v>15.093</v>
      </c>
      <c r="J167" t="str">
        <f t="shared" si="18"/>
        <v>Cooling</v>
      </c>
      <c r="K167" s="26">
        <f t="shared" si="19"/>
        <v>15.093</v>
      </c>
      <c r="L167" s="26">
        <f t="shared" si="20"/>
        <v>-0.20999999999999019</v>
      </c>
      <c r="N167">
        <f t="shared" si="21"/>
        <v>15.093</v>
      </c>
      <c r="O167">
        <f t="shared" si="22"/>
        <v>-0.20999999999999019</v>
      </c>
    </row>
    <row r="168" spans="1:15">
      <c r="A168" s="25">
        <v>46299.092361111107</v>
      </c>
      <c r="B168">
        <v>18.972000000000001</v>
      </c>
      <c r="C168">
        <v>53.061999999999998</v>
      </c>
      <c r="D168">
        <v>943.61500000000001</v>
      </c>
      <c r="E168">
        <v>3.8780000000000001</v>
      </c>
      <c r="F168">
        <v>0</v>
      </c>
      <c r="G168" s="26">
        <f t="shared" si="16"/>
        <v>9.1949131358104168</v>
      </c>
      <c r="H168" s="26">
        <f t="shared" si="23"/>
        <v>-0.33000000000003027</v>
      </c>
      <c r="I168" s="26">
        <f t="shared" si="17"/>
        <v>15.094000000000001</v>
      </c>
      <c r="J168" t="str">
        <f t="shared" si="18"/>
        <v>Cooling</v>
      </c>
      <c r="K168" s="26">
        <f t="shared" si="19"/>
        <v>15.094000000000001</v>
      </c>
      <c r="L168" s="26">
        <f t="shared" si="20"/>
        <v>-0.33000000000003027</v>
      </c>
      <c r="N168">
        <f t="shared" si="21"/>
        <v>15.094000000000001</v>
      </c>
      <c r="O168">
        <f t="shared" si="22"/>
        <v>-0.33000000000003027</v>
      </c>
    </row>
    <row r="169" spans="1:15">
      <c r="A169" s="25">
        <v>46299.093055555553</v>
      </c>
      <c r="B169">
        <v>18.963000000000001</v>
      </c>
      <c r="C169">
        <v>53.042999999999999</v>
      </c>
      <c r="D169">
        <v>943.62800000000004</v>
      </c>
      <c r="E169">
        <v>3.8769999999999998</v>
      </c>
      <c r="F169">
        <v>0</v>
      </c>
      <c r="G169" s="26">
        <f t="shared" si="16"/>
        <v>9.1812534739953353</v>
      </c>
      <c r="H169" s="26">
        <f t="shared" si="23"/>
        <v>-0.29999999999999361</v>
      </c>
      <c r="I169" s="26">
        <f t="shared" si="17"/>
        <v>15.086000000000002</v>
      </c>
      <c r="J169" t="str">
        <f t="shared" si="18"/>
        <v>Cooling</v>
      </c>
      <c r="K169" s="26">
        <f t="shared" si="19"/>
        <v>15.086000000000002</v>
      </c>
      <c r="L169" s="26">
        <f t="shared" si="20"/>
        <v>-0.29999999999999361</v>
      </c>
      <c r="N169">
        <f t="shared" si="21"/>
        <v>15.086000000000002</v>
      </c>
      <c r="O169">
        <f t="shared" si="22"/>
        <v>-0.29999999999999361</v>
      </c>
    </row>
    <row r="170" spans="1:15">
      <c r="A170" s="25">
        <v>46299.09375</v>
      </c>
      <c r="B170">
        <v>18.954999999999998</v>
      </c>
      <c r="C170">
        <v>53.19</v>
      </c>
      <c r="D170">
        <v>943.61699999999996</v>
      </c>
      <c r="E170">
        <v>3.875</v>
      </c>
      <c r="F170">
        <v>0</v>
      </c>
      <c r="G170" s="26">
        <f t="shared" si="16"/>
        <v>9.2149442146907692</v>
      </c>
      <c r="H170" s="26">
        <f t="shared" si="23"/>
        <v>-0.37500000000003197</v>
      </c>
      <c r="I170" s="26">
        <f t="shared" si="17"/>
        <v>15.079999999999998</v>
      </c>
      <c r="J170" t="str">
        <f t="shared" si="18"/>
        <v>Cooling</v>
      </c>
      <c r="K170" s="26">
        <f t="shared" si="19"/>
        <v>15.079999999999998</v>
      </c>
      <c r="L170" s="26">
        <f t="shared" si="20"/>
        <v>-0.37500000000003197</v>
      </c>
      <c r="N170">
        <f t="shared" si="21"/>
        <v>15.079999999999998</v>
      </c>
      <c r="O170">
        <f t="shared" si="22"/>
        <v>-0.37500000000003197</v>
      </c>
    </row>
    <row r="171" spans="1:15">
      <c r="A171" s="25">
        <v>46299.094444444447</v>
      </c>
      <c r="B171">
        <v>18.952999999999999</v>
      </c>
      <c r="C171">
        <v>53.075000000000003</v>
      </c>
      <c r="D171">
        <v>943.625</v>
      </c>
      <c r="E171">
        <v>3.8730000000000002</v>
      </c>
      <c r="F171">
        <v>0</v>
      </c>
      <c r="G171" s="26">
        <f t="shared" si="16"/>
        <v>9.1809425588947047</v>
      </c>
      <c r="H171" s="26">
        <f t="shared" si="23"/>
        <v>-0.38999999999999702</v>
      </c>
      <c r="I171" s="26">
        <f t="shared" si="17"/>
        <v>15.079999999999998</v>
      </c>
      <c r="J171" t="str">
        <f t="shared" si="18"/>
        <v>Cooling</v>
      </c>
      <c r="K171" s="26">
        <f t="shared" si="19"/>
        <v>15.079999999999998</v>
      </c>
      <c r="L171" s="26">
        <f t="shared" si="20"/>
        <v>-0.38999999999999702</v>
      </c>
      <c r="N171">
        <f t="shared" si="21"/>
        <v>15.079999999999998</v>
      </c>
      <c r="O171">
        <f t="shared" si="22"/>
        <v>-0.38999999999999702</v>
      </c>
    </row>
    <row r="172" spans="1:15">
      <c r="A172" s="25">
        <v>46299.095138888893</v>
      </c>
      <c r="B172">
        <v>18.946999999999999</v>
      </c>
      <c r="C172">
        <v>53.067999999999998</v>
      </c>
      <c r="D172">
        <v>943.63499999999999</v>
      </c>
      <c r="E172">
        <v>3.8719999999999999</v>
      </c>
      <c r="F172">
        <v>0</v>
      </c>
      <c r="G172" s="26">
        <f t="shared" si="16"/>
        <v>9.1734230866051423</v>
      </c>
      <c r="H172" s="26">
        <f t="shared" si="23"/>
        <v>-0.17999999999995353</v>
      </c>
      <c r="I172" s="26">
        <f t="shared" si="17"/>
        <v>15.074999999999999</v>
      </c>
      <c r="J172" t="str">
        <f t="shared" si="18"/>
        <v>Steady</v>
      </c>
      <c r="K172" s="26" t="str">
        <f t="shared" si="19"/>
        <v/>
      </c>
      <c r="L172" s="26" t="str">
        <f t="shared" si="20"/>
        <v/>
      </c>
      <c r="N172" t="e">
        <f t="shared" si="21"/>
        <v>#N/A</v>
      </c>
      <c r="O172" t="e">
        <f t="shared" si="22"/>
        <v>#N/A</v>
      </c>
    </row>
    <row r="173" spans="1:15">
      <c r="A173" s="25">
        <v>46299.095833333333</v>
      </c>
      <c r="B173">
        <v>18.937000000000001</v>
      </c>
      <c r="C173">
        <v>53.11</v>
      </c>
      <c r="D173">
        <v>943.62300000000005</v>
      </c>
      <c r="E173">
        <v>3.87</v>
      </c>
      <c r="F173">
        <v>0</v>
      </c>
      <c r="G173" s="26">
        <f t="shared" si="16"/>
        <v>9.1759032314989248</v>
      </c>
      <c r="H173" s="26">
        <f t="shared" si="23"/>
        <v>-0.29999999999999361</v>
      </c>
      <c r="I173" s="26">
        <f t="shared" si="17"/>
        <v>15.067</v>
      </c>
      <c r="J173" t="str">
        <f t="shared" si="18"/>
        <v>Cooling</v>
      </c>
      <c r="K173" s="26">
        <f t="shared" si="19"/>
        <v>15.067</v>
      </c>
      <c r="L173" s="26">
        <f t="shared" si="20"/>
        <v>-0.29999999999999361</v>
      </c>
      <c r="N173">
        <f t="shared" si="21"/>
        <v>15.067</v>
      </c>
      <c r="O173">
        <f t="shared" si="22"/>
        <v>-0.29999999999999361</v>
      </c>
    </row>
    <row r="174" spans="1:15">
      <c r="A174" s="25">
        <v>46299.09652777778</v>
      </c>
      <c r="B174">
        <v>18.943000000000001</v>
      </c>
      <c r="C174">
        <v>53.201999999999998</v>
      </c>
      <c r="D174">
        <v>943.61699999999996</v>
      </c>
      <c r="E174">
        <v>3.8679999999999999</v>
      </c>
      <c r="F174">
        <v>0</v>
      </c>
      <c r="G174" s="26">
        <f t="shared" si="16"/>
        <v>9.2071705980694976</v>
      </c>
      <c r="H174" s="26">
        <f t="shared" si="23"/>
        <v>-0.32999999999997698</v>
      </c>
      <c r="I174" s="26">
        <f t="shared" si="17"/>
        <v>15.075000000000001</v>
      </c>
      <c r="J174" t="str">
        <f t="shared" si="18"/>
        <v>Cooling</v>
      </c>
      <c r="K174" s="26">
        <f t="shared" si="19"/>
        <v>15.075000000000001</v>
      </c>
      <c r="L174" s="26">
        <f t="shared" si="20"/>
        <v>-0.32999999999997698</v>
      </c>
      <c r="N174">
        <f t="shared" si="21"/>
        <v>15.075000000000001</v>
      </c>
      <c r="O174">
        <f t="shared" si="22"/>
        <v>-0.32999999999997698</v>
      </c>
    </row>
    <row r="175" spans="1:15">
      <c r="A175" s="25">
        <v>46299.097222222219</v>
      </c>
      <c r="B175">
        <v>18.933</v>
      </c>
      <c r="C175">
        <v>52.93</v>
      </c>
      <c r="D175">
        <v>943.61800000000005</v>
      </c>
      <c r="E175">
        <v>3.867</v>
      </c>
      <c r="F175">
        <v>0</v>
      </c>
      <c r="G175" s="26">
        <f t="shared" si="16"/>
        <v>9.1217909763065901</v>
      </c>
      <c r="H175" s="26">
        <f t="shared" si="23"/>
        <v>-0.15000000000002345</v>
      </c>
      <c r="I175" s="26">
        <f t="shared" si="17"/>
        <v>15.065999999999999</v>
      </c>
      <c r="J175" t="str">
        <f t="shared" si="18"/>
        <v>Steady</v>
      </c>
      <c r="K175" s="26" t="str">
        <f t="shared" si="19"/>
        <v/>
      </c>
      <c r="L175" s="26" t="str">
        <f t="shared" si="20"/>
        <v/>
      </c>
      <c r="N175" t="e">
        <f t="shared" si="21"/>
        <v>#N/A</v>
      </c>
      <c r="O175" t="e">
        <f t="shared" si="22"/>
        <v>#N/A</v>
      </c>
    </row>
    <row r="176" spans="1:15">
      <c r="A176" s="25">
        <v>46299.097916666673</v>
      </c>
      <c r="B176">
        <v>18.925000000000001</v>
      </c>
      <c r="C176">
        <v>53.134999999999998</v>
      </c>
      <c r="D176">
        <v>943.65200000000004</v>
      </c>
      <c r="E176">
        <v>3.8650000000000002</v>
      </c>
      <c r="F176">
        <v>0</v>
      </c>
      <c r="G176" s="26">
        <f t="shared" si="16"/>
        <v>9.1717691063546791</v>
      </c>
      <c r="H176" s="26">
        <f t="shared" si="23"/>
        <v>-0.27000000000001023</v>
      </c>
      <c r="I176" s="26">
        <f t="shared" si="17"/>
        <v>15.06</v>
      </c>
      <c r="J176" t="str">
        <f t="shared" si="18"/>
        <v>Cooling</v>
      </c>
      <c r="K176" s="26">
        <f t="shared" si="19"/>
        <v>15.06</v>
      </c>
      <c r="L176" s="26">
        <f t="shared" si="20"/>
        <v>-0.27000000000001023</v>
      </c>
      <c r="N176">
        <f t="shared" si="21"/>
        <v>15.06</v>
      </c>
      <c r="O176">
        <f t="shared" si="22"/>
        <v>-0.27000000000001023</v>
      </c>
    </row>
    <row r="177" spans="1:15">
      <c r="A177" s="25">
        <v>46299.098611111112</v>
      </c>
      <c r="B177">
        <v>18.927</v>
      </c>
      <c r="C177">
        <v>53.064999999999998</v>
      </c>
      <c r="D177">
        <v>943.69299999999998</v>
      </c>
      <c r="E177">
        <v>3.863</v>
      </c>
      <c r="F177">
        <v>0</v>
      </c>
      <c r="G177" s="26">
        <f t="shared" si="16"/>
        <v>9.1540480304688661</v>
      </c>
      <c r="H177" s="26">
        <f t="shared" si="23"/>
        <v>-9.0000000000003411E-2</v>
      </c>
      <c r="I177" s="26">
        <f t="shared" si="17"/>
        <v>15.064</v>
      </c>
      <c r="J177" t="str">
        <f t="shared" si="18"/>
        <v>Steady</v>
      </c>
      <c r="K177" s="26" t="str">
        <f t="shared" si="19"/>
        <v/>
      </c>
      <c r="L177" s="26" t="str">
        <f t="shared" si="20"/>
        <v/>
      </c>
      <c r="N177" t="e">
        <f t="shared" si="21"/>
        <v>#N/A</v>
      </c>
      <c r="O177" t="e">
        <f t="shared" si="22"/>
        <v>#N/A</v>
      </c>
    </row>
    <row r="178" spans="1:15">
      <c r="A178" s="25">
        <v>46299.099305555559</v>
      </c>
      <c r="B178">
        <v>18.925000000000001</v>
      </c>
      <c r="C178">
        <v>53.167000000000002</v>
      </c>
      <c r="D178">
        <v>943.70799999999997</v>
      </c>
      <c r="E178">
        <v>3.8620000000000001</v>
      </c>
      <c r="F178">
        <v>0</v>
      </c>
      <c r="G178" s="26">
        <f t="shared" si="16"/>
        <v>9.1807099347954999</v>
      </c>
      <c r="H178" s="26">
        <f t="shared" si="23"/>
        <v>-0.22500000000000853</v>
      </c>
      <c r="I178" s="26">
        <f t="shared" si="17"/>
        <v>15.063000000000001</v>
      </c>
      <c r="J178" t="str">
        <f t="shared" si="18"/>
        <v>Cooling</v>
      </c>
      <c r="K178" s="26">
        <f t="shared" si="19"/>
        <v>15.063000000000001</v>
      </c>
      <c r="L178" s="26">
        <f t="shared" si="20"/>
        <v>-0.22500000000000853</v>
      </c>
      <c r="N178">
        <f t="shared" si="21"/>
        <v>15.063000000000001</v>
      </c>
      <c r="O178">
        <f t="shared" si="22"/>
        <v>-0.22500000000000853</v>
      </c>
    </row>
    <row r="179" spans="1:15">
      <c r="A179" s="25">
        <v>46299.1</v>
      </c>
      <c r="B179">
        <v>18.927</v>
      </c>
      <c r="C179">
        <v>53.148000000000003</v>
      </c>
      <c r="D179">
        <v>943.72199999999998</v>
      </c>
      <c r="E179">
        <v>3.86</v>
      </c>
      <c r="F179">
        <v>0</v>
      </c>
      <c r="G179" s="26">
        <f t="shared" si="16"/>
        <v>9.1772557916827697</v>
      </c>
      <c r="H179" s="26">
        <f t="shared" si="23"/>
        <v>-0.22500000000000853</v>
      </c>
      <c r="I179" s="26">
        <f t="shared" si="17"/>
        <v>15.067</v>
      </c>
      <c r="J179" t="str">
        <f t="shared" si="18"/>
        <v>Cooling</v>
      </c>
      <c r="K179" s="26">
        <f t="shared" si="19"/>
        <v>15.067</v>
      </c>
      <c r="L179" s="26">
        <f t="shared" si="20"/>
        <v>-0.22500000000000853</v>
      </c>
      <c r="N179">
        <f t="shared" si="21"/>
        <v>15.067</v>
      </c>
      <c r="O179">
        <f t="shared" si="22"/>
        <v>-0.22500000000000853</v>
      </c>
    </row>
    <row r="180" spans="1:15">
      <c r="A180" s="25">
        <v>46299.100694444453</v>
      </c>
      <c r="B180">
        <v>18.91</v>
      </c>
      <c r="C180">
        <v>53.273000000000003</v>
      </c>
      <c r="D180">
        <v>943.72500000000002</v>
      </c>
      <c r="E180">
        <v>3.8580000000000001</v>
      </c>
      <c r="F180">
        <v>0</v>
      </c>
      <c r="G180" s="26">
        <f t="shared" si="16"/>
        <v>9.1963844196212481</v>
      </c>
      <c r="H180" s="26">
        <f t="shared" si="23"/>
        <v>-0.29999999999999361</v>
      </c>
      <c r="I180" s="26">
        <f t="shared" si="17"/>
        <v>15.052</v>
      </c>
      <c r="J180" t="str">
        <f t="shared" si="18"/>
        <v>Cooling</v>
      </c>
      <c r="K180" s="26">
        <f t="shared" si="19"/>
        <v>15.052</v>
      </c>
      <c r="L180" s="26">
        <f t="shared" si="20"/>
        <v>-0.29999999999999361</v>
      </c>
      <c r="N180">
        <f t="shared" si="21"/>
        <v>15.052</v>
      </c>
      <c r="O180">
        <f t="shared" si="22"/>
        <v>-0.29999999999999361</v>
      </c>
    </row>
    <row r="181" spans="1:15">
      <c r="A181" s="25">
        <v>46299.101388888892</v>
      </c>
      <c r="B181">
        <v>18.911999999999999</v>
      </c>
      <c r="C181">
        <v>53.134999999999998</v>
      </c>
      <c r="D181">
        <v>943.72799999999995</v>
      </c>
      <c r="E181">
        <v>3.8570000000000002</v>
      </c>
      <c r="F181">
        <v>0</v>
      </c>
      <c r="G181" s="26">
        <f t="shared" si="16"/>
        <v>9.1597190713200902</v>
      </c>
      <c r="H181" s="26">
        <f t="shared" si="23"/>
        <v>-0.5099999999999838</v>
      </c>
      <c r="I181" s="26">
        <f t="shared" si="17"/>
        <v>15.055</v>
      </c>
      <c r="J181" t="str">
        <f t="shared" si="18"/>
        <v>Cooling</v>
      </c>
      <c r="K181" s="26">
        <f t="shared" si="19"/>
        <v>15.055</v>
      </c>
      <c r="L181" s="26">
        <f t="shared" si="20"/>
        <v>-0.5099999999999838</v>
      </c>
      <c r="N181">
        <f t="shared" si="21"/>
        <v>15.055</v>
      </c>
      <c r="O181">
        <f t="shared" si="22"/>
        <v>-0.5099999999999838</v>
      </c>
    </row>
    <row r="182" spans="1:15">
      <c r="A182" s="25">
        <v>46299.102083333331</v>
      </c>
      <c r="B182">
        <v>18.905000000000001</v>
      </c>
      <c r="C182">
        <v>53.232999999999997</v>
      </c>
      <c r="D182">
        <v>943.75</v>
      </c>
      <c r="E182">
        <v>3.855</v>
      </c>
      <c r="F182">
        <v>0</v>
      </c>
      <c r="G182" s="26">
        <f t="shared" si="16"/>
        <v>9.180592852663942</v>
      </c>
      <c r="H182" s="26">
        <f t="shared" si="23"/>
        <v>-0.29999999999999361</v>
      </c>
      <c r="I182" s="26">
        <f t="shared" si="17"/>
        <v>15.05</v>
      </c>
      <c r="J182" t="str">
        <f t="shared" si="18"/>
        <v>Cooling</v>
      </c>
      <c r="K182" s="26">
        <f t="shared" si="19"/>
        <v>15.05</v>
      </c>
      <c r="L182" s="26">
        <f t="shared" si="20"/>
        <v>-0.29999999999999361</v>
      </c>
      <c r="N182">
        <f t="shared" si="21"/>
        <v>15.05</v>
      </c>
      <c r="O182">
        <f t="shared" si="22"/>
        <v>-0.29999999999999361</v>
      </c>
    </row>
    <row r="183" spans="1:15">
      <c r="A183" s="25">
        <v>46299.102777777778</v>
      </c>
      <c r="B183">
        <v>18.893000000000001</v>
      </c>
      <c r="C183">
        <v>53.26</v>
      </c>
      <c r="D183">
        <v>943.74199999999996</v>
      </c>
      <c r="E183">
        <v>3.8530000000000002</v>
      </c>
      <c r="F183">
        <v>0</v>
      </c>
      <c r="G183" s="26">
        <f t="shared" si="16"/>
        <v>9.1769973821780564</v>
      </c>
      <c r="H183" s="26">
        <f t="shared" si="23"/>
        <v>-0.43499999999999872</v>
      </c>
      <c r="I183" s="26">
        <f t="shared" si="17"/>
        <v>15.040000000000001</v>
      </c>
      <c r="J183" t="str">
        <f t="shared" si="18"/>
        <v>Cooling</v>
      </c>
      <c r="K183" s="26">
        <f t="shared" si="19"/>
        <v>15.040000000000001</v>
      </c>
      <c r="L183" s="26">
        <f t="shared" si="20"/>
        <v>-0.43499999999999872</v>
      </c>
      <c r="N183">
        <f t="shared" si="21"/>
        <v>15.040000000000001</v>
      </c>
      <c r="O183">
        <f t="shared" si="22"/>
        <v>-0.43499999999999872</v>
      </c>
    </row>
    <row r="184" spans="1:15">
      <c r="A184" s="25">
        <v>46299.103472222218</v>
      </c>
      <c r="B184">
        <v>18.89</v>
      </c>
      <c r="C184">
        <v>53.085000000000001</v>
      </c>
      <c r="D184">
        <v>943.75699999999995</v>
      </c>
      <c r="E184">
        <v>3.8519999999999999</v>
      </c>
      <c r="F184">
        <v>0</v>
      </c>
      <c r="G184" s="26">
        <f t="shared" si="16"/>
        <v>9.1253506398240649</v>
      </c>
      <c r="H184" s="26">
        <f t="shared" si="23"/>
        <v>-0.37500000000003197</v>
      </c>
      <c r="I184" s="26">
        <f t="shared" si="17"/>
        <v>15.038</v>
      </c>
      <c r="J184" t="str">
        <f t="shared" si="18"/>
        <v>Cooling</v>
      </c>
      <c r="K184" s="26">
        <f t="shared" si="19"/>
        <v>15.038</v>
      </c>
      <c r="L184" s="26">
        <f t="shared" si="20"/>
        <v>-0.37500000000003197</v>
      </c>
      <c r="N184">
        <f t="shared" si="21"/>
        <v>15.038</v>
      </c>
      <c r="O184">
        <f t="shared" si="22"/>
        <v>-0.37500000000003197</v>
      </c>
    </row>
    <row r="185" spans="1:15">
      <c r="A185" s="25">
        <v>46299.104166666657</v>
      </c>
      <c r="B185">
        <v>18.882999999999999</v>
      </c>
      <c r="C185">
        <v>53.146999999999998</v>
      </c>
      <c r="D185">
        <v>943.72500000000002</v>
      </c>
      <c r="E185">
        <v>3.85</v>
      </c>
      <c r="F185">
        <v>0</v>
      </c>
      <c r="G185" s="26">
        <f t="shared" si="16"/>
        <v>9.1361903955266914</v>
      </c>
      <c r="H185" s="26">
        <f t="shared" si="23"/>
        <v>-0.16499999999998849</v>
      </c>
      <c r="I185" s="26">
        <f t="shared" si="17"/>
        <v>15.032999999999999</v>
      </c>
      <c r="J185" t="str">
        <f t="shared" si="18"/>
        <v>Steady</v>
      </c>
      <c r="K185" s="26" t="str">
        <f t="shared" si="19"/>
        <v/>
      </c>
      <c r="L185" s="26" t="str">
        <f t="shared" si="20"/>
        <v/>
      </c>
      <c r="N185" t="e">
        <f t="shared" si="21"/>
        <v>#N/A</v>
      </c>
      <c r="O185" t="e">
        <f t="shared" si="22"/>
        <v>#N/A</v>
      </c>
    </row>
    <row r="186" spans="1:15">
      <c r="A186" s="25">
        <v>46299.104861111111</v>
      </c>
      <c r="B186">
        <v>18.88</v>
      </c>
      <c r="C186">
        <v>53.087000000000003</v>
      </c>
      <c r="D186">
        <v>943.72799999999995</v>
      </c>
      <c r="E186">
        <v>3.8479999999999999</v>
      </c>
      <c r="F186">
        <v>0</v>
      </c>
      <c r="G186" s="26">
        <f t="shared" si="16"/>
        <v>9.1166415415761044</v>
      </c>
      <c r="H186" s="26">
        <f t="shared" si="23"/>
        <v>-0.29999999999999361</v>
      </c>
      <c r="I186" s="26">
        <f t="shared" si="17"/>
        <v>15.032</v>
      </c>
      <c r="J186" t="str">
        <f t="shared" si="18"/>
        <v>Cooling</v>
      </c>
      <c r="K186" s="26">
        <f t="shared" si="19"/>
        <v>15.032</v>
      </c>
      <c r="L186" s="26">
        <f t="shared" si="20"/>
        <v>-0.29999999999999361</v>
      </c>
      <c r="N186">
        <f t="shared" si="21"/>
        <v>15.032</v>
      </c>
      <c r="O186">
        <f t="shared" si="22"/>
        <v>-0.29999999999999361</v>
      </c>
    </row>
    <row r="187" spans="1:15">
      <c r="A187" s="25">
        <v>46299.105555555558</v>
      </c>
      <c r="B187">
        <v>18.882000000000001</v>
      </c>
      <c r="C187">
        <v>53.231999999999999</v>
      </c>
      <c r="D187">
        <v>943.70299999999997</v>
      </c>
      <c r="E187">
        <v>3.847</v>
      </c>
      <c r="F187">
        <v>0</v>
      </c>
      <c r="G187" s="26">
        <f t="shared" si="16"/>
        <v>9.1589898468905488</v>
      </c>
      <c r="H187" s="26">
        <f t="shared" si="23"/>
        <v>-0.22500000000000853</v>
      </c>
      <c r="I187" s="26">
        <f t="shared" si="17"/>
        <v>15.035000000000002</v>
      </c>
      <c r="J187" t="str">
        <f t="shared" si="18"/>
        <v>Cooling</v>
      </c>
      <c r="K187" s="26">
        <f t="shared" si="19"/>
        <v>15.035000000000002</v>
      </c>
      <c r="L187" s="26">
        <f t="shared" si="20"/>
        <v>-0.22500000000000853</v>
      </c>
      <c r="N187">
        <f t="shared" si="21"/>
        <v>15.035000000000002</v>
      </c>
      <c r="O187">
        <f t="shared" si="22"/>
        <v>-0.22500000000000853</v>
      </c>
    </row>
    <row r="188" spans="1:15">
      <c r="A188" s="25">
        <v>46299.106249999997</v>
      </c>
      <c r="B188">
        <v>18.87</v>
      </c>
      <c r="C188">
        <v>53.267000000000003</v>
      </c>
      <c r="D188">
        <v>943.68799999999999</v>
      </c>
      <c r="E188">
        <v>3.8450000000000002</v>
      </c>
      <c r="F188">
        <v>0</v>
      </c>
      <c r="G188" s="26">
        <f t="shared" si="16"/>
        <v>9.1576233378706782</v>
      </c>
      <c r="H188" s="26">
        <f t="shared" si="23"/>
        <v>-0.29999999999999361</v>
      </c>
      <c r="I188" s="26">
        <f t="shared" si="17"/>
        <v>15.025</v>
      </c>
      <c r="J188" t="str">
        <f t="shared" si="18"/>
        <v>Cooling</v>
      </c>
      <c r="K188" s="26">
        <f t="shared" si="19"/>
        <v>15.025</v>
      </c>
      <c r="L188" s="26">
        <f t="shared" si="20"/>
        <v>-0.29999999999999361</v>
      </c>
      <c r="N188">
        <f t="shared" si="21"/>
        <v>15.025</v>
      </c>
      <c r="O188">
        <f t="shared" si="22"/>
        <v>-0.29999999999999361</v>
      </c>
    </row>
    <row r="189" spans="1:15">
      <c r="A189" s="25">
        <v>46299.106944444437</v>
      </c>
      <c r="B189">
        <v>18.867999999999999</v>
      </c>
      <c r="C189">
        <v>53.192999999999998</v>
      </c>
      <c r="D189">
        <v>943.69200000000001</v>
      </c>
      <c r="E189">
        <v>3.843</v>
      </c>
      <c r="F189">
        <v>0</v>
      </c>
      <c r="G189" s="26">
        <f t="shared" si="16"/>
        <v>9.135128975792977</v>
      </c>
      <c r="H189" s="26">
        <f t="shared" si="23"/>
        <v>-0.36000000000001364</v>
      </c>
      <c r="I189" s="26">
        <f t="shared" si="17"/>
        <v>15.024999999999999</v>
      </c>
      <c r="J189" t="str">
        <f t="shared" si="18"/>
        <v>Cooling</v>
      </c>
      <c r="K189" s="26">
        <f t="shared" si="19"/>
        <v>15.024999999999999</v>
      </c>
      <c r="L189" s="26">
        <f t="shared" si="20"/>
        <v>-0.36000000000001364</v>
      </c>
      <c r="N189">
        <f t="shared" si="21"/>
        <v>15.024999999999999</v>
      </c>
      <c r="O189">
        <f t="shared" si="22"/>
        <v>-0.36000000000001364</v>
      </c>
    </row>
    <row r="190" spans="1:15">
      <c r="A190" s="25">
        <v>46299.107638888891</v>
      </c>
      <c r="B190">
        <v>18.86</v>
      </c>
      <c r="C190">
        <v>53.396999999999998</v>
      </c>
      <c r="D190">
        <v>943.70500000000004</v>
      </c>
      <c r="E190">
        <v>3.8420000000000001</v>
      </c>
      <c r="F190">
        <v>0</v>
      </c>
      <c r="G190" s="26">
        <f t="shared" si="16"/>
        <v>9.1845472816410823</v>
      </c>
      <c r="H190" s="26">
        <f t="shared" si="23"/>
        <v>-7.5000000000038369E-2</v>
      </c>
      <c r="I190" s="26">
        <f t="shared" si="17"/>
        <v>15.017999999999999</v>
      </c>
      <c r="J190" t="str">
        <f t="shared" si="18"/>
        <v>Steady</v>
      </c>
      <c r="K190" s="26" t="str">
        <f t="shared" si="19"/>
        <v/>
      </c>
      <c r="L190" s="26" t="str">
        <f t="shared" si="20"/>
        <v/>
      </c>
      <c r="N190" t="e">
        <f t="shared" si="21"/>
        <v>#N/A</v>
      </c>
      <c r="O190" t="e">
        <f t="shared" si="22"/>
        <v>#N/A</v>
      </c>
    </row>
    <row r="191" spans="1:15">
      <c r="A191" s="25">
        <v>46299.10833333333</v>
      </c>
      <c r="B191">
        <v>18.858000000000001</v>
      </c>
      <c r="C191">
        <v>53.32</v>
      </c>
      <c r="D191">
        <v>943.69299999999998</v>
      </c>
      <c r="E191">
        <v>3.84</v>
      </c>
      <c r="F191">
        <v>0</v>
      </c>
      <c r="G191" s="26">
        <f t="shared" si="16"/>
        <v>9.1612628404266712</v>
      </c>
      <c r="H191" s="26">
        <f t="shared" si="23"/>
        <v>-0.16499999999998849</v>
      </c>
      <c r="I191" s="26">
        <f t="shared" si="17"/>
        <v>15.018000000000001</v>
      </c>
      <c r="J191" t="str">
        <f t="shared" si="18"/>
        <v>Steady</v>
      </c>
      <c r="K191" s="26" t="str">
        <f t="shared" si="19"/>
        <v/>
      </c>
      <c r="L191" s="26" t="str">
        <f t="shared" si="20"/>
        <v/>
      </c>
      <c r="N191" t="e">
        <f t="shared" si="21"/>
        <v>#N/A</v>
      </c>
      <c r="O191" t="e">
        <f t="shared" si="22"/>
        <v>#N/A</v>
      </c>
    </row>
    <row r="192" spans="1:15">
      <c r="A192" s="25">
        <v>46299.109027777777</v>
      </c>
      <c r="B192">
        <v>18.864999999999998</v>
      </c>
      <c r="C192">
        <v>53.204999999999998</v>
      </c>
      <c r="D192">
        <v>943.74</v>
      </c>
      <c r="E192">
        <v>3.8380000000000001</v>
      </c>
      <c r="F192">
        <v>0</v>
      </c>
      <c r="G192" s="26">
        <f t="shared" si="16"/>
        <v>9.1356964642795955</v>
      </c>
      <c r="H192" s="26">
        <f t="shared" si="23"/>
        <v>-0.2549999999999919</v>
      </c>
      <c r="I192" s="26">
        <f t="shared" si="17"/>
        <v>15.026999999999997</v>
      </c>
      <c r="J192" t="str">
        <f t="shared" si="18"/>
        <v>Cooling</v>
      </c>
      <c r="K192" s="26">
        <f t="shared" si="19"/>
        <v>15.026999999999997</v>
      </c>
      <c r="L192" s="26">
        <f t="shared" si="20"/>
        <v>-0.2549999999999919</v>
      </c>
      <c r="N192">
        <f t="shared" si="21"/>
        <v>15.026999999999997</v>
      </c>
      <c r="O192">
        <f t="shared" si="22"/>
        <v>-0.2549999999999919</v>
      </c>
    </row>
    <row r="193" spans="1:15">
      <c r="A193" s="25">
        <v>46299.109722222223</v>
      </c>
      <c r="B193">
        <v>18.856999999999999</v>
      </c>
      <c r="C193">
        <v>53.255000000000003</v>
      </c>
      <c r="D193">
        <v>943.76199999999994</v>
      </c>
      <c r="E193">
        <v>3.8370000000000002</v>
      </c>
      <c r="F193">
        <v>0</v>
      </c>
      <c r="G193" s="26">
        <f t="shared" si="16"/>
        <v>9.1422245657375036</v>
      </c>
      <c r="H193" s="26">
        <f t="shared" si="23"/>
        <v>-0.15000000000002345</v>
      </c>
      <c r="I193" s="26">
        <f t="shared" si="17"/>
        <v>15.02</v>
      </c>
      <c r="J193" t="str">
        <f t="shared" si="18"/>
        <v>Steady</v>
      </c>
      <c r="K193" s="26" t="str">
        <f t="shared" si="19"/>
        <v/>
      </c>
      <c r="L193" s="26" t="str">
        <f t="shared" si="20"/>
        <v/>
      </c>
      <c r="N193" t="e">
        <f t="shared" si="21"/>
        <v>#N/A</v>
      </c>
      <c r="O193" t="e">
        <f t="shared" si="22"/>
        <v>#N/A</v>
      </c>
    </row>
    <row r="194" spans="1:15">
      <c r="A194" s="25">
        <v>46299.11041666667</v>
      </c>
      <c r="B194">
        <v>18.843</v>
      </c>
      <c r="C194">
        <v>53.201999999999998</v>
      </c>
      <c r="D194">
        <v>943.78200000000004</v>
      </c>
      <c r="E194">
        <v>3.835</v>
      </c>
      <c r="F194">
        <v>0</v>
      </c>
      <c r="G194" s="26">
        <f t="shared" ref="G194:G257" si="24">243.04*(LN(C194/100)+17.625*B194/(243.04+B194))/(17.625-LN(C194/100)-17.625*B194/(243.04+B194))</f>
        <v>9.1144635942144099</v>
      </c>
      <c r="H194" s="26">
        <f t="shared" si="23"/>
        <v>-0.29999999999999361</v>
      </c>
      <c r="I194" s="26">
        <f t="shared" ref="I194:I257" si="25">B194-E194</f>
        <v>15.007999999999999</v>
      </c>
      <c r="J194" t="str">
        <f t="shared" ref="J194:J257" si="26">IF(H194="","",IF(H194&gt;0.6,"Heating",IF(H194&lt;-0.2,"Cooling","Steady")))</f>
        <v>Cooling</v>
      </c>
      <c r="K194" s="26">
        <f t="shared" ref="K194:K257" si="27">IF(J194="Cooling",I194,"")</f>
        <v>15.007999999999999</v>
      </c>
      <c r="L194" s="26">
        <f t="shared" ref="L194:L257" si="28">IF(J194="Cooling",H194,"")</f>
        <v>-0.29999999999999361</v>
      </c>
      <c r="N194">
        <f t="shared" ref="N194:N257" si="29">IF(K194="",NA(),K194)</f>
        <v>15.007999999999999</v>
      </c>
      <c r="O194">
        <f t="shared" ref="O194:O257" si="30">IF(L194="",NA(),L194)</f>
        <v>-0.29999999999999361</v>
      </c>
    </row>
    <row r="195" spans="1:15">
      <c r="A195" s="25">
        <v>46299.111111111109</v>
      </c>
      <c r="B195">
        <v>18.847999999999999</v>
      </c>
      <c r="C195">
        <v>53.134999999999998</v>
      </c>
      <c r="D195">
        <v>943.79200000000003</v>
      </c>
      <c r="E195">
        <v>3.8330000000000002</v>
      </c>
      <c r="F195">
        <v>0</v>
      </c>
      <c r="G195" s="26">
        <f t="shared" si="24"/>
        <v>9.1003951727132826</v>
      </c>
      <c r="H195" s="26">
        <f t="shared" si="23"/>
        <v>-0.18000000000000682</v>
      </c>
      <c r="I195" s="26">
        <f t="shared" si="25"/>
        <v>15.014999999999999</v>
      </c>
      <c r="J195" t="str">
        <f t="shared" si="26"/>
        <v>Steady</v>
      </c>
      <c r="K195" s="26" t="str">
        <f t="shared" si="27"/>
        <v/>
      </c>
      <c r="L195" s="26" t="str">
        <f t="shared" si="28"/>
        <v/>
      </c>
      <c r="N195" t="e">
        <f t="shared" si="29"/>
        <v>#N/A</v>
      </c>
      <c r="O195" t="e">
        <f t="shared" si="30"/>
        <v>#N/A</v>
      </c>
    </row>
    <row r="196" spans="1:15">
      <c r="A196" s="25">
        <v>46299.111805555563</v>
      </c>
      <c r="B196">
        <v>18.844999999999999</v>
      </c>
      <c r="C196">
        <v>53.335000000000001</v>
      </c>
      <c r="D196">
        <v>943.79499999999996</v>
      </c>
      <c r="E196">
        <v>3.8319999999999999</v>
      </c>
      <c r="F196">
        <v>0</v>
      </c>
      <c r="G196" s="26">
        <f t="shared" si="24"/>
        <v>9.1533839596435751</v>
      </c>
      <c r="H196" s="26">
        <f t="shared" ref="H196:H259" si="31">(B198-B194)/4*60</f>
        <v>-4.5000000000001705E-2</v>
      </c>
      <c r="I196" s="26">
        <f t="shared" si="25"/>
        <v>15.012999999999998</v>
      </c>
      <c r="J196" t="str">
        <f t="shared" si="26"/>
        <v>Steady</v>
      </c>
      <c r="K196" s="26" t="str">
        <f t="shared" si="27"/>
        <v/>
      </c>
      <c r="L196" s="26" t="str">
        <f t="shared" si="28"/>
        <v/>
      </c>
      <c r="N196" t="e">
        <f t="shared" si="29"/>
        <v>#N/A</v>
      </c>
      <c r="O196" t="e">
        <f t="shared" si="30"/>
        <v>#N/A</v>
      </c>
    </row>
    <row r="197" spans="1:15">
      <c r="A197" s="25">
        <v>46299.112500000003</v>
      </c>
      <c r="B197">
        <v>18.844999999999999</v>
      </c>
      <c r="C197">
        <v>53.256999999999998</v>
      </c>
      <c r="D197">
        <v>943.79300000000001</v>
      </c>
      <c r="E197">
        <v>3.83</v>
      </c>
      <c r="F197">
        <v>0</v>
      </c>
      <c r="G197" s="26">
        <f t="shared" si="24"/>
        <v>9.1316557900759818</v>
      </c>
      <c r="H197" s="26">
        <f t="shared" si="31"/>
        <v>-0.29999999999999361</v>
      </c>
      <c r="I197" s="26">
        <f t="shared" si="25"/>
        <v>15.014999999999999</v>
      </c>
      <c r="J197" t="str">
        <f t="shared" si="26"/>
        <v>Cooling</v>
      </c>
      <c r="K197" s="26">
        <f t="shared" si="27"/>
        <v>15.014999999999999</v>
      </c>
      <c r="L197" s="26">
        <f t="shared" si="28"/>
        <v>-0.29999999999999361</v>
      </c>
      <c r="N197">
        <f t="shared" si="29"/>
        <v>15.014999999999999</v>
      </c>
      <c r="O197">
        <f t="shared" si="30"/>
        <v>-0.29999999999999361</v>
      </c>
    </row>
    <row r="198" spans="1:15">
      <c r="A198" s="25">
        <v>46299.113194444442</v>
      </c>
      <c r="B198">
        <v>18.84</v>
      </c>
      <c r="C198">
        <v>53.46</v>
      </c>
      <c r="D198">
        <v>943.78200000000004</v>
      </c>
      <c r="E198">
        <v>3.8279999999999998</v>
      </c>
      <c r="F198">
        <v>0</v>
      </c>
      <c r="G198" s="26">
        <f t="shared" si="24"/>
        <v>9.1835082929800116</v>
      </c>
      <c r="H198" s="26">
        <f t="shared" si="31"/>
        <v>-0.22500000000000853</v>
      </c>
      <c r="I198" s="26">
        <f t="shared" si="25"/>
        <v>15.012</v>
      </c>
      <c r="J198" t="str">
        <f t="shared" si="26"/>
        <v>Cooling</v>
      </c>
      <c r="K198" s="26">
        <f t="shared" si="27"/>
        <v>15.012</v>
      </c>
      <c r="L198" s="26">
        <f t="shared" si="28"/>
        <v>-0.22500000000000853</v>
      </c>
      <c r="N198">
        <f t="shared" si="29"/>
        <v>15.012</v>
      </c>
      <c r="O198">
        <f t="shared" si="30"/>
        <v>-0.22500000000000853</v>
      </c>
    </row>
    <row r="199" spans="1:15">
      <c r="A199" s="25">
        <v>46299.113888888889</v>
      </c>
      <c r="B199">
        <v>18.827999999999999</v>
      </c>
      <c r="C199">
        <v>53.41</v>
      </c>
      <c r="D199">
        <v>943.77</v>
      </c>
      <c r="E199">
        <v>3.827</v>
      </c>
      <c r="F199">
        <v>0</v>
      </c>
      <c r="G199" s="26">
        <f t="shared" si="24"/>
        <v>9.158482322600852</v>
      </c>
      <c r="H199" s="26">
        <f t="shared" si="31"/>
        <v>-0.40499999999996206</v>
      </c>
      <c r="I199" s="26">
        <f t="shared" si="25"/>
        <v>15.000999999999999</v>
      </c>
      <c r="J199" t="str">
        <f t="shared" si="26"/>
        <v>Cooling</v>
      </c>
      <c r="K199" s="26">
        <f t="shared" si="27"/>
        <v>15.000999999999999</v>
      </c>
      <c r="L199" s="26">
        <f t="shared" si="28"/>
        <v>-0.40499999999996206</v>
      </c>
      <c r="N199">
        <f t="shared" si="29"/>
        <v>15.000999999999999</v>
      </c>
      <c r="O199">
        <f t="shared" si="30"/>
        <v>-0.40499999999996206</v>
      </c>
    </row>
    <row r="200" spans="1:15">
      <c r="A200" s="25">
        <v>46299.114583333343</v>
      </c>
      <c r="B200">
        <v>18.829999999999998</v>
      </c>
      <c r="C200">
        <v>53.167999999999999</v>
      </c>
      <c r="D200">
        <v>943.72</v>
      </c>
      <c r="E200">
        <v>3.8250000000000002</v>
      </c>
      <c r="F200">
        <v>0</v>
      </c>
      <c r="G200" s="26">
        <f t="shared" si="24"/>
        <v>9.0929238472343261</v>
      </c>
      <c r="H200" s="26">
        <f t="shared" si="31"/>
        <v>-0.49500000000001876</v>
      </c>
      <c r="I200" s="26">
        <f t="shared" si="25"/>
        <v>15.004999999999999</v>
      </c>
      <c r="J200" t="str">
        <f t="shared" si="26"/>
        <v>Cooling</v>
      </c>
      <c r="K200" s="26">
        <f t="shared" si="27"/>
        <v>15.004999999999999</v>
      </c>
      <c r="L200" s="26">
        <f t="shared" si="28"/>
        <v>-0.49500000000001876</v>
      </c>
      <c r="N200">
        <f t="shared" si="29"/>
        <v>15.004999999999999</v>
      </c>
      <c r="O200">
        <f t="shared" si="30"/>
        <v>-0.49500000000001876</v>
      </c>
    </row>
    <row r="201" spans="1:15">
      <c r="A201" s="25">
        <v>46299.115277777782</v>
      </c>
      <c r="B201">
        <v>18.818000000000001</v>
      </c>
      <c r="C201">
        <v>53.14</v>
      </c>
      <c r="D201">
        <v>943.69799999999998</v>
      </c>
      <c r="E201">
        <v>3.823</v>
      </c>
      <c r="F201">
        <v>0</v>
      </c>
      <c r="G201" s="26">
        <f t="shared" si="24"/>
        <v>9.0739829424855891</v>
      </c>
      <c r="H201" s="26">
        <f t="shared" si="31"/>
        <v>-0.19499999999997186</v>
      </c>
      <c r="I201" s="26">
        <f t="shared" si="25"/>
        <v>14.995000000000001</v>
      </c>
      <c r="J201" t="str">
        <f t="shared" si="26"/>
        <v>Steady</v>
      </c>
      <c r="K201" s="26" t="str">
        <f t="shared" si="27"/>
        <v/>
      </c>
      <c r="L201" s="26" t="str">
        <f t="shared" si="28"/>
        <v/>
      </c>
      <c r="N201" t="e">
        <f t="shared" si="29"/>
        <v>#N/A</v>
      </c>
      <c r="O201" t="e">
        <f t="shared" si="30"/>
        <v>#N/A</v>
      </c>
    </row>
    <row r="202" spans="1:15">
      <c r="A202" s="25">
        <v>46299.115972222222</v>
      </c>
      <c r="B202">
        <v>18.806999999999999</v>
      </c>
      <c r="C202">
        <v>53.395000000000003</v>
      </c>
      <c r="D202">
        <v>943.72299999999996</v>
      </c>
      <c r="E202">
        <v>3.8220000000000001</v>
      </c>
      <c r="F202">
        <v>0</v>
      </c>
      <c r="G202" s="26">
        <f t="shared" si="24"/>
        <v>9.1348345137111409</v>
      </c>
      <c r="H202" s="26">
        <f t="shared" si="31"/>
        <v>-0.40499999999996206</v>
      </c>
      <c r="I202" s="26">
        <f t="shared" si="25"/>
        <v>14.984999999999999</v>
      </c>
      <c r="J202" t="str">
        <f t="shared" si="26"/>
        <v>Cooling</v>
      </c>
      <c r="K202" s="26">
        <f t="shared" si="27"/>
        <v>14.984999999999999</v>
      </c>
      <c r="L202" s="26">
        <f t="shared" si="28"/>
        <v>-0.40499999999996206</v>
      </c>
      <c r="N202">
        <f t="shared" si="29"/>
        <v>14.984999999999999</v>
      </c>
      <c r="O202">
        <f t="shared" si="30"/>
        <v>-0.40499999999996206</v>
      </c>
    </row>
    <row r="203" spans="1:15">
      <c r="A203" s="25">
        <v>46299.116666666669</v>
      </c>
      <c r="B203">
        <v>18.815000000000001</v>
      </c>
      <c r="C203">
        <v>53.512</v>
      </c>
      <c r="D203">
        <v>943.69</v>
      </c>
      <c r="E203">
        <v>3.82</v>
      </c>
      <c r="F203">
        <v>0</v>
      </c>
      <c r="G203" s="26">
        <f t="shared" si="24"/>
        <v>9.1747547576055606</v>
      </c>
      <c r="H203" s="26">
        <f t="shared" si="31"/>
        <v>-0.37500000000003197</v>
      </c>
      <c r="I203" s="26">
        <f t="shared" si="25"/>
        <v>14.995000000000001</v>
      </c>
      <c r="J203" t="str">
        <f t="shared" si="26"/>
        <v>Cooling</v>
      </c>
      <c r="K203" s="26">
        <f t="shared" si="27"/>
        <v>14.995000000000001</v>
      </c>
      <c r="L203" s="26">
        <f t="shared" si="28"/>
        <v>-0.37500000000003197</v>
      </c>
      <c r="N203">
        <f t="shared" si="29"/>
        <v>14.995000000000001</v>
      </c>
      <c r="O203">
        <f t="shared" si="30"/>
        <v>-0.37500000000003197</v>
      </c>
    </row>
    <row r="204" spans="1:15">
      <c r="A204" s="25">
        <v>46299.117361111108</v>
      </c>
      <c r="B204">
        <v>18.803000000000001</v>
      </c>
      <c r="C204">
        <v>53.201999999999998</v>
      </c>
      <c r="D204">
        <v>943.69500000000005</v>
      </c>
      <c r="E204">
        <v>3.8180000000000001</v>
      </c>
      <c r="F204">
        <v>0</v>
      </c>
      <c r="G204" s="26">
        <f t="shared" si="24"/>
        <v>9.0773800562348157</v>
      </c>
      <c r="H204" s="26">
        <f t="shared" si="31"/>
        <v>-0.13500000000000512</v>
      </c>
      <c r="I204" s="26">
        <f t="shared" si="25"/>
        <v>14.985000000000001</v>
      </c>
      <c r="J204" t="str">
        <f t="shared" si="26"/>
        <v>Steady</v>
      </c>
      <c r="K204" s="26" t="str">
        <f t="shared" si="27"/>
        <v/>
      </c>
      <c r="L204" s="26" t="str">
        <f t="shared" si="28"/>
        <v/>
      </c>
      <c r="N204" t="e">
        <f t="shared" si="29"/>
        <v>#N/A</v>
      </c>
      <c r="O204" t="e">
        <f t="shared" si="30"/>
        <v>#N/A</v>
      </c>
    </row>
    <row r="205" spans="1:15">
      <c r="A205" s="25">
        <v>46299.118055555547</v>
      </c>
      <c r="B205">
        <v>18.792999999999999</v>
      </c>
      <c r="C205">
        <v>53.156999999999996</v>
      </c>
      <c r="D205">
        <v>943.68299999999999</v>
      </c>
      <c r="E205">
        <v>3.8170000000000002</v>
      </c>
      <c r="F205">
        <v>0</v>
      </c>
      <c r="G205" s="26">
        <f t="shared" si="24"/>
        <v>9.055554201598305</v>
      </c>
      <c r="H205" s="26">
        <f t="shared" si="31"/>
        <v>-0.40500000000001535</v>
      </c>
      <c r="I205" s="26">
        <f t="shared" si="25"/>
        <v>14.975999999999999</v>
      </c>
      <c r="J205" t="str">
        <f t="shared" si="26"/>
        <v>Cooling</v>
      </c>
      <c r="K205" s="26">
        <f t="shared" si="27"/>
        <v>14.975999999999999</v>
      </c>
      <c r="L205" s="26">
        <f t="shared" si="28"/>
        <v>-0.40500000000001535</v>
      </c>
      <c r="N205">
        <f t="shared" si="29"/>
        <v>14.975999999999999</v>
      </c>
      <c r="O205">
        <f t="shared" si="30"/>
        <v>-0.40500000000001535</v>
      </c>
    </row>
    <row r="206" spans="1:15">
      <c r="A206" s="25">
        <v>46299.118750000001</v>
      </c>
      <c r="B206">
        <v>18.797999999999998</v>
      </c>
      <c r="C206">
        <v>53.317999999999998</v>
      </c>
      <c r="D206">
        <v>943.72</v>
      </c>
      <c r="E206">
        <v>3.8149999999999999</v>
      </c>
      <c r="F206">
        <v>0</v>
      </c>
      <c r="G206" s="26">
        <f t="shared" si="24"/>
        <v>9.1050663734731874</v>
      </c>
      <c r="H206" s="26">
        <f t="shared" si="31"/>
        <v>-0.29999999999999361</v>
      </c>
      <c r="I206" s="26">
        <f t="shared" si="25"/>
        <v>14.982999999999999</v>
      </c>
      <c r="J206" t="str">
        <f t="shared" si="26"/>
        <v>Cooling</v>
      </c>
      <c r="K206" s="26">
        <f t="shared" si="27"/>
        <v>14.982999999999999</v>
      </c>
      <c r="L206" s="26">
        <f t="shared" si="28"/>
        <v>-0.29999999999999361</v>
      </c>
      <c r="N206">
        <f t="shared" si="29"/>
        <v>14.982999999999999</v>
      </c>
      <c r="O206">
        <f t="shared" si="30"/>
        <v>-0.29999999999999361</v>
      </c>
    </row>
    <row r="207" spans="1:15">
      <c r="A207" s="25">
        <v>46299.119444444441</v>
      </c>
      <c r="B207">
        <v>18.788</v>
      </c>
      <c r="C207">
        <v>53.593000000000004</v>
      </c>
      <c r="D207">
        <v>943.72500000000002</v>
      </c>
      <c r="E207">
        <v>3.8130000000000002</v>
      </c>
      <c r="F207">
        <v>0</v>
      </c>
      <c r="G207" s="26">
        <f t="shared" si="24"/>
        <v>9.1721651633257384</v>
      </c>
      <c r="H207" s="26">
        <f t="shared" si="31"/>
        <v>-0.14999999999997016</v>
      </c>
      <c r="I207" s="26">
        <f t="shared" si="25"/>
        <v>14.975</v>
      </c>
      <c r="J207" t="str">
        <f t="shared" si="26"/>
        <v>Steady</v>
      </c>
      <c r="K207" s="26" t="str">
        <f t="shared" si="27"/>
        <v/>
      </c>
      <c r="L207" s="26" t="str">
        <f t="shared" si="28"/>
        <v/>
      </c>
      <c r="N207" t="e">
        <f t="shared" si="29"/>
        <v>#N/A</v>
      </c>
      <c r="O207" t="e">
        <f t="shared" si="30"/>
        <v>#N/A</v>
      </c>
    </row>
    <row r="208" spans="1:15">
      <c r="A208" s="25">
        <v>46299.120138888888</v>
      </c>
      <c r="B208">
        <v>18.783000000000001</v>
      </c>
      <c r="C208">
        <v>53.241999999999997</v>
      </c>
      <c r="D208">
        <v>943.71699999999998</v>
      </c>
      <c r="E208">
        <v>3.8119999999999998</v>
      </c>
      <c r="F208">
        <v>0</v>
      </c>
      <c r="G208" s="26">
        <f t="shared" si="24"/>
        <v>9.0699893610685702</v>
      </c>
      <c r="H208" s="26">
        <f t="shared" si="31"/>
        <v>-0.44999999999996376</v>
      </c>
      <c r="I208" s="26">
        <f t="shared" si="25"/>
        <v>14.971000000000002</v>
      </c>
      <c r="J208" t="str">
        <f t="shared" si="26"/>
        <v>Cooling</v>
      </c>
      <c r="K208" s="26">
        <f t="shared" si="27"/>
        <v>14.971000000000002</v>
      </c>
      <c r="L208" s="26">
        <f t="shared" si="28"/>
        <v>-0.44999999999996376</v>
      </c>
      <c r="N208">
        <f t="shared" si="29"/>
        <v>14.971000000000002</v>
      </c>
      <c r="O208">
        <f t="shared" si="30"/>
        <v>-0.44999999999996376</v>
      </c>
    </row>
    <row r="209" spans="1:15">
      <c r="A209" s="25">
        <v>46299.120833333327</v>
      </c>
      <c r="B209">
        <v>18.783000000000001</v>
      </c>
      <c r="C209">
        <v>53.427</v>
      </c>
      <c r="D209">
        <v>943.702</v>
      </c>
      <c r="E209">
        <v>3.81</v>
      </c>
      <c r="F209">
        <v>0</v>
      </c>
      <c r="G209" s="26">
        <f t="shared" si="24"/>
        <v>9.1214678548838855</v>
      </c>
      <c r="H209" s="26">
        <f t="shared" si="31"/>
        <v>-0.29999999999999361</v>
      </c>
      <c r="I209" s="26">
        <f t="shared" si="25"/>
        <v>14.973000000000001</v>
      </c>
      <c r="J209" t="str">
        <f t="shared" si="26"/>
        <v>Cooling</v>
      </c>
      <c r="K209" s="26">
        <f t="shared" si="27"/>
        <v>14.973000000000001</v>
      </c>
      <c r="L209" s="26">
        <f t="shared" si="28"/>
        <v>-0.29999999999999361</v>
      </c>
      <c r="N209">
        <f t="shared" si="29"/>
        <v>14.973000000000001</v>
      </c>
      <c r="O209">
        <f t="shared" si="30"/>
        <v>-0.29999999999999361</v>
      </c>
    </row>
    <row r="210" spans="1:15">
      <c r="A210" s="25">
        <v>46299.121527777781</v>
      </c>
      <c r="B210">
        <v>18.768000000000001</v>
      </c>
      <c r="C210">
        <v>53.268000000000001</v>
      </c>
      <c r="D210">
        <v>943.71699999999998</v>
      </c>
      <c r="E210">
        <v>3.8079999999999998</v>
      </c>
      <c r="F210">
        <v>0</v>
      </c>
      <c r="G210" s="26">
        <f t="shared" si="24"/>
        <v>9.0633251548598981</v>
      </c>
      <c r="H210" s="26">
        <f t="shared" si="31"/>
        <v>-0.31500000000001194</v>
      </c>
      <c r="I210" s="26">
        <f t="shared" si="25"/>
        <v>14.96</v>
      </c>
      <c r="J210" t="str">
        <f t="shared" si="26"/>
        <v>Cooling</v>
      </c>
      <c r="K210" s="26">
        <f t="shared" si="27"/>
        <v>14.96</v>
      </c>
      <c r="L210" s="26">
        <f t="shared" si="28"/>
        <v>-0.31500000000001194</v>
      </c>
      <c r="N210">
        <f t="shared" si="29"/>
        <v>14.96</v>
      </c>
      <c r="O210">
        <f t="shared" si="30"/>
        <v>-0.31500000000001194</v>
      </c>
    </row>
    <row r="211" spans="1:15">
      <c r="A211" s="25">
        <v>46299.12222222222</v>
      </c>
      <c r="B211">
        <v>18.768000000000001</v>
      </c>
      <c r="C211">
        <v>53.463000000000001</v>
      </c>
      <c r="D211">
        <v>943.67700000000002</v>
      </c>
      <c r="E211">
        <v>3.8069999999999999</v>
      </c>
      <c r="F211">
        <v>0</v>
      </c>
      <c r="G211" s="26">
        <f t="shared" si="24"/>
        <v>9.1175524801620913</v>
      </c>
      <c r="H211" s="26">
        <f t="shared" si="31"/>
        <v>-0.45000000000001705</v>
      </c>
      <c r="I211" s="26">
        <f t="shared" si="25"/>
        <v>14.961</v>
      </c>
      <c r="J211" t="str">
        <f t="shared" si="26"/>
        <v>Cooling</v>
      </c>
      <c r="K211" s="26">
        <f t="shared" si="27"/>
        <v>14.961</v>
      </c>
      <c r="L211" s="26">
        <f t="shared" si="28"/>
        <v>-0.45000000000001705</v>
      </c>
      <c r="N211">
        <f t="shared" si="29"/>
        <v>14.961</v>
      </c>
      <c r="O211">
        <f t="shared" si="30"/>
        <v>-0.45000000000001705</v>
      </c>
    </row>
    <row r="212" spans="1:15">
      <c r="A212" s="25">
        <v>46299.122916666667</v>
      </c>
      <c r="B212">
        <v>18.762</v>
      </c>
      <c r="C212">
        <v>53.29</v>
      </c>
      <c r="D212">
        <v>943.68700000000001</v>
      </c>
      <c r="E212">
        <v>3.8050000000000002</v>
      </c>
      <c r="F212">
        <v>0</v>
      </c>
      <c r="G212" s="26">
        <f t="shared" si="24"/>
        <v>9.0638881621043161</v>
      </c>
      <c r="H212" s="26">
        <f t="shared" si="31"/>
        <v>-0.37500000000003197</v>
      </c>
      <c r="I212" s="26">
        <f t="shared" si="25"/>
        <v>14.957000000000001</v>
      </c>
      <c r="J212" t="str">
        <f t="shared" si="26"/>
        <v>Cooling</v>
      </c>
      <c r="K212" s="26">
        <f t="shared" si="27"/>
        <v>14.957000000000001</v>
      </c>
      <c r="L212" s="26">
        <f t="shared" si="28"/>
        <v>-0.37500000000003197</v>
      </c>
      <c r="N212">
        <f t="shared" si="29"/>
        <v>14.957000000000001</v>
      </c>
      <c r="O212">
        <f t="shared" si="30"/>
        <v>-0.37500000000003197</v>
      </c>
    </row>
    <row r="213" spans="1:15">
      <c r="A213" s="25">
        <v>46299.123611111107</v>
      </c>
      <c r="B213">
        <v>18.753</v>
      </c>
      <c r="C213">
        <v>53.247999999999998</v>
      </c>
      <c r="D213">
        <v>943.69299999999998</v>
      </c>
      <c r="E213">
        <v>3.8029999999999999</v>
      </c>
      <c r="F213">
        <v>0</v>
      </c>
      <c r="G213" s="26">
        <f t="shared" si="24"/>
        <v>9.0438454913707229</v>
      </c>
      <c r="H213" s="26">
        <f t="shared" si="31"/>
        <v>-0.49500000000001876</v>
      </c>
      <c r="I213" s="26">
        <f t="shared" si="25"/>
        <v>14.95</v>
      </c>
      <c r="J213" t="str">
        <f t="shared" si="26"/>
        <v>Cooling</v>
      </c>
      <c r="K213" s="26">
        <f t="shared" si="27"/>
        <v>14.95</v>
      </c>
      <c r="L213" s="26">
        <f t="shared" si="28"/>
        <v>-0.49500000000001876</v>
      </c>
      <c r="N213">
        <f t="shared" si="29"/>
        <v>14.95</v>
      </c>
      <c r="O213">
        <f t="shared" si="30"/>
        <v>-0.49500000000001876</v>
      </c>
    </row>
    <row r="214" spans="1:15">
      <c r="A214" s="25">
        <v>46299.124305555553</v>
      </c>
      <c r="B214">
        <v>18.742999999999999</v>
      </c>
      <c r="C214">
        <v>53.427</v>
      </c>
      <c r="D214">
        <v>943.673</v>
      </c>
      <c r="E214">
        <v>3.802</v>
      </c>
      <c r="F214">
        <v>0</v>
      </c>
      <c r="G214" s="26">
        <f t="shared" si="24"/>
        <v>9.0843652588414532</v>
      </c>
      <c r="H214" s="26">
        <f t="shared" si="31"/>
        <v>-0.43499999999999872</v>
      </c>
      <c r="I214" s="26">
        <f t="shared" si="25"/>
        <v>14.940999999999999</v>
      </c>
      <c r="J214" t="str">
        <f t="shared" si="26"/>
        <v>Cooling</v>
      </c>
      <c r="K214" s="26">
        <f t="shared" si="27"/>
        <v>14.940999999999999</v>
      </c>
      <c r="L214" s="26">
        <f t="shared" si="28"/>
        <v>-0.43499999999999872</v>
      </c>
      <c r="N214">
        <f t="shared" si="29"/>
        <v>14.940999999999999</v>
      </c>
      <c r="O214">
        <f t="shared" si="30"/>
        <v>-0.43499999999999872</v>
      </c>
    </row>
    <row r="215" spans="1:15">
      <c r="A215" s="25">
        <v>46299.125</v>
      </c>
      <c r="B215">
        <v>18.734999999999999</v>
      </c>
      <c r="C215">
        <v>53.451999999999998</v>
      </c>
      <c r="D215">
        <v>943.69299999999998</v>
      </c>
      <c r="E215">
        <v>3.8</v>
      </c>
      <c r="F215">
        <v>0</v>
      </c>
      <c r="G215" s="26">
        <f t="shared" si="24"/>
        <v>9.0838867240869945</v>
      </c>
      <c r="H215" s="26">
        <f t="shared" si="31"/>
        <v>-0.27000000000001023</v>
      </c>
      <c r="I215" s="26">
        <f t="shared" si="25"/>
        <v>14.934999999999999</v>
      </c>
      <c r="J215" t="str">
        <f t="shared" si="26"/>
        <v>Cooling</v>
      </c>
      <c r="K215" s="26">
        <f t="shared" si="27"/>
        <v>14.934999999999999</v>
      </c>
      <c r="L215" s="26">
        <f t="shared" si="28"/>
        <v>-0.27000000000001023</v>
      </c>
      <c r="N215">
        <f t="shared" si="29"/>
        <v>14.934999999999999</v>
      </c>
      <c r="O215">
        <f t="shared" si="30"/>
        <v>-0.27000000000001023</v>
      </c>
    </row>
    <row r="216" spans="1:15">
      <c r="A216" s="25">
        <v>46299.125694444447</v>
      </c>
      <c r="B216">
        <v>18.733000000000001</v>
      </c>
      <c r="C216">
        <v>53.366999999999997</v>
      </c>
      <c r="D216">
        <v>943.678</v>
      </c>
      <c r="E216">
        <v>3.7919999999999998</v>
      </c>
      <c r="F216">
        <v>0</v>
      </c>
      <c r="G216" s="26">
        <f t="shared" si="24"/>
        <v>9.0584172061330896</v>
      </c>
      <c r="H216" s="26">
        <f t="shared" si="31"/>
        <v>-0.26999999999995694</v>
      </c>
      <c r="I216" s="26">
        <f t="shared" si="25"/>
        <v>14.941000000000001</v>
      </c>
      <c r="J216" t="str">
        <f t="shared" si="26"/>
        <v>Cooling</v>
      </c>
      <c r="K216" s="26">
        <f t="shared" si="27"/>
        <v>14.941000000000001</v>
      </c>
      <c r="L216" s="26">
        <f t="shared" si="28"/>
        <v>-0.26999999999995694</v>
      </c>
      <c r="N216">
        <f t="shared" si="29"/>
        <v>14.941000000000001</v>
      </c>
      <c r="O216">
        <f t="shared" si="30"/>
        <v>-0.26999999999995694</v>
      </c>
    </row>
    <row r="217" spans="1:15">
      <c r="A217" s="25">
        <v>46299.126388888893</v>
      </c>
      <c r="B217">
        <v>18.734999999999999</v>
      </c>
      <c r="C217">
        <v>53.414999999999999</v>
      </c>
      <c r="D217">
        <v>943.72500000000002</v>
      </c>
      <c r="E217">
        <v>3.7829999999999999</v>
      </c>
      <c r="F217">
        <v>0</v>
      </c>
      <c r="G217" s="26">
        <f t="shared" si="24"/>
        <v>9.0736114947417992</v>
      </c>
      <c r="H217" s="26">
        <f t="shared" si="31"/>
        <v>-0.22500000000000853</v>
      </c>
      <c r="I217" s="26">
        <f t="shared" si="25"/>
        <v>14.952</v>
      </c>
      <c r="J217" t="str">
        <f t="shared" si="26"/>
        <v>Cooling</v>
      </c>
      <c r="K217" s="26">
        <f t="shared" si="27"/>
        <v>14.952</v>
      </c>
      <c r="L217" s="26">
        <f t="shared" si="28"/>
        <v>-0.22500000000000853</v>
      </c>
      <c r="N217">
        <f t="shared" si="29"/>
        <v>14.952</v>
      </c>
      <c r="O217">
        <f t="shared" si="30"/>
        <v>-0.22500000000000853</v>
      </c>
    </row>
    <row r="218" spans="1:15">
      <c r="A218" s="25">
        <v>46299.127083333333</v>
      </c>
      <c r="B218">
        <v>18.725000000000001</v>
      </c>
      <c r="C218">
        <v>53.503</v>
      </c>
      <c r="D218">
        <v>943.71199999999999</v>
      </c>
      <c r="E218">
        <v>3.7749999999999999</v>
      </c>
      <c r="F218">
        <v>0</v>
      </c>
      <c r="G218" s="26">
        <f t="shared" si="24"/>
        <v>9.088762309087052</v>
      </c>
      <c r="H218" s="26">
        <f t="shared" si="31"/>
        <v>-0.19500000000002515</v>
      </c>
      <c r="I218" s="26">
        <f t="shared" si="25"/>
        <v>14.950000000000001</v>
      </c>
      <c r="J218" t="str">
        <f t="shared" si="26"/>
        <v>Steady</v>
      </c>
      <c r="K218" s="26" t="str">
        <f t="shared" si="27"/>
        <v/>
      </c>
      <c r="L218" s="26" t="str">
        <f t="shared" si="28"/>
        <v/>
      </c>
      <c r="N218" t="e">
        <f t="shared" si="29"/>
        <v>#N/A</v>
      </c>
      <c r="O218" t="e">
        <f t="shared" si="30"/>
        <v>#N/A</v>
      </c>
    </row>
    <row r="219" spans="1:15">
      <c r="A219" s="25">
        <v>46299.12777777778</v>
      </c>
      <c r="B219">
        <v>18.72</v>
      </c>
      <c r="C219">
        <v>53.447000000000003</v>
      </c>
      <c r="D219">
        <v>943.75300000000004</v>
      </c>
      <c r="E219">
        <v>3.7669999999999999</v>
      </c>
      <c r="F219">
        <v>0</v>
      </c>
      <c r="G219" s="26">
        <f t="shared" si="24"/>
        <v>9.0685843206242307</v>
      </c>
      <c r="H219" s="26">
        <f t="shared" si="31"/>
        <v>-0.32999999999997698</v>
      </c>
      <c r="I219" s="26">
        <f t="shared" si="25"/>
        <v>14.952999999999999</v>
      </c>
      <c r="J219" t="str">
        <f t="shared" si="26"/>
        <v>Cooling</v>
      </c>
      <c r="K219" s="26">
        <f t="shared" si="27"/>
        <v>14.952999999999999</v>
      </c>
      <c r="L219" s="26">
        <f t="shared" si="28"/>
        <v>-0.32999999999997698</v>
      </c>
      <c r="N219">
        <f t="shared" si="29"/>
        <v>14.952999999999999</v>
      </c>
      <c r="O219">
        <f t="shared" si="30"/>
        <v>-0.32999999999997698</v>
      </c>
    </row>
    <row r="220" spans="1:15">
      <c r="A220" s="25">
        <v>46299.128472222219</v>
      </c>
      <c r="B220">
        <v>18.72</v>
      </c>
      <c r="C220">
        <v>53.465000000000003</v>
      </c>
      <c r="D220">
        <v>943.73500000000001</v>
      </c>
      <c r="E220">
        <v>3.758</v>
      </c>
      <c r="F220">
        <v>0</v>
      </c>
      <c r="G220" s="26">
        <f t="shared" si="24"/>
        <v>9.073580672803244</v>
      </c>
      <c r="H220" s="26">
        <f t="shared" si="31"/>
        <v>-0.34499999999999531</v>
      </c>
      <c r="I220" s="26">
        <f t="shared" si="25"/>
        <v>14.962</v>
      </c>
      <c r="J220" t="str">
        <f t="shared" si="26"/>
        <v>Cooling</v>
      </c>
      <c r="K220" s="26">
        <f t="shared" si="27"/>
        <v>14.962</v>
      </c>
      <c r="L220" s="26">
        <f t="shared" si="28"/>
        <v>-0.34499999999999531</v>
      </c>
      <c r="N220">
        <f t="shared" si="29"/>
        <v>14.962</v>
      </c>
      <c r="O220">
        <f t="shared" si="30"/>
        <v>-0.34499999999999531</v>
      </c>
    </row>
    <row r="221" spans="1:15">
      <c r="A221" s="25">
        <v>46299.129166666673</v>
      </c>
      <c r="B221">
        <v>18.713000000000001</v>
      </c>
      <c r="C221">
        <v>53.655000000000001</v>
      </c>
      <c r="D221">
        <v>943.74199999999996</v>
      </c>
      <c r="E221">
        <v>3.75</v>
      </c>
      <c r="F221">
        <v>0</v>
      </c>
      <c r="G221" s="26">
        <f t="shared" si="24"/>
        <v>9.1197333345248968</v>
      </c>
      <c r="H221" s="26">
        <f t="shared" si="31"/>
        <v>-0.32999999999997698</v>
      </c>
      <c r="I221" s="26">
        <f t="shared" si="25"/>
        <v>14.963000000000001</v>
      </c>
      <c r="J221" t="str">
        <f t="shared" si="26"/>
        <v>Cooling</v>
      </c>
      <c r="K221" s="26">
        <f t="shared" si="27"/>
        <v>14.963000000000001</v>
      </c>
      <c r="L221" s="26">
        <f t="shared" si="28"/>
        <v>-0.32999999999997698</v>
      </c>
      <c r="N221">
        <f t="shared" si="29"/>
        <v>14.963000000000001</v>
      </c>
      <c r="O221">
        <f t="shared" si="30"/>
        <v>-0.32999999999997698</v>
      </c>
    </row>
    <row r="222" spans="1:15">
      <c r="A222" s="25">
        <v>46299.129861111112</v>
      </c>
      <c r="B222">
        <v>18.702000000000002</v>
      </c>
      <c r="C222">
        <v>53.493000000000002</v>
      </c>
      <c r="D222">
        <v>943.72</v>
      </c>
      <c r="E222">
        <v>3.742</v>
      </c>
      <c r="F222">
        <v>0</v>
      </c>
      <c r="G222" s="26">
        <f t="shared" si="24"/>
        <v>9.064650987673387</v>
      </c>
      <c r="H222" s="26">
        <f t="shared" si="31"/>
        <v>-0.40499999999996206</v>
      </c>
      <c r="I222" s="26">
        <f t="shared" si="25"/>
        <v>14.96</v>
      </c>
      <c r="J222" t="str">
        <f t="shared" si="26"/>
        <v>Cooling</v>
      </c>
      <c r="K222" s="26">
        <f t="shared" si="27"/>
        <v>14.96</v>
      </c>
      <c r="L222" s="26">
        <f t="shared" si="28"/>
        <v>-0.40499999999996206</v>
      </c>
      <c r="N222">
        <f t="shared" si="29"/>
        <v>14.96</v>
      </c>
      <c r="O222">
        <f t="shared" si="30"/>
        <v>-0.40499999999996206</v>
      </c>
    </row>
    <row r="223" spans="1:15">
      <c r="A223" s="25">
        <v>46299.130555555559</v>
      </c>
      <c r="B223">
        <v>18.698</v>
      </c>
      <c r="C223">
        <v>53.56</v>
      </c>
      <c r="D223">
        <v>943.71799999999996</v>
      </c>
      <c r="E223">
        <v>3.7330000000000001</v>
      </c>
      <c r="F223">
        <v>0</v>
      </c>
      <c r="G223" s="26">
        <f t="shared" si="24"/>
        <v>9.0795130373177173</v>
      </c>
      <c r="H223" s="26">
        <f t="shared" si="31"/>
        <v>-0.16499999999998849</v>
      </c>
      <c r="I223" s="26">
        <f t="shared" si="25"/>
        <v>14.965</v>
      </c>
      <c r="J223" t="str">
        <f t="shared" si="26"/>
        <v>Steady</v>
      </c>
      <c r="K223" s="26" t="str">
        <f t="shared" si="27"/>
        <v/>
      </c>
      <c r="L223" s="26" t="str">
        <f t="shared" si="28"/>
        <v/>
      </c>
      <c r="N223" t="e">
        <f t="shared" si="29"/>
        <v>#N/A</v>
      </c>
      <c r="O223" t="e">
        <f t="shared" si="30"/>
        <v>#N/A</v>
      </c>
    </row>
    <row r="224" spans="1:15">
      <c r="A224" s="25">
        <v>46299.131249999999</v>
      </c>
      <c r="B224">
        <v>18.693000000000001</v>
      </c>
      <c r="C224">
        <v>53.662999999999997</v>
      </c>
      <c r="D224">
        <v>943.73299999999995</v>
      </c>
      <c r="E224">
        <v>3.7250000000000001</v>
      </c>
      <c r="F224">
        <v>0</v>
      </c>
      <c r="G224" s="26">
        <f t="shared" si="24"/>
        <v>9.1033851685241327</v>
      </c>
      <c r="H224" s="26">
        <f t="shared" si="31"/>
        <v>-0.13500000000000512</v>
      </c>
      <c r="I224" s="26">
        <f t="shared" si="25"/>
        <v>14.968000000000002</v>
      </c>
      <c r="J224" t="str">
        <f t="shared" si="26"/>
        <v>Steady</v>
      </c>
      <c r="K224" s="26" t="str">
        <f t="shared" si="27"/>
        <v/>
      </c>
      <c r="L224" s="26" t="str">
        <f t="shared" si="28"/>
        <v/>
      </c>
      <c r="N224" t="e">
        <f t="shared" si="29"/>
        <v>#N/A</v>
      </c>
      <c r="O224" t="e">
        <f t="shared" si="30"/>
        <v>#N/A</v>
      </c>
    </row>
    <row r="225" spans="1:15">
      <c r="A225" s="25">
        <v>46299.131944444453</v>
      </c>
      <c r="B225">
        <v>18.702000000000002</v>
      </c>
      <c r="C225">
        <v>53.481999999999999</v>
      </c>
      <c r="D225">
        <v>943.702</v>
      </c>
      <c r="E225">
        <v>3.7170000000000001</v>
      </c>
      <c r="F225">
        <v>0</v>
      </c>
      <c r="G225" s="26">
        <f t="shared" si="24"/>
        <v>9.0615996521554312</v>
      </c>
      <c r="H225" s="26">
        <f t="shared" si="31"/>
        <v>-0.16499999999998849</v>
      </c>
      <c r="I225" s="26">
        <f t="shared" si="25"/>
        <v>14.985000000000001</v>
      </c>
      <c r="J225" t="str">
        <f t="shared" si="26"/>
        <v>Steady</v>
      </c>
      <c r="K225" s="26" t="str">
        <f t="shared" si="27"/>
        <v/>
      </c>
      <c r="L225" s="26" t="str">
        <f t="shared" si="28"/>
        <v/>
      </c>
      <c r="N225" t="e">
        <f t="shared" si="29"/>
        <v>#N/A</v>
      </c>
      <c r="O225" t="e">
        <f t="shared" si="30"/>
        <v>#N/A</v>
      </c>
    </row>
    <row r="226" spans="1:15">
      <c r="A226" s="25">
        <v>46299.132638888892</v>
      </c>
      <c r="B226">
        <v>18.693000000000001</v>
      </c>
      <c r="C226">
        <v>53.607999999999997</v>
      </c>
      <c r="D226">
        <v>943.72</v>
      </c>
      <c r="E226">
        <v>3.7080000000000002</v>
      </c>
      <c r="F226">
        <v>0</v>
      </c>
      <c r="G226" s="26">
        <f t="shared" si="24"/>
        <v>9.0881666472108762</v>
      </c>
      <c r="H226" s="26">
        <f t="shared" si="31"/>
        <v>-0.15000000000002345</v>
      </c>
      <c r="I226" s="26">
        <f t="shared" si="25"/>
        <v>14.985000000000001</v>
      </c>
      <c r="J226" t="str">
        <f t="shared" si="26"/>
        <v>Steady</v>
      </c>
      <c r="K226" s="26" t="str">
        <f t="shared" si="27"/>
        <v/>
      </c>
      <c r="L226" s="26" t="str">
        <f t="shared" si="28"/>
        <v/>
      </c>
      <c r="N226" t="e">
        <f t="shared" si="29"/>
        <v>#N/A</v>
      </c>
      <c r="O226" t="e">
        <f t="shared" si="30"/>
        <v>#N/A</v>
      </c>
    </row>
    <row r="227" spans="1:15">
      <c r="A227" s="25">
        <v>46299.133333333331</v>
      </c>
      <c r="B227">
        <v>18.687000000000001</v>
      </c>
      <c r="C227">
        <v>53.634999999999998</v>
      </c>
      <c r="D227">
        <v>943.70500000000004</v>
      </c>
      <c r="E227">
        <v>3.7</v>
      </c>
      <c r="F227">
        <v>0</v>
      </c>
      <c r="G227" s="26">
        <f t="shared" si="24"/>
        <v>9.090071228216166</v>
      </c>
      <c r="H227" s="26">
        <f t="shared" si="31"/>
        <v>-0.36000000000001364</v>
      </c>
      <c r="I227" s="26">
        <f t="shared" si="25"/>
        <v>14.987000000000002</v>
      </c>
      <c r="J227" t="str">
        <f t="shared" si="26"/>
        <v>Cooling</v>
      </c>
      <c r="K227" s="26">
        <f t="shared" si="27"/>
        <v>14.987000000000002</v>
      </c>
      <c r="L227" s="26">
        <f t="shared" si="28"/>
        <v>-0.36000000000001364</v>
      </c>
      <c r="N227">
        <f t="shared" si="29"/>
        <v>14.987000000000002</v>
      </c>
      <c r="O227">
        <f t="shared" si="30"/>
        <v>-0.36000000000001364</v>
      </c>
    </row>
    <row r="228" spans="1:15">
      <c r="A228" s="25">
        <v>46299.134027777778</v>
      </c>
      <c r="B228">
        <v>18.683</v>
      </c>
      <c r="C228">
        <v>53.652999999999999</v>
      </c>
      <c r="D228">
        <v>943.69500000000005</v>
      </c>
      <c r="E228">
        <v>3.6920000000000002</v>
      </c>
      <c r="F228">
        <v>0</v>
      </c>
      <c r="G228" s="26">
        <f t="shared" si="24"/>
        <v>9.0913387334881026</v>
      </c>
      <c r="H228" s="26">
        <f t="shared" si="31"/>
        <v>-0.24000000000002686</v>
      </c>
      <c r="I228" s="26">
        <f t="shared" si="25"/>
        <v>14.991</v>
      </c>
      <c r="J228" t="str">
        <f t="shared" si="26"/>
        <v>Cooling</v>
      </c>
      <c r="K228" s="26">
        <f t="shared" si="27"/>
        <v>14.991</v>
      </c>
      <c r="L228" s="26">
        <f t="shared" si="28"/>
        <v>-0.24000000000002686</v>
      </c>
      <c r="N228">
        <f t="shared" si="29"/>
        <v>14.991</v>
      </c>
      <c r="O228">
        <f t="shared" si="30"/>
        <v>-0.24000000000002686</v>
      </c>
    </row>
    <row r="229" spans="1:15">
      <c r="A229" s="25">
        <v>46299.134722222218</v>
      </c>
      <c r="B229">
        <v>18.678000000000001</v>
      </c>
      <c r="C229">
        <v>53.76</v>
      </c>
      <c r="D229">
        <v>943.73699999999997</v>
      </c>
      <c r="E229">
        <v>3.6829999999999998</v>
      </c>
      <c r="F229">
        <v>0</v>
      </c>
      <c r="G229" s="26">
        <f t="shared" si="24"/>
        <v>9.1162676429769522</v>
      </c>
      <c r="H229" s="26">
        <f t="shared" si="31"/>
        <v>-0.21000000000004349</v>
      </c>
      <c r="I229" s="26">
        <f t="shared" si="25"/>
        <v>14.995000000000001</v>
      </c>
      <c r="J229" t="str">
        <f t="shared" si="26"/>
        <v>Cooling</v>
      </c>
      <c r="K229" s="26">
        <f t="shared" si="27"/>
        <v>14.995000000000001</v>
      </c>
      <c r="L229" s="26">
        <f t="shared" si="28"/>
        <v>-0.21000000000004349</v>
      </c>
      <c r="N229">
        <f t="shared" si="29"/>
        <v>14.995000000000001</v>
      </c>
      <c r="O229">
        <f t="shared" si="30"/>
        <v>-0.21000000000004349</v>
      </c>
    </row>
    <row r="230" spans="1:15">
      <c r="A230" s="25">
        <v>46299.135416666657</v>
      </c>
      <c r="B230">
        <v>18.677</v>
      </c>
      <c r="C230">
        <v>53.731999999999999</v>
      </c>
      <c r="D230">
        <v>943.697</v>
      </c>
      <c r="E230">
        <v>3.6749999999999998</v>
      </c>
      <c r="F230">
        <v>0</v>
      </c>
      <c r="G230" s="26">
        <f t="shared" si="24"/>
        <v>9.1076067327995176</v>
      </c>
      <c r="H230" s="26">
        <f t="shared" si="31"/>
        <v>-0.27000000000001023</v>
      </c>
      <c r="I230" s="26">
        <f t="shared" si="25"/>
        <v>15.001999999999999</v>
      </c>
      <c r="J230" t="str">
        <f t="shared" si="26"/>
        <v>Cooling</v>
      </c>
      <c r="K230" s="26">
        <f t="shared" si="27"/>
        <v>15.001999999999999</v>
      </c>
      <c r="L230" s="26">
        <f t="shared" si="28"/>
        <v>-0.27000000000001023</v>
      </c>
      <c r="N230">
        <f t="shared" si="29"/>
        <v>15.001999999999999</v>
      </c>
      <c r="O230">
        <f t="shared" si="30"/>
        <v>-0.27000000000001023</v>
      </c>
    </row>
    <row r="231" spans="1:15">
      <c r="A231" s="25">
        <v>46299.136111111111</v>
      </c>
      <c r="B231">
        <v>18.672999999999998</v>
      </c>
      <c r="C231">
        <v>53.692999999999998</v>
      </c>
      <c r="D231">
        <v>943.72500000000002</v>
      </c>
      <c r="E231">
        <v>3.6669999999999998</v>
      </c>
      <c r="F231">
        <v>0</v>
      </c>
      <c r="G231" s="26">
        <f t="shared" si="24"/>
        <v>9.0931178162061315</v>
      </c>
      <c r="H231" s="26">
        <f t="shared" si="31"/>
        <v>-0.34499999999999531</v>
      </c>
      <c r="I231" s="26">
        <f t="shared" si="25"/>
        <v>15.005999999999998</v>
      </c>
      <c r="J231" t="str">
        <f t="shared" si="26"/>
        <v>Cooling</v>
      </c>
      <c r="K231" s="26">
        <f t="shared" si="27"/>
        <v>15.005999999999998</v>
      </c>
      <c r="L231" s="26">
        <f t="shared" si="28"/>
        <v>-0.34499999999999531</v>
      </c>
      <c r="N231">
        <f t="shared" si="29"/>
        <v>15.005999999999998</v>
      </c>
      <c r="O231">
        <f t="shared" si="30"/>
        <v>-0.34499999999999531</v>
      </c>
    </row>
    <row r="232" spans="1:15">
      <c r="A232" s="25">
        <v>46299.136805555558</v>
      </c>
      <c r="B232">
        <v>18.664999999999999</v>
      </c>
      <c r="C232">
        <v>53.73</v>
      </c>
      <c r="D232">
        <v>943.66300000000001</v>
      </c>
      <c r="E232">
        <v>3.6579999999999999</v>
      </c>
      <c r="F232">
        <v>0</v>
      </c>
      <c r="G232" s="26">
        <f t="shared" si="24"/>
        <v>9.0959157856654613</v>
      </c>
      <c r="H232" s="26">
        <f t="shared" si="31"/>
        <v>-0.36000000000001364</v>
      </c>
      <c r="I232" s="26">
        <f t="shared" si="25"/>
        <v>15.007</v>
      </c>
      <c r="J232" t="str">
        <f t="shared" si="26"/>
        <v>Cooling</v>
      </c>
      <c r="K232" s="26">
        <f t="shared" si="27"/>
        <v>15.007</v>
      </c>
      <c r="L232" s="26">
        <f t="shared" si="28"/>
        <v>-0.36000000000001364</v>
      </c>
      <c r="N232">
        <f t="shared" si="29"/>
        <v>15.007</v>
      </c>
      <c r="O232">
        <f t="shared" si="30"/>
        <v>-0.36000000000001364</v>
      </c>
    </row>
    <row r="233" spans="1:15">
      <c r="A233" s="25">
        <v>46299.137499999997</v>
      </c>
      <c r="B233">
        <v>18.655000000000001</v>
      </c>
      <c r="C233">
        <v>53.807000000000002</v>
      </c>
      <c r="D233">
        <v>943.68200000000002</v>
      </c>
      <c r="E233">
        <v>3.65</v>
      </c>
      <c r="F233">
        <v>0</v>
      </c>
      <c r="G233" s="26">
        <f t="shared" si="24"/>
        <v>9.1078871711996534</v>
      </c>
      <c r="H233" s="26">
        <f t="shared" si="31"/>
        <v>3.0000000000036664E-2</v>
      </c>
      <c r="I233" s="26">
        <f t="shared" si="25"/>
        <v>15.005000000000001</v>
      </c>
      <c r="J233" t="str">
        <f t="shared" si="26"/>
        <v>Steady</v>
      </c>
      <c r="K233" s="26" t="str">
        <f t="shared" si="27"/>
        <v/>
      </c>
      <c r="L233" s="26" t="str">
        <f t="shared" si="28"/>
        <v/>
      </c>
      <c r="N233" t="e">
        <f t="shared" si="29"/>
        <v>#N/A</v>
      </c>
      <c r="O233" t="e">
        <f t="shared" si="30"/>
        <v>#N/A</v>
      </c>
    </row>
    <row r="234" spans="1:15">
      <c r="A234" s="25">
        <v>46299.138194444437</v>
      </c>
      <c r="B234">
        <v>18.652999999999999</v>
      </c>
      <c r="C234">
        <v>53.767000000000003</v>
      </c>
      <c r="D234">
        <v>943.673</v>
      </c>
      <c r="E234">
        <v>3.6419999999999999</v>
      </c>
      <c r="F234">
        <v>0</v>
      </c>
      <c r="G234" s="26">
        <f t="shared" si="24"/>
        <v>9.0949931813952762</v>
      </c>
      <c r="H234" s="26">
        <f t="shared" si="31"/>
        <v>1.3499999999999979</v>
      </c>
      <c r="I234" s="26">
        <f t="shared" si="25"/>
        <v>15.010999999999999</v>
      </c>
      <c r="J234" t="str">
        <f t="shared" si="26"/>
        <v>Heating</v>
      </c>
      <c r="K234" s="26" t="str">
        <f t="shared" si="27"/>
        <v/>
      </c>
      <c r="L234" s="26" t="str">
        <f t="shared" si="28"/>
        <v/>
      </c>
      <c r="N234" t="e">
        <f t="shared" si="29"/>
        <v>#N/A</v>
      </c>
      <c r="O234" t="e">
        <f t="shared" si="30"/>
        <v>#N/A</v>
      </c>
    </row>
    <row r="235" spans="1:15">
      <c r="A235" s="25">
        <v>46299.138888888891</v>
      </c>
      <c r="B235">
        <v>18.675000000000001</v>
      </c>
      <c r="C235">
        <v>53.128</v>
      </c>
      <c r="D235">
        <v>943.68700000000001</v>
      </c>
      <c r="E235">
        <v>3.633</v>
      </c>
      <c r="F235">
        <v>0</v>
      </c>
      <c r="G235" s="26">
        <f t="shared" si="24"/>
        <v>8.9380770118586863</v>
      </c>
      <c r="H235" s="26">
        <f t="shared" si="31"/>
        <v>3.0299999999999727</v>
      </c>
      <c r="I235" s="26">
        <f t="shared" si="25"/>
        <v>15.042000000000002</v>
      </c>
      <c r="J235" t="str">
        <f t="shared" si="26"/>
        <v>Heating</v>
      </c>
      <c r="K235" s="26" t="str">
        <f t="shared" si="27"/>
        <v/>
      </c>
      <c r="L235" s="26" t="str">
        <f t="shared" si="28"/>
        <v/>
      </c>
      <c r="N235" t="e">
        <f t="shared" si="29"/>
        <v>#N/A</v>
      </c>
      <c r="O235" t="e">
        <f t="shared" si="30"/>
        <v>#N/A</v>
      </c>
    </row>
    <row r="236" spans="1:15">
      <c r="A236" s="25">
        <v>46299.13958333333</v>
      </c>
      <c r="B236">
        <v>18.754999999999999</v>
      </c>
      <c r="C236">
        <v>52.311999999999998</v>
      </c>
      <c r="D236">
        <v>943.73800000000006</v>
      </c>
      <c r="E236">
        <v>3.625</v>
      </c>
      <c r="F236">
        <v>0</v>
      </c>
      <c r="G236" s="26">
        <f t="shared" si="24"/>
        <v>8.7828823425001197</v>
      </c>
      <c r="H236" s="26">
        <f t="shared" si="31"/>
        <v>4.905000000000026</v>
      </c>
      <c r="I236" s="26">
        <f t="shared" si="25"/>
        <v>15.129999999999999</v>
      </c>
      <c r="J236" t="str">
        <f t="shared" si="26"/>
        <v>Heating</v>
      </c>
      <c r="K236" s="26" t="str">
        <f t="shared" si="27"/>
        <v/>
      </c>
      <c r="L236" s="26" t="str">
        <f t="shared" si="28"/>
        <v/>
      </c>
      <c r="N236" t="e">
        <f t="shared" si="29"/>
        <v>#N/A</v>
      </c>
      <c r="O236" t="e">
        <f t="shared" si="30"/>
        <v>#N/A</v>
      </c>
    </row>
    <row r="237" spans="1:15">
      <c r="A237" s="25">
        <v>46299.140277777777</v>
      </c>
      <c r="B237">
        <v>18.856999999999999</v>
      </c>
      <c r="C237">
        <v>52.137999999999998</v>
      </c>
      <c r="D237">
        <v>943.74699999999996</v>
      </c>
      <c r="E237">
        <v>3.617</v>
      </c>
      <c r="F237">
        <v>0</v>
      </c>
      <c r="G237" s="26">
        <f t="shared" si="24"/>
        <v>8.8279074092784242</v>
      </c>
      <c r="H237" s="26">
        <f t="shared" si="31"/>
        <v>6.5549999999999642</v>
      </c>
      <c r="I237" s="26">
        <f t="shared" si="25"/>
        <v>15.239999999999998</v>
      </c>
      <c r="J237" t="str">
        <f t="shared" si="26"/>
        <v>Heating</v>
      </c>
      <c r="K237" s="26" t="str">
        <f t="shared" si="27"/>
        <v/>
      </c>
      <c r="L237" s="26" t="str">
        <f t="shared" si="28"/>
        <v/>
      </c>
      <c r="N237" t="e">
        <f t="shared" si="29"/>
        <v>#N/A</v>
      </c>
      <c r="O237" t="e">
        <f t="shared" si="30"/>
        <v>#N/A</v>
      </c>
    </row>
    <row r="238" spans="1:15">
      <c r="A238" s="25">
        <v>46299.140972222223</v>
      </c>
      <c r="B238">
        <v>18.98</v>
      </c>
      <c r="C238">
        <v>51.622</v>
      </c>
      <c r="D238">
        <v>943.74800000000005</v>
      </c>
      <c r="E238">
        <v>3.6080000000000001</v>
      </c>
      <c r="F238">
        <v>0</v>
      </c>
      <c r="G238" s="26">
        <f t="shared" si="24"/>
        <v>8.7943221358863912</v>
      </c>
      <c r="H238" s="26">
        <f t="shared" si="31"/>
        <v>5.7750000000000234</v>
      </c>
      <c r="I238" s="26">
        <f t="shared" si="25"/>
        <v>15.372</v>
      </c>
      <c r="J238" t="str">
        <f t="shared" si="26"/>
        <v>Heating</v>
      </c>
      <c r="K238" s="26" t="str">
        <f t="shared" si="27"/>
        <v/>
      </c>
      <c r="L238" s="26" t="str">
        <f t="shared" si="28"/>
        <v/>
      </c>
      <c r="N238" t="e">
        <f t="shared" si="29"/>
        <v>#N/A</v>
      </c>
      <c r="O238" t="e">
        <f t="shared" si="30"/>
        <v>#N/A</v>
      </c>
    </row>
    <row r="239" spans="1:15">
      <c r="A239" s="25">
        <v>46299.14166666667</v>
      </c>
      <c r="B239">
        <v>19.111999999999998</v>
      </c>
      <c r="C239">
        <v>51.442999999999998</v>
      </c>
      <c r="D239">
        <v>943.697</v>
      </c>
      <c r="E239">
        <v>3.6</v>
      </c>
      <c r="F239">
        <v>0</v>
      </c>
      <c r="G239" s="26">
        <f t="shared" si="24"/>
        <v>8.8647897997049228</v>
      </c>
      <c r="H239" s="26">
        <f t="shared" si="31"/>
        <v>4.2750000000000021</v>
      </c>
      <c r="I239" s="26">
        <f t="shared" si="25"/>
        <v>15.511999999999999</v>
      </c>
      <c r="J239" t="str">
        <f t="shared" si="26"/>
        <v>Heating</v>
      </c>
      <c r="K239" s="26" t="str">
        <f t="shared" si="27"/>
        <v/>
      </c>
      <c r="L239" s="26" t="str">
        <f t="shared" si="28"/>
        <v/>
      </c>
      <c r="N239" t="e">
        <f t="shared" si="29"/>
        <v>#N/A</v>
      </c>
      <c r="O239" t="e">
        <f t="shared" si="30"/>
        <v>#N/A</v>
      </c>
    </row>
    <row r="240" spans="1:15">
      <c r="A240" s="25">
        <v>46299.142361111109</v>
      </c>
      <c r="B240">
        <v>19.14</v>
      </c>
      <c r="C240">
        <v>51.823</v>
      </c>
      <c r="D240">
        <v>943.697</v>
      </c>
      <c r="E240">
        <v>3.5920000000000001</v>
      </c>
      <c r="F240">
        <v>0</v>
      </c>
      <c r="G240" s="26">
        <f t="shared" si="24"/>
        <v>8.9997376171628645</v>
      </c>
      <c r="H240" s="26">
        <f t="shared" si="31"/>
        <v>2.1450000000000102</v>
      </c>
      <c r="I240" s="26">
        <f t="shared" si="25"/>
        <v>15.548</v>
      </c>
      <c r="J240" t="str">
        <f t="shared" si="26"/>
        <v>Heating</v>
      </c>
      <c r="K240" s="26" t="str">
        <f t="shared" si="27"/>
        <v/>
      </c>
      <c r="L240" s="26" t="str">
        <f t="shared" si="28"/>
        <v/>
      </c>
      <c r="N240" t="e">
        <f t="shared" si="29"/>
        <v>#N/A</v>
      </c>
      <c r="O240" t="e">
        <f t="shared" si="30"/>
        <v>#N/A</v>
      </c>
    </row>
    <row r="241" spans="1:15">
      <c r="A241" s="25">
        <v>46299.143055555563</v>
      </c>
      <c r="B241">
        <v>19.141999999999999</v>
      </c>
      <c r="C241">
        <v>52.037999999999997</v>
      </c>
      <c r="D241">
        <v>943.68700000000001</v>
      </c>
      <c r="E241">
        <v>3.5830000000000002</v>
      </c>
      <c r="F241">
        <v>0</v>
      </c>
      <c r="G241" s="26">
        <f t="shared" si="24"/>
        <v>9.0629988444386012</v>
      </c>
      <c r="H241" s="26">
        <f t="shared" si="31"/>
        <v>-0.37499999999997868</v>
      </c>
      <c r="I241" s="26">
        <f t="shared" si="25"/>
        <v>15.558999999999999</v>
      </c>
      <c r="J241" t="str">
        <f t="shared" si="26"/>
        <v>Cooling</v>
      </c>
      <c r="K241" s="26">
        <f t="shared" si="27"/>
        <v>15.558999999999999</v>
      </c>
      <c r="L241" s="26">
        <f t="shared" si="28"/>
        <v>-0.37499999999997868</v>
      </c>
      <c r="N241">
        <f t="shared" si="29"/>
        <v>15.558999999999999</v>
      </c>
      <c r="O241">
        <f t="shared" si="30"/>
        <v>-0.37499999999997868</v>
      </c>
    </row>
    <row r="242" spans="1:15">
      <c r="A242" s="25">
        <v>46299.143750000003</v>
      </c>
      <c r="B242">
        <v>19.123000000000001</v>
      </c>
      <c r="C242">
        <v>52.244999999999997</v>
      </c>
      <c r="D242">
        <v>943.702</v>
      </c>
      <c r="E242">
        <v>3.5750000000000002</v>
      </c>
      <c r="F242">
        <v>0</v>
      </c>
      <c r="G242" s="26">
        <f t="shared" si="24"/>
        <v>9.1043399764170729</v>
      </c>
      <c r="H242" s="26">
        <f t="shared" si="31"/>
        <v>-1.545000000000023</v>
      </c>
      <c r="I242" s="26">
        <f t="shared" si="25"/>
        <v>15.548000000000002</v>
      </c>
      <c r="J242" t="str">
        <f t="shared" si="26"/>
        <v>Cooling</v>
      </c>
      <c r="K242" s="26">
        <f t="shared" si="27"/>
        <v>15.548000000000002</v>
      </c>
      <c r="L242" s="26">
        <f t="shared" si="28"/>
        <v>-1.545000000000023</v>
      </c>
      <c r="N242">
        <f t="shared" si="29"/>
        <v>15.548000000000002</v>
      </c>
      <c r="O242">
        <f t="shared" si="30"/>
        <v>-1.545000000000023</v>
      </c>
    </row>
    <row r="243" spans="1:15">
      <c r="A243" s="25">
        <v>46299.144444444442</v>
      </c>
      <c r="B243">
        <v>19.087</v>
      </c>
      <c r="C243">
        <v>52.243000000000002</v>
      </c>
      <c r="D243">
        <v>943.74800000000005</v>
      </c>
      <c r="E243">
        <v>3.5670000000000002</v>
      </c>
      <c r="F243">
        <v>0</v>
      </c>
      <c r="G243" s="26">
        <f t="shared" si="24"/>
        <v>9.0704707068312871</v>
      </c>
      <c r="H243" s="26">
        <f t="shared" si="31"/>
        <v>-2.3250000000000171</v>
      </c>
      <c r="I243" s="26">
        <f t="shared" si="25"/>
        <v>15.52</v>
      </c>
      <c r="J243" t="str">
        <f t="shared" si="26"/>
        <v>Cooling</v>
      </c>
      <c r="K243" s="26">
        <f t="shared" si="27"/>
        <v>15.52</v>
      </c>
      <c r="L243" s="26">
        <f t="shared" si="28"/>
        <v>-2.3250000000000171</v>
      </c>
      <c r="N243">
        <f t="shared" si="29"/>
        <v>15.52</v>
      </c>
      <c r="O243">
        <f t="shared" si="30"/>
        <v>-2.3250000000000171</v>
      </c>
    </row>
    <row r="244" spans="1:15">
      <c r="A244" s="25">
        <v>46299.145138888889</v>
      </c>
      <c r="B244">
        <v>19.036999999999999</v>
      </c>
      <c r="C244">
        <v>52.218000000000004</v>
      </c>
      <c r="D244">
        <v>943.71799999999996</v>
      </c>
      <c r="E244">
        <v>3.5579999999999998</v>
      </c>
      <c r="F244">
        <v>0</v>
      </c>
      <c r="G244" s="26">
        <f t="shared" si="24"/>
        <v>9.0171192517152399</v>
      </c>
      <c r="H244" s="26">
        <f t="shared" si="31"/>
        <v>-2.6999999999999957</v>
      </c>
      <c r="I244" s="26">
        <f t="shared" si="25"/>
        <v>15.478999999999999</v>
      </c>
      <c r="J244" t="str">
        <f t="shared" si="26"/>
        <v>Cooling</v>
      </c>
      <c r="K244" s="26">
        <f t="shared" si="27"/>
        <v>15.478999999999999</v>
      </c>
      <c r="L244" s="26">
        <f t="shared" si="28"/>
        <v>-2.6999999999999957</v>
      </c>
      <c r="N244">
        <f t="shared" si="29"/>
        <v>15.478999999999999</v>
      </c>
      <c r="O244">
        <f t="shared" si="30"/>
        <v>-2.6999999999999957</v>
      </c>
    </row>
    <row r="245" spans="1:15">
      <c r="A245" s="25">
        <v>46299.145833333343</v>
      </c>
      <c r="B245">
        <v>18.986999999999998</v>
      </c>
      <c r="C245">
        <v>52.476999999999997</v>
      </c>
      <c r="D245">
        <v>943.78200000000004</v>
      </c>
      <c r="E245">
        <v>3.55</v>
      </c>
      <c r="F245">
        <v>0</v>
      </c>
      <c r="G245" s="26">
        <f t="shared" si="24"/>
        <v>9.0442465675088108</v>
      </c>
      <c r="H245" s="26">
        <f t="shared" si="31"/>
        <v>-2.5499999999999723</v>
      </c>
      <c r="I245" s="26">
        <f t="shared" si="25"/>
        <v>15.436999999999998</v>
      </c>
      <c r="J245" t="str">
        <f t="shared" si="26"/>
        <v>Cooling</v>
      </c>
      <c r="K245" s="26">
        <f t="shared" si="27"/>
        <v>15.436999999999998</v>
      </c>
      <c r="L245" s="26">
        <f t="shared" si="28"/>
        <v>-2.5499999999999723</v>
      </c>
      <c r="N245">
        <f t="shared" si="29"/>
        <v>15.436999999999998</v>
      </c>
      <c r="O245">
        <f t="shared" si="30"/>
        <v>-2.5499999999999723</v>
      </c>
    </row>
    <row r="246" spans="1:15">
      <c r="A246" s="25">
        <v>46299.146527777782</v>
      </c>
      <c r="B246">
        <v>18.943000000000001</v>
      </c>
      <c r="C246">
        <v>52.49</v>
      </c>
      <c r="D246">
        <v>943.80700000000002</v>
      </c>
      <c r="E246">
        <v>3.5419999999999998</v>
      </c>
      <c r="F246">
        <v>0</v>
      </c>
      <c r="G246" s="26">
        <f t="shared" si="24"/>
        <v>9.007195584972008</v>
      </c>
      <c r="H246" s="26">
        <f t="shared" si="31"/>
        <v>-2.2499999999999787</v>
      </c>
      <c r="I246" s="26">
        <f t="shared" si="25"/>
        <v>15.401000000000002</v>
      </c>
      <c r="J246" t="str">
        <f t="shared" si="26"/>
        <v>Cooling</v>
      </c>
      <c r="K246" s="26">
        <f t="shared" si="27"/>
        <v>15.401000000000002</v>
      </c>
      <c r="L246" s="26">
        <f t="shared" si="28"/>
        <v>-2.2499999999999787</v>
      </c>
      <c r="N246">
        <f t="shared" si="29"/>
        <v>15.401000000000002</v>
      </c>
      <c r="O246">
        <f t="shared" si="30"/>
        <v>-2.2499999999999787</v>
      </c>
    </row>
    <row r="247" spans="1:15">
      <c r="A247" s="25">
        <v>46299.147222222222</v>
      </c>
      <c r="B247">
        <v>18.917000000000002</v>
      </c>
      <c r="C247">
        <v>52.44</v>
      </c>
      <c r="D247">
        <v>943.803</v>
      </c>
      <c r="E247">
        <v>3.5329999999999999</v>
      </c>
      <c r="F247">
        <v>0</v>
      </c>
      <c r="G247" s="26">
        <f t="shared" si="24"/>
        <v>8.9689999646316014</v>
      </c>
      <c r="H247" s="26">
        <f t="shared" si="31"/>
        <v>-1.8299999999999983</v>
      </c>
      <c r="I247" s="26">
        <f t="shared" si="25"/>
        <v>15.384000000000002</v>
      </c>
      <c r="J247" t="str">
        <f t="shared" si="26"/>
        <v>Cooling</v>
      </c>
      <c r="K247" s="26">
        <f t="shared" si="27"/>
        <v>15.384000000000002</v>
      </c>
      <c r="L247" s="26">
        <f t="shared" si="28"/>
        <v>-1.8299999999999983</v>
      </c>
      <c r="N247">
        <f t="shared" si="29"/>
        <v>15.384000000000002</v>
      </c>
      <c r="O247">
        <f t="shared" si="30"/>
        <v>-1.8299999999999983</v>
      </c>
    </row>
    <row r="248" spans="1:15">
      <c r="A248" s="25">
        <v>46299.147916666669</v>
      </c>
      <c r="B248">
        <v>18.887</v>
      </c>
      <c r="C248">
        <v>52.851999999999997</v>
      </c>
      <c r="D248">
        <v>943.80499999999995</v>
      </c>
      <c r="E248">
        <v>3.5249999999999999</v>
      </c>
      <c r="F248">
        <v>0</v>
      </c>
      <c r="G248" s="26">
        <f t="shared" si="24"/>
        <v>9.057290039017909</v>
      </c>
      <c r="H248" s="26">
        <f t="shared" si="31"/>
        <v>-1.2900000000000311</v>
      </c>
      <c r="I248" s="26">
        <f t="shared" si="25"/>
        <v>15.362</v>
      </c>
      <c r="J248" t="str">
        <f t="shared" si="26"/>
        <v>Cooling</v>
      </c>
      <c r="K248" s="26">
        <f t="shared" si="27"/>
        <v>15.362</v>
      </c>
      <c r="L248" s="26">
        <f t="shared" si="28"/>
        <v>-1.2900000000000311</v>
      </c>
      <c r="N248">
        <f t="shared" si="29"/>
        <v>15.362</v>
      </c>
      <c r="O248">
        <f t="shared" si="30"/>
        <v>-1.2900000000000311</v>
      </c>
    </row>
    <row r="249" spans="1:15">
      <c r="A249" s="25">
        <v>46299.148611111108</v>
      </c>
      <c r="B249">
        <v>18.864999999999998</v>
      </c>
      <c r="C249">
        <v>52.64</v>
      </c>
      <c r="D249">
        <v>943.80799999999999</v>
      </c>
      <c r="E249">
        <v>3.5169999999999999</v>
      </c>
      <c r="F249">
        <v>0</v>
      </c>
      <c r="G249" s="26">
        <f t="shared" si="24"/>
        <v>8.9773023912824836</v>
      </c>
      <c r="H249" s="26">
        <f t="shared" si="31"/>
        <v>-1.2600000000000477</v>
      </c>
      <c r="I249" s="26">
        <f t="shared" si="25"/>
        <v>15.347999999999999</v>
      </c>
      <c r="J249" t="str">
        <f t="shared" si="26"/>
        <v>Cooling</v>
      </c>
      <c r="K249" s="26">
        <f t="shared" si="27"/>
        <v>15.347999999999999</v>
      </c>
      <c r="L249" s="26">
        <f t="shared" si="28"/>
        <v>-1.2600000000000477</v>
      </c>
      <c r="N249">
        <f t="shared" si="29"/>
        <v>15.347999999999999</v>
      </c>
      <c r="O249">
        <f t="shared" si="30"/>
        <v>-1.2600000000000477</v>
      </c>
    </row>
    <row r="250" spans="1:15">
      <c r="A250" s="25">
        <v>46299.149305555547</v>
      </c>
      <c r="B250">
        <v>18.856999999999999</v>
      </c>
      <c r="C250">
        <v>52.768000000000001</v>
      </c>
      <c r="D250">
        <v>943.78800000000001</v>
      </c>
      <c r="E250">
        <v>3.508</v>
      </c>
      <c r="F250">
        <v>0</v>
      </c>
      <c r="G250" s="26">
        <f t="shared" si="24"/>
        <v>9.0059078348263153</v>
      </c>
      <c r="H250" s="26">
        <f t="shared" si="31"/>
        <v>-1.0050000000000026</v>
      </c>
      <c r="I250" s="26">
        <f t="shared" si="25"/>
        <v>15.349</v>
      </c>
      <c r="J250" t="str">
        <f t="shared" si="26"/>
        <v>Cooling</v>
      </c>
      <c r="K250" s="26">
        <f t="shared" si="27"/>
        <v>15.349</v>
      </c>
      <c r="L250" s="26">
        <f t="shared" si="28"/>
        <v>-1.0050000000000026</v>
      </c>
      <c r="N250">
        <f t="shared" si="29"/>
        <v>15.349</v>
      </c>
      <c r="O250">
        <f t="shared" si="30"/>
        <v>-1.0050000000000026</v>
      </c>
    </row>
    <row r="251" spans="1:15">
      <c r="A251" s="25">
        <v>46299.15</v>
      </c>
      <c r="B251">
        <v>18.832999999999998</v>
      </c>
      <c r="C251">
        <v>52.786999999999999</v>
      </c>
      <c r="D251">
        <v>943.80499999999995</v>
      </c>
      <c r="E251">
        <v>3.5</v>
      </c>
      <c r="F251">
        <v>0</v>
      </c>
      <c r="G251" s="26">
        <f t="shared" si="24"/>
        <v>8.9890174301250756</v>
      </c>
      <c r="H251" s="26">
        <f t="shared" si="31"/>
        <v>-0.92999999999996419</v>
      </c>
      <c r="I251" s="26">
        <f t="shared" si="25"/>
        <v>15.332999999999998</v>
      </c>
      <c r="J251" t="str">
        <f t="shared" si="26"/>
        <v>Cooling</v>
      </c>
      <c r="K251" s="26">
        <f t="shared" si="27"/>
        <v>15.332999999999998</v>
      </c>
      <c r="L251" s="26">
        <f t="shared" si="28"/>
        <v>-0.92999999999996419</v>
      </c>
      <c r="N251">
        <f t="shared" si="29"/>
        <v>15.332999999999998</v>
      </c>
      <c r="O251">
        <f t="shared" si="30"/>
        <v>-0.92999999999996419</v>
      </c>
    </row>
    <row r="252" spans="1:15">
      <c r="A252" s="25">
        <v>46299.150694444441</v>
      </c>
      <c r="B252">
        <v>18.82</v>
      </c>
      <c r="C252">
        <v>52.65</v>
      </c>
      <c r="D252">
        <v>943.8</v>
      </c>
      <c r="E252">
        <v>3.492</v>
      </c>
      <c r="F252">
        <v>0</v>
      </c>
      <c r="G252" s="26">
        <f t="shared" si="24"/>
        <v>8.938451268006359</v>
      </c>
      <c r="H252" s="26">
        <f t="shared" si="31"/>
        <v>-1.0050000000000026</v>
      </c>
      <c r="I252" s="26">
        <f t="shared" si="25"/>
        <v>15.327999999999999</v>
      </c>
      <c r="J252" t="str">
        <f t="shared" si="26"/>
        <v>Cooling</v>
      </c>
      <c r="K252" s="26">
        <f t="shared" si="27"/>
        <v>15.327999999999999</v>
      </c>
      <c r="L252" s="26">
        <f t="shared" si="28"/>
        <v>-1.0050000000000026</v>
      </c>
      <c r="N252">
        <f t="shared" si="29"/>
        <v>15.327999999999999</v>
      </c>
      <c r="O252">
        <f t="shared" si="30"/>
        <v>-1.0050000000000026</v>
      </c>
    </row>
    <row r="253" spans="1:15">
      <c r="A253" s="25">
        <v>46299.151388888888</v>
      </c>
      <c r="B253">
        <v>18.803000000000001</v>
      </c>
      <c r="C253">
        <v>52.865000000000002</v>
      </c>
      <c r="D253">
        <v>943.83699999999999</v>
      </c>
      <c r="E253">
        <v>3.4830000000000001</v>
      </c>
      <c r="F253">
        <v>0</v>
      </c>
      <c r="G253" s="26">
        <f t="shared" si="24"/>
        <v>8.9831222422787693</v>
      </c>
      <c r="H253" s="26">
        <f t="shared" si="31"/>
        <v>-0.91499999999999915</v>
      </c>
      <c r="I253" s="26">
        <f t="shared" si="25"/>
        <v>15.32</v>
      </c>
      <c r="J253" t="str">
        <f t="shared" si="26"/>
        <v>Cooling</v>
      </c>
      <c r="K253" s="26">
        <f t="shared" si="27"/>
        <v>15.32</v>
      </c>
      <c r="L253" s="26">
        <f t="shared" si="28"/>
        <v>-0.91499999999999915</v>
      </c>
      <c r="N253">
        <f t="shared" si="29"/>
        <v>15.32</v>
      </c>
      <c r="O253">
        <f t="shared" si="30"/>
        <v>-0.91499999999999915</v>
      </c>
    </row>
    <row r="254" spans="1:15">
      <c r="A254" s="25">
        <v>46299.152083333327</v>
      </c>
      <c r="B254">
        <v>18.79</v>
      </c>
      <c r="C254">
        <v>52.968000000000004</v>
      </c>
      <c r="D254">
        <v>943.827</v>
      </c>
      <c r="E254">
        <v>3.4750000000000001</v>
      </c>
      <c r="F254">
        <v>0</v>
      </c>
      <c r="G254" s="26">
        <f t="shared" si="24"/>
        <v>8.9999411412847437</v>
      </c>
      <c r="H254" s="26">
        <f t="shared" si="31"/>
        <v>-1.0200000000000209</v>
      </c>
      <c r="I254" s="26">
        <f t="shared" si="25"/>
        <v>15.315</v>
      </c>
      <c r="J254" t="str">
        <f t="shared" si="26"/>
        <v>Cooling</v>
      </c>
      <c r="K254" s="26">
        <f t="shared" si="27"/>
        <v>15.315</v>
      </c>
      <c r="L254" s="26">
        <f t="shared" si="28"/>
        <v>-1.0200000000000209</v>
      </c>
      <c r="N254">
        <f t="shared" si="29"/>
        <v>15.315</v>
      </c>
      <c r="O254">
        <f t="shared" si="30"/>
        <v>-1.0200000000000209</v>
      </c>
    </row>
    <row r="255" spans="1:15">
      <c r="A255" s="25">
        <v>46299.152777777781</v>
      </c>
      <c r="B255">
        <v>18.771999999999998</v>
      </c>
      <c r="C255">
        <v>52.807000000000002</v>
      </c>
      <c r="D255">
        <v>943.81200000000001</v>
      </c>
      <c r="E255">
        <v>3.4670000000000001</v>
      </c>
      <c r="F255">
        <v>0</v>
      </c>
      <c r="G255" s="26">
        <f t="shared" si="24"/>
        <v>8.9381315442317586</v>
      </c>
      <c r="H255" s="26">
        <f t="shared" si="31"/>
        <v>-0.76500000000002899</v>
      </c>
      <c r="I255" s="26">
        <f t="shared" si="25"/>
        <v>15.304999999999998</v>
      </c>
      <c r="J255" t="str">
        <f t="shared" si="26"/>
        <v>Cooling</v>
      </c>
      <c r="K255" s="26">
        <f t="shared" si="27"/>
        <v>15.304999999999998</v>
      </c>
      <c r="L255" s="26">
        <f t="shared" si="28"/>
        <v>-0.76500000000002899</v>
      </c>
      <c r="N255">
        <f t="shared" si="29"/>
        <v>15.304999999999998</v>
      </c>
      <c r="O255">
        <f t="shared" si="30"/>
        <v>-0.76500000000002899</v>
      </c>
    </row>
    <row r="256" spans="1:15">
      <c r="A256" s="25">
        <v>46299.15347222222</v>
      </c>
      <c r="B256">
        <v>18.751999999999999</v>
      </c>
      <c r="C256">
        <v>52.98</v>
      </c>
      <c r="D256">
        <v>943.86</v>
      </c>
      <c r="E256">
        <v>3.4580000000000002</v>
      </c>
      <c r="F256">
        <v>0</v>
      </c>
      <c r="G256" s="26">
        <f t="shared" si="24"/>
        <v>8.9680879496083801</v>
      </c>
      <c r="H256" s="26">
        <f t="shared" si="31"/>
        <v>-0.89999999999998082</v>
      </c>
      <c r="I256" s="26">
        <f t="shared" si="25"/>
        <v>15.293999999999999</v>
      </c>
      <c r="J256" t="str">
        <f t="shared" si="26"/>
        <v>Cooling</v>
      </c>
      <c r="K256" s="26">
        <f t="shared" si="27"/>
        <v>15.293999999999999</v>
      </c>
      <c r="L256" s="26">
        <f t="shared" si="28"/>
        <v>-0.89999999999998082</v>
      </c>
      <c r="N256">
        <f t="shared" si="29"/>
        <v>15.293999999999999</v>
      </c>
      <c r="O256">
        <f t="shared" si="30"/>
        <v>-0.89999999999998082</v>
      </c>
    </row>
    <row r="257" spans="1:15">
      <c r="A257" s="25">
        <v>46299.154166666667</v>
      </c>
      <c r="B257">
        <v>18.751999999999999</v>
      </c>
      <c r="C257">
        <v>53.072000000000003</v>
      </c>
      <c r="D257">
        <v>943.84199999999998</v>
      </c>
      <c r="E257">
        <v>3.45</v>
      </c>
      <c r="F257">
        <v>0</v>
      </c>
      <c r="G257" s="26">
        <f t="shared" si="24"/>
        <v>8.99381354748032</v>
      </c>
      <c r="H257" s="26">
        <f t="shared" si="31"/>
        <v>-0.77999999999999403</v>
      </c>
      <c r="I257" s="26">
        <f t="shared" si="25"/>
        <v>15.302</v>
      </c>
      <c r="J257" t="str">
        <f t="shared" si="26"/>
        <v>Cooling</v>
      </c>
      <c r="K257" s="26">
        <f t="shared" si="27"/>
        <v>15.302</v>
      </c>
      <c r="L257" s="26">
        <f t="shared" si="28"/>
        <v>-0.77999999999999403</v>
      </c>
      <c r="N257">
        <f t="shared" si="29"/>
        <v>15.302</v>
      </c>
      <c r="O257">
        <f t="shared" si="30"/>
        <v>-0.77999999999999403</v>
      </c>
    </row>
    <row r="258" spans="1:15">
      <c r="A258" s="25">
        <v>46299.154861111107</v>
      </c>
      <c r="B258">
        <v>18.73</v>
      </c>
      <c r="C258">
        <v>53.031999999999996</v>
      </c>
      <c r="D258">
        <v>943.88699999999994</v>
      </c>
      <c r="E258">
        <v>3.4420000000000002</v>
      </c>
      <c r="F258">
        <v>0</v>
      </c>
      <c r="G258" s="26">
        <f t="shared" ref="G258:G321" si="32">243.04*(LN(C258/100)+17.625*B258/(243.04+B258))/(17.625-LN(C258/100)-17.625*B258/(243.04+B258))</f>
        <v>8.9622446034077292</v>
      </c>
      <c r="H258" s="26">
        <f t="shared" si="31"/>
        <v>-0.5549999999999855</v>
      </c>
      <c r="I258" s="26">
        <f t="shared" ref="I258:I321" si="33">B258-E258</f>
        <v>15.288</v>
      </c>
      <c r="J258" t="str">
        <f t="shared" ref="J258:J321" si="34">IF(H258="","",IF(H258&gt;0.6,"Heating",IF(H258&lt;-0.2,"Cooling","Steady")))</f>
        <v>Cooling</v>
      </c>
      <c r="K258" s="26">
        <f t="shared" ref="K258:K321" si="35">IF(J258="Cooling",I258,"")</f>
        <v>15.288</v>
      </c>
      <c r="L258" s="26">
        <f t="shared" ref="L258:L321" si="36">IF(J258="Cooling",H258,"")</f>
        <v>-0.5549999999999855</v>
      </c>
      <c r="N258">
        <f t="shared" ref="N258:N321" si="37">IF(K258="",NA(),K258)</f>
        <v>15.288</v>
      </c>
      <c r="O258">
        <f t="shared" ref="O258:O321" si="38">IF(L258="",NA(),L258)</f>
        <v>-0.5549999999999855</v>
      </c>
    </row>
    <row r="259" spans="1:15">
      <c r="A259" s="25">
        <v>46299.155555555553</v>
      </c>
      <c r="B259">
        <v>18.72</v>
      </c>
      <c r="C259">
        <v>53.13</v>
      </c>
      <c r="D259">
        <v>943.88199999999995</v>
      </c>
      <c r="E259">
        <v>3.4329999999999998</v>
      </c>
      <c r="F259">
        <v>0</v>
      </c>
      <c r="G259" s="26">
        <f t="shared" si="32"/>
        <v>8.9803488092184054</v>
      </c>
      <c r="H259" s="26">
        <f t="shared" si="31"/>
        <v>-0.70500000000000895</v>
      </c>
      <c r="I259" s="26">
        <f t="shared" si="33"/>
        <v>15.286999999999999</v>
      </c>
      <c r="J259" t="str">
        <f t="shared" si="34"/>
        <v>Cooling</v>
      </c>
      <c r="K259" s="26">
        <f t="shared" si="35"/>
        <v>15.286999999999999</v>
      </c>
      <c r="L259" s="26">
        <f t="shared" si="36"/>
        <v>-0.70500000000000895</v>
      </c>
      <c r="N259">
        <f t="shared" si="37"/>
        <v>15.286999999999999</v>
      </c>
      <c r="O259">
        <f t="shared" si="38"/>
        <v>-0.70500000000000895</v>
      </c>
    </row>
    <row r="260" spans="1:15">
      <c r="A260" s="25">
        <v>46299.15625</v>
      </c>
      <c r="B260">
        <v>18.715</v>
      </c>
      <c r="C260">
        <v>52.936999999999998</v>
      </c>
      <c r="D260">
        <v>943.92499999999995</v>
      </c>
      <c r="E260">
        <v>3.4249999999999998</v>
      </c>
      <c r="F260">
        <v>0</v>
      </c>
      <c r="G260" s="26">
        <f t="shared" si="32"/>
        <v>8.9217675152511067</v>
      </c>
      <c r="H260" s="26">
        <f t="shared" ref="H260:H323" si="39">(B262-B258)/4*60</f>
        <v>-0.48000000000000043</v>
      </c>
      <c r="I260" s="26">
        <f t="shared" si="33"/>
        <v>15.29</v>
      </c>
      <c r="J260" t="str">
        <f t="shared" si="34"/>
        <v>Cooling</v>
      </c>
      <c r="K260" s="26">
        <f t="shared" si="35"/>
        <v>15.29</v>
      </c>
      <c r="L260" s="26">
        <f t="shared" si="36"/>
        <v>-0.48000000000000043</v>
      </c>
      <c r="N260">
        <f t="shared" si="37"/>
        <v>15.29</v>
      </c>
      <c r="O260">
        <f t="shared" si="38"/>
        <v>-0.48000000000000043</v>
      </c>
    </row>
    <row r="261" spans="1:15">
      <c r="A261" s="25">
        <v>46299.156944444447</v>
      </c>
      <c r="B261">
        <v>18.704999999999998</v>
      </c>
      <c r="C261">
        <v>53.045000000000002</v>
      </c>
      <c r="D261">
        <v>943.91800000000001</v>
      </c>
      <c r="E261">
        <v>3.4169999999999998</v>
      </c>
      <c r="F261">
        <v>0</v>
      </c>
      <c r="G261" s="26">
        <f t="shared" si="32"/>
        <v>8.9427085512538529</v>
      </c>
      <c r="H261" s="26">
        <f t="shared" si="39"/>
        <v>-0.40499999999996206</v>
      </c>
      <c r="I261" s="26">
        <f t="shared" si="33"/>
        <v>15.287999999999998</v>
      </c>
      <c r="J261" t="str">
        <f t="shared" si="34"/>
        <v>Cooling</v>
      </c>
      <c r="K261" s="26">
        <f t="shared" si="35"/>
        <v>15.287999999999998</v>
      </c>
      <c r="L261" s="26">
        <f t="shared" si="36"/>
        <v>-0.40499999999996206</v>
      </c>
      <c r="N261">
        <f t="shared" si="37"/>
        <v>15.287999999999998</v>
      </c>
      <c r="O261">
        <f t="shared" si="38"/>
        <v>-0.40499999999996206</v>
      </c>
    </row>
    <row r="262" spans="1:15">
      <c r="A262" s="25">
        <v>46299.157638888893</v>
      </c>
      <c r="B262">
        <v>18.698</v>
      </c>
      <c r="C262">
        <v>53.04</v>
      </c>
      <c r="D262">
        <v>943.92700000000002</v>
      </c>
      <c r="E262">
        <v>3.4079999999999999</v>
      </c>
      <c r="F262">
        <v>0</v>
      </c>
      <c r="G262" s="26">
        <f t="shared" si="32"/>
        <v>8.9348237734973637</v>
      </c>
      <c r="H262" s="26">
        <f t="shared" si="39"/>
        <v>-0.52500000000000213</v>
      </c>
      <c r="I262" s="26">
        <f t="shared" si="33"/>
        <v>15.290000000000001</v>
      </c>
      <c r="J262" t="str">
        <f t="shared" si="34"/>
        <v>Cooling</v>
      </c>
      <c r="K262" s="26">
        <f t="shared" si="35"/>
        <v>15.290000000000001</v>
      </c>
      <c r="L262" s="26">
        <f t="shared" si="36"/>
        <v>-0.52500000000000213</v>
      </c>
      <c r="N262">
        <f t="shared" si="37"/>
        <v>15.290000000000001</v>
      </c>
      <c r="O262">
        <f t="shared" si="38"/>
        <v>-0.52500000000000213</v>
      </c>
    </row>
    <row r="263" spans="1:15">
      <c r="A263" s="25">
        <v>46299.158333333333</v>
      </c>
      <c r="B263">
        <v>18.693000000000001</v>
      </c>
      <c r="C263">
        <v>52.988</v>
      </c>
      <c r="D263">
        <v>943.91200000000003</v>
      </c>
      <c r="E263">
        <v>3.4</v>
      </c>
      <c r="F263">
        <v>0</v>
      </c>
      <c r="G263" s="26">
        <f t="shared" si="32"/>
        <v>8.9156526792434416</v>
      </c>
      <c r="H263" s="26">
        <f t="shared" si="39"/>
        <v>-0.32999999999997698</v>
      </c>
      <c r="I263" s="26">
        <f t="shared" si="33"/>
        <v>15.293000000000001</v>
      </c>
      <c r="J263" t="str">
        <f t="shared" si="34"/>
        <v>Cooling</v>
      </c>
      <c r="K263" s="26">
        <f t="shared" si="35"/>
        <v>15.293000000000001</v>
      </c>
      <c r="L263" s="26">
        <f t="shared" si="36"/>
        <v>-0.32999999999997698</v>
      </c>
      <c r="N263">
        <f t="shared" si="37"/>
        <v>15.293000000000001</v>
      </c>
      <c r="O263">
        <f t="shared" si="38"/>
        <v>-0.32999999999997698</v>
      </c>
    </row>
    <row r="264" spans="1:15">
      <c r="A264" s="25">
        <v>46299.15902777778</v>
      </c>
      <c r="B264">
        <v>18.68</v>
      </c>
      <c r="C264">
        <v>53.183</v>
      </c>
      <c r="D264">
        <v>943.89800000000002</v>
      </c>
      <c r="E264">
        <v>3.3919999999999999</v>
      </c>
      <c r="F264">
        <v>0</v>
      </c>
      <c r="G264" s="26">
        <f t="shared" si="32"/>
        <v>8.9580501276290221</v>
      </c>
      <c r="H264" s="26">
        <f t="shared" si="39"/>
        <v>-0.52500000000000213</v>
      </c>
      <c r="I264" s="26">
        <f t="shared" si="33"/>
        <v>15.288</v>
      </c>
      <c r="J264" t="str">
        <f t="shared" si="34"/>
        <v>Cooling</v>
      </c>
      <c r="K264" s="26">
        <f t="shared" si="35"/>
        <v>15.288</v>
      </c>
      <c r="L264" s="26">
        <f t="shared" si="36"/>
        <v>-0.52500000000000213</v>
      </c>
      <c r="N264">
        <f t="shared" si="37"/>
        <v>15.288</v>
      </c>
      <c r="O264">
        <f t="shared" si="38"/>
        <v>-0.52500000000000213</v>
      </c>
    </row>
    <row r="265" spans="1:15">
      <c r="A265" s="25">
        <v>46299.159722222219</v>
      </c>
      <c r="B265">
        <v>18.683</v>
      </c>
      <c r="C265">
        <v>53.127000000000002</v>
      </c>
      <c r="D265">
        <v>943.91</v>
      </c>
      <c r="E265">
        <v>3.383</v>
      </c>
      <c r="F265">
        <v>0</v>
      </c>
      <c r="G265" s="26">
        <f t="shared" si="32"/>
        <v>8.9452137949946451</v>
      </c>
      <c r="H265" s="26">
        <f t="shared" si="39"/>
        <v>-0.61500000000000554</v>
      </c>
      <c r="I265" s="26">
        <f t="shared" si="33"/>
        <v>15.3</v>
      </c>
      <c r="J265" t="str">
        <f t="shared" si="34"/>
        <v>Cooling</v>
      </c>
      <c r="K265" s="26">
        <f t="shared" si="35"/>
        <v>15.3</v>
      </c>
      <c r="L265" s="26">
        <f t="shared" si="36"/>
        <v>-0.61500000000000554</v>
      </c>
      <c r="N265">
        <f t="shared" si="37"/>
        <v>15.3</v>
      </c>
      <c r="O265">
        <f t="shared" si="38"/>
        <v>-0.61500000000000554</v>
      </c>
    </row>
    <row r="266" spans="1:15">
      <c r="A266" s="25">
        <v>46299.160416666673</v>
      </c>
      <c r="B266">
        <v>18.663</v>
      </c>
      <c r="C266">
        <v>53.146999999999998</v>
      </c>
      <c r="D266">
        <v>943.87</v>
      </c>
      <c r="E266">
        <v>3.375</v>
      </c>
      <c r="F266">
        <v>0</v>
      </c>
      <c r="G266" s="26">
        <f t="shared" si="32"/>
        <v>8.932252871701726</v>
      </c>
      <c r="H266" s="26">
        <f t="shared" si="39"/>
        <v>-0.49500000000001876</v>
      </c>
      <c r="I266" s="26">
        <f t="shared" si="33"/>
        <v>15.288</v>
      </c>
      <c r="J266" t="str">
        <f t="shared" si="34"/>
        <v>Cooling</v>
      </c>
      <c r="K266" s="26">
        <f t="shared" si="35"/>
        <v>15.288</v>
      </c>
      <c r="L266" s="26">
        <f t="shared" si="36"/>
        <v>-0.49500000000001876</v>
      </c>
      <c r="N266">
        <f t="shared" si="37"/>
        <v>15.288</v>
      </c>
      <c r="O266">
        <f t="shared" si="38"/>
        <v>-0.49500000000001876</v>
      </c>
    </row>
    <row r="267" spans="1:15">
      <c r="A267" s="25">
        <v>46299.161111111112</v>
      </c>
      <c r="B267">
        <v>18.652000000000001</v>
      </c>
      <c r="C267">
        <v>53.225000000000001</v>
      </c>
      <c r="D267">
        <v>943.87199999999996</v>
      </c>
      <c r="E267">
        <v>3.367</v>
      </c>
      <c r="F267">
        <v>0</v>
      </c>
      <c r="G267" s="26">
        <f t="shared" si="32"/>
        <v>8.9437925915187702</v>
      </c>
      <c r="H267" s="26">
        <f t="shared" si="39"/>
        <v>-0.59999999999998721</v>
      </c>
      <c r="I267" s="26">
        <f t="shared" si="33"/>
        <v>15.285</v>
      </c>
      <c r="J267" t="str">
        <f t="shared" si="34"/>
        <v>Cooling</v>
      </c>
      <c r="K267" s="26">
        <f t="shared" si="35"/>
        <v>15.285</v>
      </c>
      <c r="L267" s="26">
        <f t="shared" si="36"/>
        <v>-0.59999999999998721</v>
      </c>
      <c r="N267">
        <f t="shared" si="37"/>
        <v>15.285</v>
      </c>
      <c r="O267">
        <f t="shared" si="38"/>
        <v>-0.59999999999998721</v>
      </c>
    </row>
    <row r="268" spans="1:15">
      <c r="A268" s="25">
        <v>46299.161805555559</v>
      </c>
      <c r="B268">
        <v>18.646999999999998</v>
      </c>
      <c r="C268">
        <v>53.174999999999997</v>
      </c>
      <c r="D268">
        <v>943.88699999999994</v>
      </c>
      <c r="E268">
        <v>3.3580000000000001</v>
      </c>
      <c r="F268">
        <v>0</v>
      </c>
      <c r="G268" s="26">
        <f t="shared" si="32"/>
        <v>8.9252265047216657</v>
      </c>
      <c r="H268" s="26">
        <f t="shared" si="39"/>
        <v>-0.38999999999999702</v>
      </c>
      <c r="I268" s="26">
        <f t="shared" si="33"/>
        <v>15.288999999999998</v>
      </c>
      <c r="J268" t="str">
        <f t="shared" si="34"/>
        <v>Cooling</v>
      </c>
      <c r="K268" s="26">
        <f t="shared" si="35"/>
        <v>15.288999999999998</v>
      </c>
      <c r="L268" s="26">
        <f t="shared" si="36"/>
        <v>-0.38999999999999702</v>
      </c>
      <c r="N268">
        <f t="shared" si="37"/>
        <v>15.288999999999998</v>
      </c>
      <c r="O268">
        <f t="shared" si="38"/>
        <v>-0.38999999999999702</v>
      </c>
    </row>
    <row r="269" spans="1:15">
      <c r="A269" s="25">
        <v>46299.162499999999</v>
      </c>
      <c r="B269">
        <v>18.643000000000001</v>
      </c>
      <c r="C269">
        <v>53.203000000000003</v>
      </c>
      <c r="D269">
        <v>943.84199999999998</v>
      </c>
      <c r="E269">
        <v>3.35</v>
      </c>
      <c r="F269">
        <v>0</v>
      </c>
      <c r="G269" s="26">
        <f t="shared" si="32"/>
        <v>8.929320279766376</v>
      </c>
      <c r="H269" s="26">
        <f t="shared" si="39"/>
        <v>-0.33000000000003027</v>
      </c>
      <c r="I269" s="26">
        <f t="shared" si="33"/>
        <v>15.293000000000001</v>
      </c>
      <c r="J269" t="str">
        <f t="shared" si="34"/>
        <v>Cooling</v>
      </c>
      <c r="K269" s="26">
        <f t="shared" si="35"/>
        <v>15.293000000000001</v>
      </c>
      <c r="L269" s="26">
        <f t="shared" si="36"/>
        <v>-0.33000000000003027</v>
      </c>
      <c r="N269">
        <f t="shared" si="37"/>
        <v>15.293000000000001</v>
      </c>
      <c r="O269">
        <f t="shared" si="38"/>
        <v>-0.33000000000003027</v>
      </c>
    </row>
    <row r="270" spans="1:15">
      <c r="A270" s="25">
        <v>46299.163194444453</v>
      </c>
      <c r="B270">
        <v>18.637</v>
      </c>
      <c r="C270">
        <v>53.271999999999998</v>
      </c>
      <c r="D270">
        <v>943.85</v>
      </c>
      <c r="E270">
        <v>3.3420000000000001</v>
      </c>
      <c r="F270">
        <v>0</v>
      </c>
      <c r="G270" s="26">
        <f t="shared" si="32"/>
        <v>8.9429677361045901</v>
      </c>
      <c r="H270" s="26">
        <f t="shared" si="39"/>
        <v>-0.32999999999997698</v>
      </c>
      <c r="I270" s="26">
        <f t="shared" si="33"/>
        <v>15.295</v>
      </c>
      <c r="J270" t="str">
        <f t="shared" si="34"/>
        <v>Cooling</v>
      </c>
      <c r="K270" s="26">
        <f t="shared" si="35"/>
        <v>15.295</v>
      </c>
      <c r="L270" s="26">
        <f t="shared" si="36"/>
        <v>-0.32999999999997698</v>
      </c>
      <c r="N270">
        <f t="shared" si="37"/>
        <v>15.295</v>
      </c>
      <c r="O270">
        <f t="shared" si="38"/>
        <v>-0.32999999999997698</v>
      </c>
    </row>
    <row r="271" spans="1:15">
      <c r="A271" s="25">
        <v>46299.163888888892</v>
      </c>
      <c r="B271">
        <v>18.63</v>
      </c>
      <c r="C271">
        <v>53.271999999999998</v>
      </c>
      <c r="D271">
        <v>943.86</v>
      </c>
      <c r="E271">
        <v>3.3330000000000002</v>
      </c>
      <c r="F271">
        <v>0</v>
      </c>
      <c r="G271" s="26">
        <f t="shared" si="32"/>
        <v>8.936476764053511</v>
      </c>
      <c r="H271" s="26">
        <f t="shared" si="39"/>
        <v>-0.42000000000003368</v>
      </c>
      <c r="I271" s="26">
        <f t="shared" si="33"/>
        <v>15.296999999999999</v>
      </c>
      <c r="J271" t="str">
        <f t="shared" si="34"/>
        <v>Cooling</v>
      </c>
      <c r="K271" s="26">
        <f t="shared" si="35"/>
        <v>15.296999999999999</v>
      </c>
      <c r="L271" s="26">
        <f t="shared" si="36"/>
        <v>-0.42000000000003368</v>
      </c>
      <c r="N271">
        <f t="shared" si="37"/>
        <v>15.296999999999999</v>
      </c>
      <c r="O271">
        <f t="shared" si="38"/>
        <v>-0.42000000000003368</v>
      </c>
    </row>
    <row r="272" spans="1:15">
      <c r="A272" s="25">
        <v>46299.164583333331</v>
      </c>
      <c r="B272">
        <v>18.625</v>
      </c>
      <c r="C272">
        <v>53.48</v>
      </c>
      <c r="D272">
        <v>943.875</v>
      </c>
      <c r="E272">
        <v>3.3250000000000002</v>
      </c>
      <c r="F272">
        <v>0</v>
      </c>
      <c r="G272" s="26">
        <f t="shared" si="32"/>
        <v>8.9896119689726284</v>
      </c>
      <c r="H272" s="26">
        <f t="shared" si="39"/>
        <v>-0.37500000000003197</v>
      </c>
      <c r="I272" s="26">
        <f t="shared" si="33"/>
        <v>15.3</v>
      </c>
      <c r="J272" t="str">
        <f t="shared" si="34"/>
        <v>Cooling</v>
      </c>
      <c r="K272" s="26">
        <f t="shared" si="35"/>
        <v>15.3</v>
      </c>
      <c r="L272" s="26">
        <f t="shared" si="36"/>
        <v>-0.37500000000003197</v>
      </c>
      <c r="N272">
        <f t="shared" si="37"/>
        <v>15.3</v>
      </c>
      <c r="O272">
        <f t="shared" si="38"/>
        <v>-0.37500000000003197</v>
      </c>
    </row>
    <row r="273" spans="1:15">
      <c r="A273" s="25">
        <v>46299.165277777778</v>
      </c>
      <c r="B273">
        <v>18.614999999999998</v>
      </c>
      <c r="C273">
        <v>53.354999999999997</v>
      </c>
      <c r="D273">
        <v>943.86800000000005</v>
      </c>
      <c r="E273">
        <v>3.3170000000000002</v>
      </c>
      <c r="F273">
        <v>0</v>
      </c>
      <c r="G273" s="26">
        <f t="shared" si="32"/>
        <v>8.9456427188935468</v>
      </c>
      <c r="H273" s="26">
        <f t="shared" si="39"/>
        <v>-0.2549999999999919</v>
      </c>
      <c r="I273" s="26">
        <f t="shared" si="33"/>
        <v>15.297999999999998</v>
      </c>
      <c r="J273" t="str">
        <f t="shared" si="34"/>
        <v>Cooling</v>
      </c>
      <c r="K273" s="26">
        <f t="shared" si="35"/>
        <v>15.297999999999998</v>
      </c>
      <c r="L273" s="26">
        <f t="shared" si="36"/>
        <v>-0.2549999999999919</v>
      </c>
      <c r="N273">
        <f t="shared" si="37"/>
        <v>15.297999999999998</v>
      </c>
      <c r="O273">
        <f t="shared" si="38"/>
        <v>-0.2549999999999919</v>
      </c>
    </row>
    <row r="274" spans="1:15">
      <c r="A274" s="25">
        <v>46299.165972222218</v>
      </c>
      <c r="B274">
        <v>18.611999999999998</v>
      </c>
      <c r="C274">
        <v>53.42</v>
      </c>
      <c r="D274">
        <v>943.86300000000006</v>
      </c>
      <c r="E274">
        <v>3.3079999999999998</v>
      </c>
      <c r="F274">
        <v>0</v>
      </c>
      <c r="G274" s="26">
        <f t="shared" si="32"/>
        <v>8.9609088042983043</v>
      </c>
      <c r="H274" s="26">
        <f t="shared" si="39"/>
        <v>-0.29999999999999361</v>
      </c>
      <c r="I274" s="26">
        <f t="shared" si="33"/>
        <v>15.303999999999998</v>
      </c>
      <c r="J274" t="str">
        <f t="shared" si="34"/>
        <v>Cooling</v>
      </c>
      <c r="K274" s="26">
        <f t="shared" si="35"/>
        <v>15.303999999999998</v>
      </c>
      <c r="L274" s="26">
        <f t="shared" si="36"/>
        <v>-0.29999999999999361</v>
      </c>
      <c r="N274">
        <f t="shared" si="37"/>
        <v>15.303999999999998</v>
      </c>
      <c r="O274">
        <f t="shared" si="38"/>
        <v>-0.29999999999999361</v>
      </c>
    </row>
    <row r="275" spans="1:15">
      <c r="A275" s="25">
        <v>46299.166666666657</v>
      </c>
      <c r="B275">
        <v>18.613</v>
      </c>
      <c r="C275">
        <v>53.343000000000004</v>
      </c>
      <c r="D275">
        <v>943.87</v>
      </c>
      <c r="E275">
        <v>3.3</v>
      </c>
      <c r="F275">
        <v>0</v>
      </c>
      <c r="G275" s="26">
        <f t="shared" si="32"/>
        <v>8.9404536370689183</v>
      </c>
      <c r="H275" s="26">
        <f t="shared" si="39"/>
        <v>-0.2549999999999919</v>
      </c>
      <c r="I275" s="26">
        <f t="shared" si="33"/>
        <v>15.312999999999999</v>
      </c>
      <c r="J275" t="str">
        <f t="shared" si="34"/>
        <v>Cooling</v>
      </c>
      <c r="K275" s="26">
        <f t="shared" si="35"/>
        <v>15.312999999999999</v>
      </c>
      <c r="L275" s="26">
        <f t="shared" si="36"/>
        <v>-0.2549999999999919</v>
      </c>
      <c r="N275">
        <f t="shared" si="37"/>
        <v>15.312999999999999</v>
      </c>
      <c r="O275">
        <f t="shared" si="38"/>
        <v>-0.2549999999999919</v>
      </c>
    </row>
    <row r="276" spans="1:15">
      <c r="A276" s="25">
        <v>46299.167361111111</v>
      </c>
      <c r="B276">
        <v>18.605</v>
      </c>
      <c r="C276">
        <v>53.274999999999999</v>
      </c>
      <c r="D276">
        <v>943.83799999999997</v>
      </c>
      <c r="E276">
        <v>3.298</v>
      </c>
      <c r="F276">
        <v>0</v>
      </c>
      <c r="G276" s="26">
        <f t="shared" si="32"/>
        <v>8.9141291512016441</v>
      </c>
      <c r="H276" s="26">
        <f t="shared" si="39"/>
        <v>-0.32999999999997698</v>
      </c>
      <c r="I276" s="26">
        <f t="shared" si="33"/>
        <v>15.307</v>
      </c>
      <c r="J276" t="str">
        <f t="shared" si="34"/>
        <v>Cooling</v>
      </c>
      <c r="K276" s="26">
        <f t="shared" si="35"/>
        <v>15.307</v>
      </c>
      <c r="L276" s="26">
        <f t="shared" si="36"/>
        <v>-0.32999999999997698</v>
      </c>
      <c r="N276">
        <f t="shared" si="37"/>
        <v>15.307</v>
      </c>
      <c r="O276">
        <f t="shared" si="38"/>
        <v>-0.32999999999997698</v>
      </c>
    </row>
    <row r="277" spans="1:15">
      <c r="A277" s="25">
        <v>46299.168055555558</v>
      </c>
      <c r="B277">
        <v>18.597999999999999</v>
      </c>
      <c r="C277">
        <v>53.484999999999999</v>
      </c>
      <c r="D277">
        <v>943.80499999999995</v>
      </c>
      <c r="E277">
        <v>3.2970000000000002</v>
      </c>
      <c r="F277">
        <v>0</v>
      </c>
      <c r="G277" s="26">
        <f t="shared" si="32"/>
        <v>8.9659497486183906</v>
      </c>
      <c r="H277" s="26">
        <f t="shared" si="39"/>
        <v>-0.46499999999998209</v>
      </c>
      <c r="I277" s="26">
        <f t="shared" si="33"/>
        <v>15.300999999999998</v>
      </c>
      <c r="J277" t="str">
        <f t="shared" si="34"/>
        <v>Cooling</v>
      </c>
      <c r="K277" s="26">
        <f t="shared" si="35"/>
        <v>15.300999999999998</v>
      </c>
      <c r="L277" s="26">
        <f t="shared" si="36"/>
        <v>-0.46499999999998209</v>
      </c>
      <c r="N277">
        <f t="shared" si="37"/>
        <v>15.300999999999998</v>
      </c>
      <c r="O277">
        <f t="shared" si="38"/>
        <v>-0.46499999999998209</v>
      </c>
    </row>
    <row r="278" spans="1:15">
      <c r="A278" s="25">
        <v>46299.168749999997</v>
      </c>
      <c r="B278">
        <v>18.59</v>
      </c>
      <c r="C278">
        <v>53.314999999999998</v>
      </c>
      <c r="D278">
        <v>943.82</v>
      </c>
      <c r="E278">
        <v>3.2949999999999999</v>
      </c>
      <c r="F278">
        <v>0</v>
      </c>
      <c r="G278" s="26">
        <f t="shared" si="32"/>
        <v>8.911341638992079</v>
      </c>
      <c r="H278" s="26">
        <f t="shared" si="39"/>
        <v>-0.41999999999998039</v>
      </c>
      <c r="I278" s="26">
        <f t="shared" si="33"/>
        <v>15.295</v>
      </c>
      <c r="J278" t="str">
        <f t="shared" si="34"/>
        <v>Cooling</v>
      </c>
      <c r="K278" s="26">
        <f t="shared" si="35"/>
        <v>15.295</v>
      </c>
      <c r="L278" s="26">
        <f t="shared" si="36"/>
        <v>-0.41999999999998039</v>
      </c>
      <c r="N278">
        <f t="shared" si="37"/>
        <v>15.295</v>
      </c>
      <c r="O278">
        <f t="shared" si="38"/>
        <v>-0.41999999999998039</v>
      </c>
    </row>
    <row r="279" spans="1:15">
      <c r="A279" s="25">
        <v>46299.169444444437</v>
      </c>
      <c r="B279">
        <v>18.582000000000001</v>
      </c>
      <c r="C279">
        <v>53.442999999999998</v>
      </c>
      <c r="D279">
        <v>943.77200000000005</v>
      </c>
      <c r="E279">
        <v>3.2930000000000001</v>
      </c>
      <c r="F279">
        <v>0</v>
      </c>
      <c r="G279" s="26">
        <f t="shared" si="32"/>
        <v>8.9394613103504117</v>
      </c>
      <c r="H279" s="26">
        <f t="shared" si="39"/>
        <v>-0.49499999999996547</v>
      </c>
      <c r="I279" s="26">
        <f t="shared" si="33"/>
        <v>15.289000000000001</v>
      </c>
      <c r="J279" t="str">
        <f t="shared" si="34"/>
        <v>Cooling</v>
      </c>
      <c r="K279" s="26">
        <f t="shared" si="35"/>
        <v>15.289000000000001</v>
      </c>
      <c r="L279" s="26">
        <f t="shared" si="36"/>
        <v>-0.49499999999996547</v>
      </c>
      <c r="N279">
        <f t="shared" si="37"/>
        <v>15.289000000000001</v>
      </c>
      <c r="O279">
        <f t="shared" si="38"/>
        <v>-0.49499999999996547</v>
      </c>
    </row>
    <row r="280" spans="1:15">
      <c r="A280" s="25">
        <v>46299.170138888891</v>
      </c>
      <c r="B280">
        <v>18.577000000000002</v>
      </c>
      <c r="C280">
        <v>53.542999999999999</v>
      </c>
      <c r="D280">
        <v>943.74800000000005</v>
      </c>
      <c r="E280">
        <v>3.2919999999999998</v>
      </c>
      <c r="F280">
        <v>0</v>
      </c>
      <c r="G280" s="26">
        <f t="shared" si="32"/>
        <v>8.9625344748985754</v>
      </c>
      <c r="H280" s="26">
        <f t="shared" si="39"/>
        <v>-0.40500000000001535</v>
      </c>
      <c r="I280" s="26">
        <f t="shared" si="33"/>
        <v>15.285000000000002</v>
      </c>
      <c r="J280" t="str">
        <f t="shared" si="34"/>
        <v>Cooling</v>
      </c>
      <c r="K280" s="26">
        <f t="shared" si="35"/>
        <v>15.285000000000002</v>
      </c>
      <c r="L280" s="26">
        <f t="shared" si="36"/>
        <v>-0.40500000000001535</v>
      </c>
      <c r="N280">
        <f t="shared" si="37"/>
        <v>15.285000000000002</v>
      </c>
      <c r="O280">
        <f t="shared" si="38"/>
        <v>-0.40500000000001535</v>
      </c>
    </row>
    <row r="281" spans="1:15">
      <c r="A281" s="25">
        <v>46299.17083333333</v>
      </c>
      <c r="B281">
        <v>18.565000000000001</v>
      </c>
      <c r="C281">
        <v>53.487000000000002</v>
      </c>
      <c r="D281">
        <v>943.75699999999995</v>
      </c>
      <c r="E281">
        <v>3.29</v>
      </c>
      <c r="F281">
        <v>0</v>
      </c>
      <c r="G281" s="26">
        <f t="shared" si="32"/>
        <v>8.935888875732573</v>
      </c>
      <c r="H281" s="26">
        <f t="shared" si="39"/>
        <v>-0.48000000000000043</v>
      </c>
      <c r="I281" s="26">
        <f t="shared" si="33"/>
        <v>15.275000000000002</v>
      </c>
      <c r="J281" t="str">
        <f t="shared" si="34"/>
        <v>Cooling</v>
      </c>
      <c r="K281" s="26">
        <f t="shared" si="35"/>
        <v>15.275000000000002</v>
      </c>
      <c r="L281" s="26">
        <f t="shared" si="36"/>
        <v>-0.48000000000000043</v>
      </c>
      <c r="N281">
        <f t="shared" si="37"/>
        <v>15.275000000000002</v>
      </c>
      <c r="O281">
        <f t="shared" si="38"/>
        <v>-0.48000000000000043</v>
      </c>
    </row>
    <row r="282" spans="1:15">
      <c r="A282" s="25">
        <v>46299.171527777777</v>
      </c>
      <c r="B282">
        <v>18.562999999999999</v>
      </c>
      <c r="C282">
        <v>53.604999999999997</v>
      </c>
      <c r="D282">
        <v>943.68299999999999</v>
      </c>
      <c r="E282">
        <v>3.2879999999999998</v>
      </c>
      <c r="F282">
        <v>0</v>
      </c>
      <c r="G282" s="26">
        <f t="shared" si="32"/>
        <v>8.9667009152514421</v>
      </c>
      <c r="H282" s="26">
        <f t="shared" si="39"/>
        <v>-0.58500000000002217</v>
      </c>
      <c r="I282" s="26">
        <f t="shared" si="33"/>
        <v>15.274999999999999</v>
      </c>
      <c r="J282" t="str">
        <f t="shared" si="34"/>
        <v>Cooling</v>
      </c>
      <c r="K282" s="26">
        <f t="shared" si="35"/>
        <v>15.274999999999999</v>
      </c>
      <c r="L282" s="26">
        <f t="shared" si="36"/>
        <v>-0.58500000000002217</v>
      </c>
      <c r="N282">
        <f t="shared" si="37"/>
        <v>15.274999999999999</v>
      </c>
      <c r="O282">
        <f t="shared" si="38"/>
        <v>-0.58500000000002217</v>
      </c>
    </row>
    <row r="283" spans="1:15">
      <c r="A283" s="25">
        <v>46299.172222222223</v>
      </c>
      <c r="B283">
        <v>18.55</v>
      </c>
      <c r="C283">
        <v>53.534999999999997</v>
      </c>
      <c r="D283">
        <v>943.66200000000003</v>
      </c>
      <c r="E283">
        <v>3.2869999999999999</v>
      </c>
      <c r="F283">
        <v>0</v>
      </c>
      <c r="G283" s="26">
        <f t="shared" si="32"/>
        <v>8.9352676330864647</v>
      </c>
      <c r="H283" s="26">
        <f t="shared" si="39"/>
        <v>0.11999999999998678</v>
      </c>
      <c r="I283" s="26">
        <f t="shared" si="33"/>
        <v>15.263000000000002</v>
      </c>
      <c r="J283" t="str">
        <f t="shared" si="34"/>
        <v>Steady</v>
      </c>
      <c r="K283" s="26" t="str">
        <f t="shared" si="35"/>
        <v/>
      </c>
      <c r="L283" s="26" t="str">
        <f t="shared" si="36"/>
        <v/>
      </c>
      <c r="N283" t="e">
        <f t="shared" si="37"/>
        <v>#N/A</v>
      </c>
      <c r="O283" t="e">
        <f t="shared" si="38"/>
        <v>#N/A</v>
      </c>
    </row>
    <row r="284" spans="1:15">
      <c r="A284" s="25">
        <v>46299.17291666667</v>
      </c>
      <c r="B284">
        <v>18.538</v>
      </c>
      <c r="C284">
        <v>53.39</v>
      </c>
      <c r="D284">
        <v>943.64300000000003</v>
      </c>
      <c r="E284">
        <v>3.2850000000000001</v>
      </c>
      <c r="F284">
        <v>0</v>
      </c>
      <c r="G284" s="26">
        <f t="shared" si="32"/>
        <v>8.8839433108121426</v>
      </c>
      <c r="H284" s="26">
        <f t="shared" si="39"/>
        <v>1.485000000000003</v>
      </c>
      <c r="I284" s="26">
        <f t="shared" si="33"/>
        <v>15.253</v>
      </c>
      <c r="J284" t="str">
        <f t="shared" si="34"/>
        <v>Heating</v>
      </c>
      <c r="K284" s="26" t="str">
        <f t="shared" si="35"/>
        <v/>
      </c>
      <c r="L284" s="26" t="str">
        <f t="shared" si="36"/>
        <v/>
      </c>
      <c r="N284" t="e">
        <f t="shared" si="37"/>
        <v>#N/A</v>
      </c>
      <c r="O284" t="e">
        <f t="shared" si="38"/>
        <v>#N/A</v>
      </c>
    </row>
    <row r="285" spans="1:15">
      <c r="A285" s="25">
        <v>46299.173611111109</v>
      </c>
      <c r="B285">
        <v>18.573</v>
      </c>
      <c r="C285">
        <v>53.052999999999997</v>
      </c>
      <c r="D285">
        <v>943.63199999999995</v>
      </c>
      <c r="E285">
        <v>3.2829999999999999</v>
      </c>
      <c r="F285">
        <v>0</v>
      </c>
      <c r="G285" s="26">
        <f t="shared" si="32"/>
        <v>8.8226022352279649</v>
      </c>
      <c r="H285" s="26">
        <f t="shared" si="39"/>
        <v>3.5699999999999932</v>
      </c>
      <c r="I285" s="26">
        <f t="shared" si="33"/>
        <v>15.290000000000001</v>
      </c>
      <c r="J285" t="str">
        <f t="shared" si="34"/>
        <v>Heating</v>
      </c>
      <c r="K285" s="26" t="str">
        <f t="shared" si="35"/>
        <v/>
      </c>
      <c r="L285" s="26" t="str">
        <f t="shared" si="36"/>
        <v/>
      </c>
      <c r="N285" t="e">
        <f t="shared" si="37"/>
        <v>#N/A</v>
      </c>
      <c r="O285" t="e">
        <f t="shared" si="38"/>
        <v>#N/A</v>
      </c>
    </row>
    <row r="286" spans="1:15">
      <c r="A286" s="25">
        <v>46299.174305555563</v>
      </c>
      <c r="B286">
        <v>18.661999999999999</v>
      </c>
      <c r="C286">
        <v>52.56</v>
      </c>
      <c r="D286">
        <v>943.61</v>
      </c>
      <c r="E286">
        <v>3.282</v>
      </c>
      <c r="F286">
        <v>0</v>
      </c>
      <c r="G286" s="26">
        <f t="shared" si="32"/>
        <v>8.7668203087832932</v>
      </c>
      <c r="H286" s="26">
        <f t="shared" si="39"/>
        <v>5.9249999999999936</v>
      </c>
      <c r="I286" s="26">
        <f t="shared" si="33"/>
        <v>15.379999999999999</v>
      </c>
      <c r="J286" t="str">
        <f t="shared" si="34"/>
        <v>Heating</v>
      </c>
      <c r="K286" s="26" t="str">
        <f t="shared" si="35"/>
        <v/>
      </c>
      <c r="L286" s="26" t="str">
        <f t="shared" si="36"/>
        <v/>
      </c>
      <c r="N286" t="e">
        <f t="shared" si="37"/>
        <v>#N/A</v>
      </c>
      <c r="O286" t="e">
        <f t="shared" si="38"/>
        <v>#N/A</v>
      </c>
    </row>
    <row r="287" spans="1:15">
      <c r="A287" s="25">
        <v>46299.175000000003</v>
      </c>
      <c r="B287">
        <v>18.788</v>
      </c>
      <c r="C287">
        <v>52.008000000000003</v>
      </c>
      <c r="D287">
        <v>943.62699999999995</v>
      </c>
      <c r="E287">
        <v>3.28</v>
      </c>
      <c r="F287">
        <v>0</v>
      </c>
      <c r="G287" s="26">
        <f t="shared" si="32"/>
        <v>8.7271425841759864</v>
      </c>
      <c r="H287" s="26">
        <f t="shared" si="39"/>
        <v>6.9000000000000128</v>
      </c>
      <c r="I287" s="26">
        <f t="shared" si="33"/>
        <v>15.508000000000001</v>
      </c>
      <c r="J287" t="str">
        <f t="shared" si="34"/>
        <v>Heating</v>
      </c>
      <c r="K287" s="26" t="str">
        <f t="shared" si="35"/>
        <v/>
      </c>
      <c r="L287" s="26" t="str">
        <f t="shared" si="36"/>
        <v/>
      </c>
      <c r="N287" t="e">
        <f t="shared" si="37"/>
        <v>#N/A</v>
      </c>
      <c r="O287" t="e">
        <f t="shared" si="38"/>
        <v>#N/A</v>
      </c>
    </row>
    <row r="288" spans="1:15">
      <c r="A288" s="25">
        <v>46299.175694444442</v>
      </c>
      <c r="B288">
        <v>18.933</v>
      </c>
      <c r="C288">
        <v>51.39</v>
      </c>
      <c r="D288">
        <v>943.625</v>
      </c>
      <c r="E288">
        <v>3.278</v>
      </c>
      <c r="F288">
        <v>0</v>
      </c>
      <c r="G288" s="26">
        <f t="shared" si="32"/>
        <v>8.6842566265234566</v>
      </c>
      <c r="H288" s="26">
        <f t="shared" si="39"/>
        <v>5.9249999999999936</v>
      </c>
      <c r="I288" s="26">
        <f t="shared" si="33"/>
        <v>15.654999999999999</v>
      </c>
      <c r="J288" t="str">
        <f t="shared" si="34"/>
        <v>Heating</v>
      </c>
      <c r="K288" s="26" t="str">
        <f t="shared" si="35"/>
        <v/>
      </c>
      <c r="L288" s="26" t="str">
        <f t="shared" si="36"/>
        <v/>
      </c>
      <c r="N288" t="e">
        <f t="shared" si="37"/>
        <v>#N/A</v>
      </c>
      <c r="O288" t="e">
        <f t="shared" si="38"/>
        <v>#N/A</v>
      </c>
    </row>
    <row r="289" spans="1:15">
      <c r="A289" s="25">
        <v>46299.176388888889</v>
      </c>
      <c r="B289">
        <v>19.033000000000001</v>
      </c>
      <c r="C289">
        <v>51.427999999999997</v>
      </c>
      <c r="D289">
        <v>943.59799999999996</v>
      </c>
      <c r="E289">
        <v>3.2770000000000001</v>
      </c>
      <c r="F289">
        <v>0</v>
      </c>
      <c r="G289" s="26">
        <f t="shared" si="32"/>
        <v>8.7875267368632421</v>
      </c>
      <c r="H289" s="26">
        <f t="shared" si="39"/>
        <v>4.2750000000000021</v>
      </c>
      <c r="I289" s="26">
        <f t="shared" si="33"/>
        <v>15.756</v>
      </c>
      <c r="J289" t="str">
        <f t="shared" si="34"/>
        <v>Heating</v>
      </c>
      <c r="K289" s="26" t="str">
        <f t="shared" si="35"/>
        <v/>
      </c>
      <c r="L289" s="26" t="str">
        <f t="shared" si="36"/>
        <v/>
      </c>
      <c r="N289" t="e">
        <f t="shared" si="37"/>
        <v>#N/A</v>
      </c>
      <c r="O289" t="e">
        <f t="shared" si="38"/>
        <v>#N/A</v>
      </c>
    </row>
    <row r="290" spans="1:15">
      <c r="A290" s="25">
        <v>46299.177083333343</v>
      </c>
      <c r="B290">
        <v>19.056999999999999</v>
      </c>
      <c r="C290">
        <v>51.563000000000002</v>
      </c>
      <c r="D290">
        <v>943.57</v>
      </c>
      <c r="E290">
        <v>3.2749999999999999</v>
      </c>
      <c r="F290">
        <v>0</v>
      </c>
      <c r="G290" s="26">
        <f t="shared" si="32"/>
        <v>8.8485114845119259</v>
      </c>
      <c r="H290" s="26">
        <f t="shared" si="39"/>
        <v>1.485000000000003</v>
      </c>
      <c r="I290" s="26">
        <f t="shared" si="33"/>
        <v>15.781999999999998</v>
      </c>
      <c r="J290" t="str">
        <f t="shared" si="34"/>
        <v>Heating</v>
      </c>
      <c r="K290" s="26" t="str">
        <f t="shared" si="35"/>
        <v/>
      </c>
      <c r="L290" s="26" t="str">
        <f t="shared" si="36"/>
        <v/>
      </c>
      <c r="N290" t="e">
        <f t="shared" si="37"/>
        <v>#N/A</v>
      </c>
      <c r="O290" t="e">
        <f t="shared" si="38"/>
        <v>#N/A</v>
      </c>
    </row>
    <row r="291" spans="1:15">
      <c r="A291" s="25">
        <v>46299.177777777782</v>
      </c>
      <c r="B291">
        <v>19.073</v>
      </c>
      <c r="C291">
        <v>51.42</v>
      </c>
      <c r="D291">
        <v>943.548</v>
      </c>
      <c r="E291">
        <v>3.2730000000000001</v>
      </c>
      <c r="F291">
        <v>0</v>
      </c>
      <c r="G291" s="26">
        <f t="shared" si="32"/>
        <v>8.8221563205273679</v>
      </c>
      <c r="H291" s="26">
        <f t="shared" si="39"/>
        <v>-0.72000000000002728</v>
      </c>
      <c r="I291" s="26">
        <f t="shared" si="33"/>
        <v>15.8</v>
      </c>
      <c r="J291" t="str">
        <f t="shared" si="34"/>
        <v>Cooling</v>
      </c>
      <c r="K291" s="26">
        <f t="shared" si="35"/>
        <v>15.8</v>
      </c>
      <c r="L291" s="26">
        <f t="shared" si="36"/>
        <v>-0.72000000000002728</v>
      </c>
      <c r="N291">
        <f t="shared" si="37"/>
        <v>15.8</v>
      </c>
      <c r="O291">
        <f t="shared" si="38"/>
        <v>-0.72000000000002728</v>
      </c>
    </row>
    <row r="292" spans="1:15">
      <c r="A292" s="25">
        <v>46299.178472222222</v>
      </c>
      <c r="B292">
        <v>19.032</v>
      </c>
      <c r="C292">
        <v>51.591999999999999</v>
      </c>
      <c r="D292">
        <v>943.52700000000004</v>
      </c>
      <c r="E292">
        <v>3.2719999999999998</v>
      </c>
      <c r="F292">
        <v>0</v>
      </c>
      <c r="G292" s="26">
        <f t="shared" si="32"/>
        <v>8.833747816096464</v>
      </c>
      <c r="H292" s="26">
        <f t="shared" si="39"/>
        <v>-2.0100000000000051</v>
      </c>
      <c r="I292" s="26">
        <f t="shared" si="33"/>
        <v>15.76</v>
      </c>
      <c r="J292" t="str">
        <f t="shared" si="34"/>
        <v>Cooling</v>
      </c>
      <c r="K292" s="26">
        <f t="shared" si="35"/>
        <v>15.76</v>
      </c>
      <c r="L292" s="26">
        <f t="shared" si="36"/>
        <v>-2.0100000000000051</v>
      </c>
      <c r="N292">
        <f t="shared" si="37"/>
        <v>15.76</v>
      </c>
      <c r="O292">
        <f t="shared" si="38"/>
        <v>-2.0100000000000051</v>
      </c>
    </row>
    <row r="293" spans="1:15">
      <c r="A293" s="25">
        <v>46299.179166666669</v>
      </c>
      <c r="B293">
        <v>18.984999999999999</v>
      </c>
      <c r="C293">
        <v>51.7</v>
      </c>
      <c r="D293">
        <v>943.47299999999996</v>
      </c>
      <c r="E293">
        <v>3.27</v>
      </c>
      <c r="F293">
        <v>0</v>
      </c>
      <c r="G293" s="26">
        <f t="shared" si="32"/>
        <v>8.8212977348256025</v>
      </c>
      <c r="H293" s="26">
        <f t="shared" si="39"/>
        <v>-2.8199999999999825</v>
      </c>
      <c r="I293" s="26">
        <f t="shared" si="33"/>
        <v>15.715</v>
      </c>
      <c r="J293" t="str">
        <f t="shared" si="34"/>
        <v>Cooling</v>
      </c>
      <c r="K293" s="26">
        <f t="shared" si="35"/>
        <v>15.715</v>
      </c>
      <c r="L293" s="26">
        <f t="shared" si="36"/>
        <v>-2.8199999999999825</v>
      </c>
      <c r="N293">
        <f t="shared" si="37"/>
        <v>15.715</v>
      </c>
      <c r="O293">
        <f t="shared" si="38"/>
        <v>-2.8199999999999825</v>
      </c>
    </row>
    <row r="294" spans="1:15">
      <c r="A294" s="25">
        <v>46299.179861111108</v>
      </c>
      <c r="B294">
        <v>18.922999999999998</v>
      </c>
      <c r="C294">
        <v>52.012999999999998</v>
      </c>
      <c r="D294">
        <v>943.50300000000004</v>
      </c>
      <c r="E294">
        <v>3.2679999999999998</v>
      </c>
      <c r="F294">
        <v>0</v>
      </c>
      <c r="G294" s="26">
        <f t="shared" si="32"/>
        <v>8.8533885481644887</v>
      </c>
      <c r="H294" s="26">
        <f t="shared" si="39"/>
        <v>-2.6849999999999774</v>
      </c>
      <c r="I294" s="26">
        <f t="shared" si="33"/>
        <v>15.654999999999998</v>
      </c>
      <c r="J294" t="str">
        <f t="shared" si="34"/>
        <v>Cooling</v>
      </c>
      <c r="K294" s="26">
        <f t="shared" si="35"/>
        <v>15.654999999999998</v>
      </c>
      <c r="L294" s="26">
        <f t="shared" si="36"/>
        <v>-2.6849999999999774</v>
      </c>
      <c r="N294">
        <f t="shared" si="37"/>
        <v>15.654999999999998</v>
      </c>
      <c r="O294">
        <f t="shared" si="38"/>
        <v>-2.6849999999999774</v>
      </c>
    </row>
    <row r="295" spans="1:15">
      <c r="A295" s="25">
        <v>46299.180555555547</v>
      </c>
      <c r="B295">
        <v>18.885000000000002</v>
      </c>
      <c r="C295">
        <v>52.125</v>
      </c>
      <c r="D295">
        <v>943.49</v>
      </c>
      <c r="E295">
        <v>3.2669999999999999</v>
      </c>
      <c r="F295">
        <v>0</v>
      </c>
      <c r="G295" s="26">
        <f t="shared" si="32"/>
        <v>8.8501101699870368</v>
      </c>
      <c r="H295" s="26">
        <f t="shared" si="39"/>
        <v>-2.4450000000000038</v>
      </c>
      <c r="I295" s="26">
        <f t="shared" si="33"/>
        <v>15.618000000000002</v>
      </c>
      <c r="J295" t="str">
        <f t="shared" si="34"/>
        <v>Cooling</v>
      </c>
      <c r="K295" s="26">
        <f t="shared" si="35"/>
        <v>15.618000000000002</v>
      </c>
      <c r="L295" s="26">
        <f t="shared" si="36"/>
        <v>-2.4450000000000038</v>
      </c>
      <c r="N295">
        <f t="shared" si="37"/>
        <v>15.618000000000002</v>
      </c>
      <c r="O295">
        <f t="shared" si="38"/>
        <v>-2.4450000000000038</v>
      </c>
    </row>
    <row r="296" spans="1:15">
      <c r="A296" s="25">
        <v>46299.181250000001</v>
      </c>
      <c r="B296">
        <v>18.853000000000002</v>
      </c>
      <c r="C296">
        <v>52.517000000000003</v>
      </c>
      <c r="D296">
        <v>943.51</v>
      </c>
      <c r="E296">
        <v>3.2650000000000001</v>
      </c>
      <c r="F296">
        <v>0</v>
      </c>
      <c r="G296" s="26">
        <f t="shared" si="32"/>
        <v>8.9315134323961942</v>
      </c>
      <c r="H296" s="26">
        <f t="shared" si="39"/>
        <v>-1.9949999999999868</v>
      </c>
      <c r="I296" s="26">
        <f t="shared" si="33"/>
        <v>15.588000000000001</v>
      </c>
      <c r="J296" t="str">
        <f t="shared" si="34"/>
        <v>Cooling</v>
      </c>
      <c r="K296" s="26">
        <f t="shared" si="35"/>
        <v>15.588000000000001</v>
      </c>
      <c r="L296" s="26">
        <f t="shared" si="36"/>
        <v>-1.9949999999999868</v>
      </c>
      <c r="N296">
        <f t="shared" si="37"/>
        <v>15.588000000000001</v>
      </c>
      <c r="O296">
        <f t="shared" si="38"/>
        <v>-1.9949999999999868</v>
      </c>
    </row>
    <row r="297" spans="1:15">
      <c r="A297" s="25">
        <v>46299.181944444441</v>
      </c>
      <c r="B297">
        <v>18.821999999999999</v>
      </c>
      <c r="C297">
        <v>52.521999999999998</v>
      </c>
      <c r="D297">
        <v>943.50300000000004</v>
      </c>
      <c r="E297">
        <v>3.2629999999999999</v>
      </c>
      <c r="F297">
        <v>0</v>
      </c>
      <c r="G297" s="26">
        <f t="shared" si="32"/>
        <v>8.9042283514930887</v>
      </c>
      <c r="H297" s="26">
        <f t="shared" si="39"/>
        <v>-1.6800000000000281</v>
      </c>
      <c r="I297" s="26">
        <f t="shared" si="33"/>
        <v>15.558999999999999</v>
      </c>
      <c r="J297" t="str">
        <f t="shared" si="34"/>
        <v>Cooling</v>
      </c>
      <c r="K297" s="26">
        <f t="shared" si="35"/>
        <v>15.558999999999999</v>
      </c>
      <c r="L297" s="26">
        <f t="shared" si="36"/>
        <v>-1.6800000000000281</v>
      </c>
      <c r="N297">
        <f t="shared" si="37"/>
        <v>15.558999999999999</v>
      </c>
      <c r="O297">
        <f t="shared" si="38"/>
        <v>-1.6800000000000281</v>
      </c>
    </row>
    <row r="298" spans="1:15">
      <c r="A298" s="25">
        <v>46299.182638888888</v>
      </c>
      <c r="B298">
        <v>18.79</v>
      </c>
      <c r="C298">
        <v>52.695</v>
      </c>
      <c r="D298">
        <v>943.48199999999997</v>
      </c>
      <c r="E298">
        <v>3.262</v>
      </c>
      <c r="F298">
        <v>0</v>
      </c>
      <c r="G298" s="26">
        <f t="shared" si="32"/>
        <v>8.9233337796781473</v>
      </c>
      <c r="H298" s="26">
        <f t="shared" si="39"/>
        <v>-1.5150000000000396</v>
      </c>
      <c r="I298" s="26">
        <f t="shared" si="33"/>
        <v>15.527999999999999</v>
      </c>
      <c r="J298" t="str">
        <f t="shared" si="34"/>
        <v>Cooling</v>
      </c>
      <c r="K298" s="26">
        <f t="shared" si="35"/>
        <v>15.527999999999999</v>
      </c>
      <c r="L298" s="26">
        <f t="shared" si="36"/>
        <v>-1.5150000000000396</v>
      </c>
      <c r="N298">
        <f t="shared" si="37"/>
        <v>15.527999999999999</v>
      </c>
      <c r="O298">
        <f t="shared" si="38"/>
        <v>-1.5150000000000396</v>
      </c>
    </row>
    <row r="299" spans="1:15">
      <c r="A299" s="25">
        <v>46299.183333333327</v>
      </c>
      <c r="B299">
        <v>18.773</v>
      </c>
      <c r="C299">
        <v>52.552</v>
      </c>
      <c r="D299">
        <v>943.48199999999997</v>
      </c>
      <c r="E299">
        <v>3.26</v>
      </c>
      <c r="F299">
        <v>0</v>
      </c>
      <c r="G299" s="26">
        <f t="shared" si="32"/>
        <v>8.8673283418777729</v>
      </c>
      <c r="H299" s="26">
        <f t="shared" si="39"/>
        <v>-1.4099999999999646</v>
      </c>
      <c r="I299" s="26">
        <f t="shared" si="33"/>
        <v>15.513</v>
      </c>
      <c r="J299" t="str">
        <f t="shared" si="34"/>
        <v>Cooling</v>
      </c>
      <c r="K299" s="26">
        <f t="shared" si="35"/>
        <v>15.513</v>
      </c>
      <c r="L299" s="26">
        <f t="shared" si="36"/>
        <v>-1.4099999999999646</v>
      </c>
      <c r="N299">
        <f t="shared" si="37"/>
        <v>15.513</v>
      </c>
      <c r="O299">
        <f t="shared" si="38"/>
        <v>-1.4099999999999646</v>
      </c>
    </row>
    <row r="300" spans="1:15">
      <c r="A300" s="25">
        <v>46299.184027777781</v>
      </c>
      <c r="B300">
        <v>18.751999999999999</v>
      </c>
      <c r="C300">
        <v>52.688000000000002</v>
      </c>
      <c r="D300">
        <v>943.46299999999997</v>
      </c>
      <c r="E300">
        <v>3.258</v>
      </c>
      <c r="F300">
        <v>0</v>
      </c>
      <c r="G300" s="26">
        <f t="shared" si="32"/>
        <v>8.8861752281093391</v>
      </c>
      <c r="H300" s="26">
        <f t="shared" si="39"/>
        <v>-1.095000000000006</v>
      </c>
      <c r="I300" s="26">
        <f t="shared" si="33"/>
        <v>15.494</v>
      </c>
      <c r="J300" t="str">
        <f t="shared" si="34"/>
        <v>Cooling</v>
      </c>
      <c r="K300" s="26">
        <f t="shared" si="35"/>
        <v>15.494</v>
      </c>
      <c r="L300" s="26">
        <f t="shared" si="36"/>
        <v>-1.095000000000006</v>
      </c>
      <c r="N300">
        <f t="shared" si="37"/>
        <v>15.494</v>
      </c>
      <c r="O300">
        <f t="shared" si="38"/>
        <v>-1.095000000000006</v>
      </c>
    </row>
    <row r="301" spans="1:15">
      <c r="A301" s="25">
        <v>46299.18472222222</v>
      </c>
      <c r="B301">
        <v>18.728000000000002</v>
      </c>
      <c r="C301">
        <v>52.698</v>
      </c>
      <c r="D301">
        <v>943.447</v>
      </c>
      <c r="E301">
        <v>3.2570000000000001</v>
      </c>
      <c r="F301">
        <v>0</v>
      </c>
      <c r="G301" s="26">
        <f t="shared" si="32"/>
        <v>8.8667613321129632</v>
      </c>
      <c r="H301" s="26">
        <f t="shared" si="39"/>
        <v>-1.1999999999999744</v>
      </c>
      <c r="I301" s="26">
        <f t="shared" si="33"/>
        <v>15.471000000000002</v>
      </c>
      <c r="J301" t="str">
        <f t="shared" si="34"/>
        <v>Cooling</v>
      </c>
      <c r="K301" s="26">
        <f t="shared" si="35"/>
        <v>15.471000000000002</v>
      </c>
      <c r="L301" s="26">
        <f t="shared" si="36"/>
        <v>-1.1999999999999744</v>
      </c>
      <c r="N301">
        <f t="shared" si="37"/>
        <v>15.471000000000002</v>
      </c>
      <c r="O301">
        <f t="shared" si="38"/>
        <v>-1.1999999999999744</v>
      </c>
    </row>
    <row r="302" spans="1:15">
      <c r="A302" s="25">
        <v>46299.185416666667</v>
      </c>
      <c r="B302">
        <v>18.716999999999999</v>
      </c>
      <c r="C302">
        <v>52.77</v>
      </c>
      <c r="D302">
        <v>943.428</v>
      </c>
      <c r="E302">
        <v>3.2549999999999999</v>
      </c>
      <c r="F302">
        <v>0</v>
      </c>
      <c r="G302" s="26">
        <f t="shared" si="32"/>
        <v>8.876800685052002</v>
      </c>
      <c r="H302" s="26">
        <f t="shared" si="39"/>
        <v>-1.0050000000000026</v>
      </c>
      <c r="I302" s="26">
        <f t="shared" si="33"/>
        <v>15.462</v>
      </c>
      <c r="J302" t="str">
        <f t="shared" si="34"/>
        <v>Cooling</v>
      </c>
      <c r="K302" s="26">
        <f t="shared" si="35"/>
        <v>15.462</v>
      </c>
      <c r="L302" s="26">
        <f t="shared" si="36"/>
        <v>-1.0050000000000026</v>
      </c>
      <c r="N302">
        <f t="shared" si="37"/>
        <v>15.462</v>
      </c>
      <c r="O302">
        <f t="shared" si="38"/>
        <v>-1.0050000000000026</v>
      </c>
    </row>
    <row r="303" spans="1:15">
      <c r="A303" s="25">
        <v>46299.186111111107</v>
      </c>
      <c r="B303">
        <v>18.693000000000001</v>
      </c>
      <c r="C303">
        <v>52.857999999999997</v>
      </c>
      <c r="D303">
        <v>943.447</v>
      </c>
      <c r="E303">
        <v>3.2530000000000001</v>
      </c>
      <c r="F303">
        <v>0</v>
      </c>
      <c r="G303" s="26">
        <f t="shared" si="32"/>
        <v>8.8792546639768766</v>
      </c>
      <c r="H303" s="26">
        <f t="shared" si="39"/>
        <v>-0.82500000000004903</v>
      </c>
      <c r="I303" s="26">
        <f t="shared" si="33"/>
        <v>15.440000000000001</v>
      </c>
      <c r="J303" t="str">
        <f t="shared" si="34"/>
        <v>Cooling</v>
      </c>
      <c r="K303" s="26">
        <f t="shared" si="35"/>
        <v>15.440000000000001</v>
      </c>
      <c r="L303" s="26">
        <f t="shared" si="36"/>
        <v>-0.82500000000004903</v>
      </c>
      <c r="N303">
        <f t="shared" si="37"/>
        <v>15.440000000000001</v>
      </c>
      <c r="O303">
        <f t="shared" si="38"/>
        <v>-0.82500000000004903</v>
      </c>
    </row>
    <row r="304" spans="1:15">
      <c r="A304" s="25">
        <v>46299.186805555553</v>
      </c>
      <c r="B304">
        <v>18.684999999999999</v>
      </c>
      <c r="C304">
        <v>52.902000000000001</v>
      </c>
      <c r="D304">
        <v>943.43299999999999</v>
      </c>
      <c r="E304">
        <v>3.2519999999999998</v>
      </c>
      <c r="F304">
        <v>0</v>
      </c>
      <c r="G304" s="26">
        <f t="shared" si="32"/>
        <v>8.884170769528728</v>
      </c>
      <c r="H304" s="26">
        <f t="shared" si="39"/>
        <v>-0.8099999999999774</v>
      </c>
      <c r="I304" s="26">
        <f t="shared" si="33"/>
        <v>15.433</v>
      </c>
      <c r="J304" t="str">
        <f t="shared" si="34"/>
        <v>Cooling</v>
      </c>
      <c r="K304" s="26">
        <f t="shared" si="35"/>
        <v>15.433</v>
      </c>
      <c r="L304" s="26">
        <f t="shared" si="36"/>
        <v>-0.8099999999999774</v>
      </c>
      <c r="N304">
        <f t="shared" si="37"/>
        <v>15.433</v>
      </c>
      <c r="O304">
        <f t="shared" si="38"/>
        <v>-0.8099999999999774</v>
      </c>
    </row>
    <row r="305" spans="1:15">
      <c r="A305" s="25">
        <v>46299.1875</v>
      </c>
      <c r="B305">
        <v>18.672999999999998</v>
      </c>
      <c r="C305">
        <v>52.837000000000003</v>
      </c>
      <c r="D305">
        <v>943.40300000000002</v>
      </c>
      <c r="E305">
        <v>3.25</v>
      </c>
      <c r="F305">
        <v>0</v>
      </c>
      <c r="G305" s="26">
        <f t="shared" si="32"/>
        <v>8.854840080842763</v>
      </c>
      <c r="H305" s="26">
        <f t="shared" si="39"/>
        <v>-0.57000000000000384</v>
      </c>
      <c r="I305" s="26">
        <f t="shared" si="33"/>
        <v>15.422999999999998</v>
      </c>
      <c r="J305" t="str">
        <f t="shared" si="34"/>
        <v>Cooling</v>
      </c>
      <c r="K305" s="26">
        <f t="shared" si="35"/>
        <v>15.422999999999998</v>
      </c>
      <c r="L305" s="26">
        <f t="shared" si="36"/>
        <v>-0.57000000000000384</v>
      </c>
      <c r="N305">
        <f t="shared" si="37"/>
        <v>15.422999999999998</v>
      </c>
      <c r="O305">
        <f t="shared" si="38"/>
        <v>-0.57000000000000384</v>
      </c>
    </row>
    <row r="306" spans="1:15">
      <c r="A306" s="25">
        <v>46299.188194444447</v>
      </c>
      <c r="B306">
        <v>18.663</v>
      </c>
      <c r="C306">
        <v>52.923000000000002</v>
      </c>
      <c r="D306">
        <v>943.39</v>
      </c>
      <c r="E306">
        <v>3.2480000000000002</v>
      </c>
      <c r="F306">
        <v>0</v>
      </c>
      <c r="G306" s="26">
        <f t="shared" si="32"/>
        <v>8.8696669343179941</v>
      </c>
      <c r="H306" s="26">
        <f t="shared" si="39"/>
        <v>-0.62999999999997058</v>
      </c>
      <c r="I306" s="26">
        <f t="shared" si="33"/>
        <v>15.414999999999999</v>
      </c>
      <c r="J306" t="str">
        <f t="shared" si="34"/>
        <v>Cooling</v>
      </c>
      <c r="K306" s="26">
        <f t="shared" si="35"/>
        <v>15.414999999999999</v>
      </c>
      <c r="L306" s="26">
        <f t="shared" si="36"/>
        <v>-0.62999999999997058</v>
      </c>
      <c r="N306">
        <f t="shared" si="37"/>
        <v>15.414999999999999</v>
      </c>
      <c r="O306">
        <f t="shared" si="38"/>
        <v>-0.62999999999997058</v>
      </c>
    </row>
    <row r="307" spans="1:15">
      <c r="A307" s="25">
        <v>46299.188888888893</v>
      </c>
      <c r="B307">
        <v>18.655000000000001</v>
      </c>
      <c r="C307">
        <v>53.107999999999997</v>
      </c>
      <c r="D307">
        <v>943.322</v>
      </c>
      <c r="E307">
        <v>3.2469999999999999</v>
      </c>
      <c r="F307">
        <v>0</v>
      </c>
      <c r="G307" s="26">
        <f t="shared" si="32"/>
        <v>8.9139574582782686</v>
      </c>
      <c r="H307" s="26">
        <f t="shared" si="39"/>
        <v>-0.64499999999998892</v>
      </c>
      <c r="I307" s="26">
        <f t="shared" si="33"/>
        <v>15.408000000000001</v>
      </c>
      <c r="J307" t="str">
        <f t="shared" si="34"/>
        <v>Cooling</v>
      </c>
      <c r="K307" s="26">
        <f t="shared" si="35"/>
        <v>15.408000000000001</v>
      </c>
      <c r="L307" s="26">
        <f t="shared" si="36"/>
        <v>-0.64499999999998892</v>
      </c>
      <c r="N307">
        <f t="shared" si="37"/>
        <v>15.408000000000001</v>
      </c>
      <c r="O307">
        <f t="shared" si="38"/>
        <v>-0.64499999999998892</v>
      </c>
    </row>
    <row r="308" spans="1:15">
      <c r="A308" s="25">
        <v>46299.189583333333</v>
      </c>
      <c r="B308">
        <v>18.643000000000001</v>
      </c>
      <c r="C308">
        <v>52.981999999999999</v>
      </c>
      <c r="D308">
        <v>943.35</v>
      </c>
      <c r="E308">
        <v>3.2450000000000001</v>
      </c>
      <c r="F308">
        <v>0</v>
      </c>
      <c r="G308" s="26">
        <f t="shared" si="32"/>
        <v>8.8676406373004024</v>
      </c>
      <c r="H308" s="26">
        <f t="shared" si="39"/>
        <v>-0.68999999999999062</v>
      </c>
      <c r="I308" s="26">
        <f t="shared" si="33"/>
        <v>15.398</v>
      </c>
      <c r="J308" t="str">
        <f t="shared" si="34"/>
        <v>Cooling</v>
      </c>
      <c r="K308" s="26">
        <f t="shared" si="35"/>
        <v>15.398</v>
      </c>
      <c r="L308" s="26">
        <f t="shared" si="36"/>
        <v>-0.68999999999999062</v>
      </c>
      <c r="N308">
        <f t="shared" si="37"/>
        <v>15.398</v>
      </c>
      <c r="O308">
        <f t="shared" si="38"/>
        <v>-0.68999999999999062</v>
      </c>
    </row>
    <row r="309" spans="1:15">
      <c r="A309" s="25">
        <v>46299.19027777778</v>
      </c>
      <c r="B309">
        <v>18.63</v>
      </c>
      <c r="C309">
        <v>53.087000000000003</v>
      </c>
      <c r="D309">
        <v>943.31299999999999</v>
      </c>
      <c r="E309">
        <v>3.2429999999999999</v>
      </c>
      <c r="F309">
        <v>0</v>
      </c>
      <c r="G309" s="26">
        <f t="shared" si="32"/>
        <v>8.8849239745459769</v>
      </c>
      <c r="H309" s="26">
        <f t="shared" si="39"/>
        <v>-0.5550000000000388</v>
      </c>
      <c r="I309" s="26">
        <f t="shared" si="33"/>
        <v>15.386999999999999</v>
      </c>
      <c r="J309" t="str">
        <f t="shared" si="34"/>
        <v>Cooling</v>
      </c>
      <c r="K309" s="26">
        <f t="shared" si="35"/>
        <v>15.386999999999999</v>
      </c>
      <c r="L309" s="26">
        <f t="shared" si="36"/>
        <v>-0.5550000000000388</v>
      </c>
      <c r="N309">
        <f t="shared" si="37"/>
        <v>15.386999999999999</v>
      </c>
      <c r="O309">
        <f t="shared" si="38"/>
        <v>-0.5550000000000388</v>
      </c>
    </row>
    <row r="310" spans="1:15">
      <c r="A310" s="25">
        <v>46299.190972222219</v>
      </c>
      <c r="B310">
        <v>18.617000000000001</v>
      </c>
      <c r="C310">
        <v>52.935000000000002</v>
      </c>
      <c r="D310">
        <v>943.3</v>
      </c>
      <c r="E310">
        <v>3.242</v>
      </c>
      <c r="F310">
        <v>0</v>
      </c>
      <c r="G310" s="26">
        <f t="shared" si="32"/>
        <v>8.8304026214070159</v>
      </c>
      <c r="H310" s="26">
        <f t="shared" si="39"/>
        <v>-0.59999999999998721</v>
      </c>
      <c r="I310" s="26">
        <f t="shared" si="33"/>
        <v>15.375</v>
      </c>
      <c r="J310" t="str">
        <f t="shared" si="34"/>
        <v>Cooling</v>
      </c>
      <c r="K310" s="26">
        <f t="shared" si="35"/>
        <v>15.375</v>
      </c>
      <c r="L310" s="26">
        <f t="shared" si="36"/>
        <v>-0.59999999999998721</v>
      </c>
      <c r="N310">
        <f t="shared" si="37"/>
        <v>15.375</v>
      </c>
      <c r="O310">
        <f t="shared" si="38"/>
        <v>-0.59999999999998721</v>
      </c>
    </row>
    <row r="311" spans="1:15">
      <c r="A311" s="25">
        <v>46299.191666666673</v>
      </c>
      <c r="B311">
        <v>18.617999999999999</v>
      </c>
      <c r="C311">
        <v>53.128</v>
      </c>
      <c r="D311">
        <v>943.31500000000005</v>
      </c>
      <c r="E311">
        <v>3.24</v>
      </c>
      <c r="F311">
        <v>0</v>
      </c>
      <c r="G311" s="26">
        <f t="shared" si="32"/>
        <v>8.885238976639938</v>
      </c>
      <c r="H311" s="26">
        <f t="shared" si="39"/>
        <v>-0.59999999999998721</v>
      </c>
      <c r="I311" s="26">
        <f t="shared" si="33"/>
        <v>15.377999999999998</v>
      </c>
      <c r="J311" t="str">
        <f t="shared" si="34"/>
        <v>Cooling</v>
      </c>
      <c r="K311" s="26">
        <f t="shared" si="35"/>
        <v>15.377999999999998</v>
      </c>
      <c r="L311" s="26">
        <f t="shared" si="36"/>
        <v>-0.59999999999998721</v>
      </c>
      <c r="N311">
        <f t="shared" si="37"/>
        <v>15.377999999999998</v>
      </c>
      <c r="O311">
        <f t="shared" si="38"/>
        <v>-0.59999999999998721</v>
      </c>
    </row>
    <row r="312" spans="1:15">
      <c r="A312" s="25">
        <v>46299.192361111112</v>
      </c>
      <c r="B312">
        <v>18.603000000000002</v>
      </c>
      <c r="C312">
        <v>53.25</v>
      </c>
      <c r="D312">
        <v>943.30700000000002</v>
      </c>
      <c r="E312">
        <v>3.238</v>
      </c>
      <c r="F312">
        <v>0</v>
      </c>
      <c r="G312" s="26">
        <f t="shared" si="32"/>
        <v>8.9053189349081965</v>
      </c>
      <c r="H312" s="26">
        <f t="shared" si="39"/>
        <v>-0.52500000000000213</v>
      </c>
      <c r="I312" s="26">
        <f t="shared" si="33"/>
        <v>15.365000000000002</v>
      </c>
      <c r="J312" t="str">
        <f t="shared" si="34"/>
        <v>Cooling</v>
      </c>
      <c r="K312" s="26">
        <f t="shared" si="35"/>
        <v>15.365000000000002</v>
      </c>
      <c r="L312" s="26">
        <f t="shared" si="36"/>
        <v>-0.52500000000000213</v>
      </c>
      <c r="N312">
        <f t="shared" si="37"/>
        <v>15.365000000000002</v>
      </c>
      <c r="O312">
        <f t="shared" si="38"/>
        <v>-0.52500000000000213</v>
      </c>
    </row>
    <row r="313" spans="1:15">
      <c r="A313" s="25">
        <v>46299.193055555559</v>
      </c>
      <c r="B313">
        <v>18.59</v>
      </c>
      <c r="C313">
        <v>53.2</v>
      </c>
      <c r="D313">
        <v>943.31200000000001</v>
      </c>
      <c r="E313">
        <v>3.2370000000000001</v>
      </c>
      <c r="F313">
        <v>0</v>
      </c>
      <c r="G313" s="26">
        <f t="shared" si="32"/>
        <v>8.879346165124856</v>
      </c>
      <c r="H313" s="26">
        <f t="shared" si="39"/>
        <v>-0.49499999999996547</v>
      </c>
      <c r="I313" s="26">
        <f t="shared" si="33"/>
        <v>15.353</v>
      </c>
      <c r="J313" t="str">
        <f t="shared" si="34"/>
        <v>Cooling</v>
      </c>
      <c r="K313" s="26">
        <f t="shared" si="35"/>
        <v>15.353</v>
      </c>
      <c r="L313" s="26">
        <f t="shared" si="36"/>
        <v>-0.49499999999996547</v>
      </c>
      <c r="N313">
        <f t="shared" si="37"/>
        <v>15.353</v>
      </c>
      <c r="O313">
        <f t="shared" si="38"/>
        <v>-0.49499999999996547</v>
      </c>
    </row>
    <row r="314" spans="1:15">
      <c r="A314" s="25">
        <v>46299.193749999999</v>
      </c>
      <c r="B314">
        <v>18.582000000000001</v>
      </c>
      <c r="C314">
        <v>53.116999999999997</v>
      </c>
      <c r="D314">
        <v>943.29700000000003</v>
      </c>
      <c r="E314">
        <v>3.2349999999999999</v>
      </c>
      <c r="F314">
        <v>0</v>
      </c>
      <c r="G314" s="26">
        <f t="shared" si="32"/>
        <v>8.8488000280710999</v>
      </c>
      <c r="H314" s="26">
        <f t="shared" si="39"/>
        <v>-0.3000000000000469</v>
      </c>
      <c r="I314" s="26">
        <f t="shared" si="33"/>
        <v>15.347000000000001</v>
      </c>
      <c r="J314" t="str">
        <f t="shared" si="34"/>
        <v>Cooling</v>
      </c>
      <c r="K314" s="26">
        <f t="shared" si="35"/>
        <v>15.347000000000001</v>
      </c>
      <c r="L314" s="26">
        <f t="shared" si="36"/>
        <v>-0.3000000000000469</v>
      </c>
      <c r="N314">
        <f t="shared" si="37"/>
        <v>15.347000000000001</v>
      </c>
      <c r="O314">
        <f t="shared" si="38"/>
        <v>-0.3000000000000469</v>
      </c>
    </row>
    <row r="315" spans="1:15">
      <c r="A315" s="25">
        <v>46299.194444444453</v>
      </c>
      <c r="B315">
        <v>18.585000000000001</v>
      </c>
      <c r="C315">
        <v>53.307000000000002</v>
      </c>
      <c r="D315">
        <v>943.30799999999999</v>
      </c>
      <c r="E315">
        <v>3.2330000000000001</v>
      </c>
      <c r="F315">
        <v>0</v>
      </c>
      <c r="G315" s="26">
        <f t="shared" si="32"/>
        <v>8.9044810114244459</v>
      </c>
      <c r="H315" s="26">
        <f t="shared" si="39"/>
        <v>-0.18000000000000682</v>
      </c>
      <c r="I315" s="26">
        <f t="shared" si="33"/>
        <v>15.352</v>
      </c>
      <c r="J315" t="str">
        <f t="shared" si="34"/>
        <v>Steady</v>
      </c>
      <c r="K315" s="26" t="str">
        <f t="shared" si="35"/>
        <v/>
      </c>
      <c r="L315" s="26" t="str">
        <f t="shared" si="36"/>
        <v/>
      </c>
      <c r="N315" t="e">
        <f t="shared" si="37"/>
        <v>#N/A</v>
      </c>
      <c r="O315" t="e">
        <f t="shared" si="38"/>
        <v>#N/A</v>
      </c>
    </row>
    <row r="316" spans="1:15">
      <c r="A316" s="25">
        <v>46299.195138888892</v>
      </c>
      <c r="B316">
        <v>18.582999999999998</v>
      </c>
      <c r="C316">
        <v>53.323</v>
      </c>
      <c r="D316">
        <v>943.30200000000002</v>
      </c>
      <c r="E316">
        <v>3.2320000000000002</v>
      </c>
      <c r="F316">
        <v>0</v>
      </c>
      <c r="G316" s="26">
        <f t="shared" si="32"/>
        <v>8.907073355813985</v>
      </c>
      <c r="H316" s="26">
        <f t="shared" si="39"/>
        <v>-0.36000000000001364</v>
      </c>
      <c r="I316" s="26">
        <f t="shared" si="33"/>
        <v>15.350999999999999</v>
      </c>
      <c r="J316" t="str">
        <f t="shared" si="34"/>
        <v>Cooling</v>
      </c>
      <c r="K316" s="26">
        <f t="shared" si="35"/>
        <v>15.350999999999999</v>
      </c>
      <c r="L316" s="26">
        <f t="shared" si="36"/>
        <v>-0.36000000000001364</v>
      </c>
      <c r="N316">
        <f t="shared" si="37"/>
        <v>15.350999999999999</v>
      </c>
      <c r="O316">
        <f t="shared" si="38"/>
        <v>-0.36000000000001364</v>
      </c>
    </row>
    <row r="317" spans="1:15">
      <c r="A317" s="25">
        <v>46299.195833333331</v>
      </c>
      <c r="B317">
        <v>18.577999999999999</v>
      </c>
      <c r="C317">
        <v>53.298000000000002</v>
      </c>
      <c r="D317">
        <v>943.27200000000005</v>
      </c>
      <c r="E317">
        <v>3.23</v>
      </c>
      <c r="F317">
        <v>0</v>
      </c>
      <c r="G317" s="26">
        <f t="shared" si="32"/>
        <v>8.895487535918198</v>
      </c>
      <c r="H317" s="26">
        <f t="shared" si="39"/>
        <v>-0.42000000000003368</v>
      </c>
      <c r="I317" s="26">
        <f t="shared" si="33"/>
        <v>15.347999999999999</v>
      </c>
      <c r="J317" t="str">
        <f t="shared" si="34"/>
        <v>Cooling</v>
      </c>
      <c r="K317" s="26">
        <f t="shared" si="35"/>
        <v>15.347999999999999</v>
      </c>
      <c r="L317" s="26">
        <f t="shared" si="36"/>
        <v>-0.42000000000003368</v>
      </c>
      <c r="N317">
        <f t="shared" si="37"/>
        <v>15.347999999999999</v>
      </c>
      <c r="O317">
        <f t="shared" si="38"/>
        <v>-0.42000000000003368</v>
      </c>
    </row>
    <row r="318" spans="1:15">
      <c r="A318" s="25">
        <v>46299.196527777778</v>
      </c>
      <c r="B318">
        <v>18.558</v>
      </c>
      <c r="C318">
        <v>53.161999999999999</v>
      </c>
      <c r="D318">
        <v>943.25</v>
      </c>
      <c r="E318">
        <v>3.2280000000000002</v>
      </c>
      <c r="F318">
        <v>0</v>
      </c>
      <c r="G318" s="26">
        <f t="shared" si="32"/>
        <v>8.8390940306278978</v>
      </c>
      <c r="H318" s="26">
        <f t="shared" si="39"/>
        <v>-0.44999999999996376</v>
      </c>
      <c r="I318" s="26">
        <f t="shared" si="33"/>
        <v>15.33</v>
      </c>
      <c r="J318" t="str">
        <f t="shared" si="34"/>
        <v>Cooling</v>
      </c>
      <c r="K318" s="26">
        <f t="shared" si="35"/>
        <v>15.33</v>
      </c>
      <c r="L318" s="26">
        <f t="shared" si="36"/>
        <v>-0.44999999999996376</v>
      </c>
      <c r="N318">
        <f t="shared" si="37"/>
        <v>15.33</v>
      </c>
      <c r="O318">
        <f t="shared" si="38"/>
        <v>-0.44999999999996376</v>
      </c>
    </row>
    <row r="319" spans="1:15">
      <c r="A319" s="25">
        <v>46299.197222222218</v>
      </c>
      <c r="B319">
        <v>18.556999999999999</v>
      </c>
      <c r="C319">
        <v>53.19</v>
      </c>
      <c r="D319">
        <v>943.24</v>
      </c>
      <c r="E319">
        <v>3.2269999999999999</v>
      </c>
      <c r="F319">
        <v>0</v>
      </c>
      <c r="G319" s="26">
        <f t="shared" si="32"/>
        <v>8.8459657939518994</v>
      </c>
      <c r="H319" s="26">
        <f t="shared" si="39"/>
        <v>-0.29999999999999361</v>
      </c>
      <c r="I319" s="26">
        <f t="shared" si="33"/>
        <v>15.329999999999998</v>
      </c>
      <c r="J319" t="str">
        <f t="shared" si="34"/>
        <v>Cooling</v>
      </c>
      <c r="K319" s="26">
        <f t="shared" si="35"/>
        <v>15.329999999999998</v>
      </c>
      <c r="L319" s="26">
        <f t="shared" si="36"/>
        <v>-0.29999999999999361</v>
      </c>
      <c r="N319">
        <f t="shared" si="37"/>
        <v>15.329999999999998</v>
      </c>
      <c r="O319">
        <f t="shared" si="38"/>
        <v>-0.29999999999999361</v>
      </c>
    </row>
    <row r="320" spans="1:15">
      <c r="A320" s="25">
        <v>46299.197916666657</v>
      </c>
      <c r="B320">
        <v>18.553000000000001</v>
      </c>
      <c r="C320">
        <v>53.295000000000002</v>
      </c>
      <c r="D320">
        <v>943.21699999999998</v>
      </c>
      <c r="E320">
        <v>3.2250000000000001</v>
      </c>
      <c r="F320">
        <v>0</v>
      </c>
      <c r="G320" s="26">
        <f t="shared" si="32"/>
        <v>8.8714698178576779</v>
      </c>
      <c r="H320" s="26">
        <f t="shared" si="39"/>
        <v>-1.5000000000018332E-2</v>
      </c>
      <c r="I320" s="26">
        <f t="shared" si="33"/>
        <v>15.328000000000001</v>
      </c>
      <c r="J320" t="str">
        <f t="shared" si="34"/>
        <v>Steady</v>
      </c>
      <c r="K320" s="26" t="str">
        <f t="shared" si="35"/>
        <v/>
      </c>
      <c r="L320" s="26" t="str">
        <f t="shared" si="36"/>
        <v/>
      </c>
      <c r="N320" t="e">
        <f t="shared" si="37"/>
        <v>#N/A</v>
      </c>
      <c r="O320" t="e">
        <f t="shared" si="38"/>
        <v>#N/A</v>
      </c>
    </row>
    <row r="321" spans="1:15">
      <c r="A321" s="25">
        <v>46299.198611111111</v>
      </c>
      <c r="B321">
        <v>18.558</v>
      </c>
      <c r="C321">
        <v>53.357999999999997</v>
      </c>
      <c r="D321">
        <v>943.21</v>
      </c>
      <c r="E321">
        <v>3.2229999999999999</v>
      </c>
      <c r="F321">
        <v>0</v>
      </c>
      <c r="G321" s="26">
        <f t="shared" si="32"/>
        <v>8.8936103780055813</v>
      </c>
      <c r="H321" s="26">
        <f t="shared" si="39"/>
        <v>-0.2549999999999919</v>
      </c>
      <c r="I321" s="26">
        <f t="shared" si="33"/>
        <v>15.335000000000001</v>
      </c>
      <c r="J321" t="str">
        <f t="shared" si="34"/>
        <v>Cooling</v>
      </c>
      <c r="K321" s="26">
        <f t="shared" si="35"/>
        <v>15.335000000000001</v>
      </c>
      <c r="L321" s="26">
        <f t="shared" si="36"/>
        <v>-0.2549999999999919</v>
      </c>
      <c r="N321">
        <f t="shared" si="37"/>
        <v>15.335000000000001</v>
      </c>
      <c r="O321">
        <f t="shared" si="38"/>
        <v>-0.2549999999999919</v>
      </c>
    </row>
    <row r="322" spans="1:15">
      <c r="A322" s="25">
        <v>46299.199305555558</v>
      </c>
      <c r="B322">
        <v>18.556999999999999</v>
      </c>
      <c r="C322">
        <v>53.097000000000001</v>
      </c>
      <c r="D322">
        <v>943.202</v>
      </c>
      <c r="E322">
        <v>3.222</v>
      </c>
      <c r="F322">
        <v>0</v>
      </c>
      <c r="G322" s="26">
        <f t="shared" ref="G322:G385" si="40">243.04*(LN(C322/100)+17.625*B322/(243.04+B322))/(17.625-LN(C322/100)-17.625*B322/(243.04+B322))</f>
        <v>8.8200485225091825</v>
      </c>
      <c r="H322" s="26">
        <f t="shared" si="39"/>
        <v>-0.34499999999999531</v>
      </c>
      <c r="I322" s="26">
        <f t="shared" ref="I322:I385" si="41">B322-E322</f>
        <v>15.334999999999999</v>
      </c>
      <c r="J322" t="str">
        <f t="shared" ref="J322:J385" si="42">IF(H322="","",IF(H322&gt;0.6,"Heating",IF(H322&lt;-0.2,"Cooling","Steady")))</f>
        <v>Cooling</v>
      </c>
      <c r="K322" s="26">
        <f t="shared" ref="K322:K385" si="43">IF(J322="Cooling",I322,"")</f>
        <v>15.334999999999999</v>
      </c>
      <c r="L322" s="26">
        <f t="shared" ref="L322:L385" si="44">IF(J322="Cooling",H322,"")</f>
        <v>-0.34499999999999531</v>
      </c>
      <c r="N322">
        <f t="shared" ref="N322:N385" si="45">IF(K322="",NA(),K322)</f>
        <v>15.334999999999999</v>
      </c>
      <c r="O322">
        <f t="shared" ref="O322:O385" si="46">IF(L322="",NA(),L322)</f>
        <v>-0.34499999999999531</v>
      </c>
    </row>
    <row r="323" spans="1:15">
      <c r="A323" s="25">
        <v>46299.199999999997</v>
      </c>
      <c r="B323">
        <v>18.54</v>
      </c>
      <c r="C323">
        <v>53.25</v>
      </c>
      <c r="D323">
        <v>943.178</v>
      </c>
      <c r="E323">
        <v>3.22</v>
      </c>
      <c r="F323">
        <v>0</v>
      </c>
      <c r="G323" s="26">
        <f t="shared" si="40"/>
        <v>8.8469019991321716</v>
      </c>
      <c r="H323" s="26">
        <f t="shared" si="39"/>
        <v>-0.64499999999998892</v>
      </c>
      <c r="I323" s="26">
        <f t="shared" si="41"/>
        <v>15.319999999999999</v>
      </c>
      <c r="J323" t="str">
        <f t="shared" si="42"/>
        <v>Cooling</v>
      </c>
      <c r="K323" s="26">
        <f t="shared" si="43"/>
        <v>15.319999999999999</v>
      </c>
      <c r="L323" s="26">
        <f t="shared" si="44"/>
        <v>-0.64499999999998892</v>
      </c>
      <c r="N323">
        <f t="shared" si="45"/>
        <v>15.319999999999999</v>
      </c>
      <c r="O323">
        <f t="shared" si="46"/>
        <v>-0.64499999999998892</v>
      </c>
    </row>
    <row r="324" spans="1:15">
      <c r="A324" s="25">
        <v>46299.200694444437</v>
      </c>
      <c r="B324">
        <v>18.53</v>
      </c>
      <c r="C324">
        <v>53.328000000000003</v>
      </c>
      <c r="D324">
        <v>943.22299999999996</v>
      </c>
      <c r="E324">
        <v>3.218</v>
      </c>
      <c r="F324">
        <v>0</v>
      </c>
      <c r="G324" s="26">
        <f t="shared" si="40"/>
        <v>8.8593097493681778</v>
      </c>
      <c r="H324" s="26">
        <f t="shared" ref="H324:H387" si="47">(B326-B322)/4*60</f>
        <v>-0.67499999999997229</v>
      </c>
      <c r="I324" s="26">
        <f t="shared" si="41"/>
        <v>15.312000000000001</v>
      </c>
      <c r="J324" t="str">
        <f t="shared" si="42"/>
        <v>Cooling</v>
      </c>
      <c r="K324" s="26">
        <f t="shared" si="43"/>
        <v>15.312000000000001</v>
      </c>
      <c r="L324" s="26">
        <f t="shared" si="44"/>
        <v>-0.67499999999997229</v>
      </c>
      <c r="N324">
        <f t="shared" si="45"/>
        <v>15.312000000000001</v>
      </c>
      <c r="O324">
        <f t="shared" si="46"/>
        <v>-0.67499999999997229</v>
      </c>
    </row>
    <row r="325" spans="1:15">
      <c r="A325" s="25">
        <v>46299.201388888891</v>
      </c>
      <c r="B325">
        <v>18.515000000000001</v>
      </c>
      <c r="C325">
        <v>53.307000000000002</v>
      </c>
      <c r="D325">
        <v>943.2</v>
      </c>
      <c r="E325">
        <v>3.2170000000000001</v>
      </c>
      <c r="F325">
        <v>0</v>
      </c>
      <c r="G325" s="26">
        <f t="shared" si="40"/>
        <v>8.8395647417780676</v>
      </c>
      <c r="H325" s="26">
        <f t="shared" si="47"/>
        <v>-0.44999999999996376</v>
      </c>
      <c r="I325" s="26">
        <f t="shared" si="41"/>
        <v>15.298</v>
      </c>
      <c r="J325" t="str">
        <f t="shared" si="42"/>
        <v>Cooling</v>
      </c>
      <c r="K325" s="26">
        <f t="shared" si="43"/>
        <v>15.298</v>
      </c>
      <c r="L325" s="26">
        <f t="shared" si="44"/>
        <v>-0.44999999999996376</v>
      </c>
      <c r="N325">
        <f t="shared" si="45"/>
        <v>15.298</v>
      </c>
      <c r="O325">
        <f t="shared" si="46"/>
        <v>-0.44999999999996376</v>
      </c>
    </row>
    <row r="326" spans="1:15">
      <c r="A326" s="25">
        <v>46299.20208333333</v>
      </c>
      <c r="B326">
        <v>18.512</v>
      </c>
      <c r="C326">
        <v>53.402000000000001</v>
      </c>
      <c r="D326">
        <v>943.18700000000001</v>
      </c>
      <c r="E326">
        <v>3.2149999999999999</v>
      </c>
      <c r="F326">
        <v>0</v>
      </c>
      <c r="G326" s="26">
        <f t="shared" si="40"/>
        <v>8.8631560726954053</v>
      </c>
      <c r="H326" s="26">
        <f t="shared" si="47"/>
        <v>-0.48000000000000043</v>
      </c>
      <c r="I326" s="26">
        <f t="shared" si="41"/>
        <v>15.297000000000001</v>
      </c>
      <c r="J326" t="str">
        <f t="shared" si="42"/>
        <v>Cooling</v>
      </c>
      <c r="K326" s="26">
        <f t="shared" si="43"/>
        <v>15.297000000000001</v>
      </c>
      <c r="L326" s="26">
        <f t="shared" si="44"/>
        <v>-0.48000000000000043</v>
      </c>
      <c r="N326">
        <f t="shared" si="45"/>
        <v>15.297000000000001</v>
      </c>
      <c r="O326">
        <f t="shared" si="46"/>
        <v>-0.48000000000000043</v>
      </c>
    </row>
    <row r="327" spans="1:15">
      <c r="A327" s="25">
        <v>46299.202777777777</v>
      </c>
      <c r="B327">
        <v>18.510000000000002</v>
      </c>
      <c r="C327">
        <v>53.252000000000002</v>
      </c>
      <c r="D327">
        <v>943.202</v>
      </c>
      <c r="E327">
        <v>3.2130000000000001</v>
      </c>
      <c r="F327">
        <v>0</v>
      </c>
      <c r="G327" s="26">
        <f t="shared" si="40"/>
        <v>8.8196402192841212</v>
      </c>
      <c r="H327" s="26">
        <f t="shared" si="47"/>
        <v>-7.4999999999985079E-2</v>
      </c>
      <c r="I327" s="26">
        <f t="shared" si="41"/>
        <v>15.297000000000001</v>
      </c>
      <c r="J327" t="str">
        <f t="shared" si="42"/>
        <v>Steady</v>
      </c>
      <c r="K327" s="26" t="str">
        <f t="shared" si="43"/>
        <v/>
      </c>
      <c r="L327" s="26" t="str">
        <f t="shared" si="44"/>
        <v/>
      </c>
      <c r="N327" t="e">
        <f t="shared" si="45"/>
        <v>#N/A</v>
      </c>
      <c r="O327" t="e">
        <f t="shared" si="46"/>
        <v>#N/A</v>
      </c>
    </row>
    <row r="328" spans="1:15">
      <c r="A328" s="25">
        <v>46299.203472222223</v>
      </c>
      <c r="B328">
        <v>18.498000000000001</v>
      </c>
      <c r="C328">
        <v>53.3</v>
      </c>
      <c r="D328">
        <v>943.17200000000003</v>
      </c>
      <c r="E328">
        <v>3.2120000000000002</v>
      </c>
      <c r="F328">
        <v>0</v>
      </c>
      <c r="G328" s="26">
        <f t="shared" si="40"/>
        <v>8.8218544189234311</v>
      </c>
      <c r="H328" s="26">
        <f t="shared" si="47"/>
        <v>7.4999999999985079E-2</v>
      </c>
      <c r="I328" s="26">
        <f t="shared" si="41"/>
        <v>15.286000000000001</v>
      </c>
      <c r="J328" t="str">
        <f t="shared" si="42"/>
        <v>Steady</v>
      </c>
      <c r="K328" s="26" t="str">
        <f t="shared" si="43"/>
        <v/>
      </c>
      <c r="L328" s="26" t="str">
        <f t="shared" si="44"/>
        <v/>
      </c>
      <c r="N328" t="e">
        <f t="shared" si="45"/>
        <v>#N/A</v>
      </c>
      <c r="O328" t="e">
        <f t="shared" si="46"/>
        <v>#N/A</v>
      </c>
    </row>
    <row r="329" spans="1:15">
      <c r="A329" s="25">
        <v>46299.20416666667</v>
      </c>
      <c r="B329">
        <v>18.510000000000002</v>
      </c>
      <c r="C329">
        <v>53.232999999999997</v>
      </c>
      <c r="D329">
        <v>943.15800000000002</v>
      </c>
      <c r="E329">
        <v>3.21</v>
      </c>
      <c r="F329">
        <v>0</v>
      </c>
      <c r="G329" s="26">
        <f t="shared" si="40"/>
        <v>8.8143558114367995</v>
      </c>
      <c r="H329" s="26">
        <f t="shared" si="47"/>
        <v>0.59999999999998721</v>
      </c>
      <c r="I329" s="26">
        <f t="shared" si="41"/>
        <v>15.3</v>
      </c>
      <c r="J329" t="str">
        <f t="shared" si="42"/>
        <v>Steady</v>
      </c>
      <c r="K329" s="26" t="str">
        <f t="shared" si="43"/>
        <v/>
      </c>
      <c r="L329" s="26" t="str">
        <f t="shared" si="44"/>
        <v/>
      </c>
      <c r="N329" t="e">
        <f t="shared" si="45"/>
        <v>#N/A</v>
      </c>
      <c r="O329" t="e">
        <f t="shared" si="46"/>
        <v>#N/A</v>
      </c>
    </row>
    <row r="330" spans="1:15">
      <c r="A330" s="25">
        <v>46299.204861111109</v>
      </c>
      <c r="B330">
        <v>18.516999999999999</v>
      </c>
      <c r="C330">
        <v>53.28</v>
      </c>
      <c r="D330">
        <v>943.16800000000001</v>
      </c>
      <c r="E330">
        <v>3.2080000000000002</v>
      </c>
      <c r="F330">
        <v>0</v>
      </c>
      <c r="G330" s="26">
        <f t="shared" si="40"/>
        <v>8.8339160432120387</v>
      </c>
      <c r="H330" s="26">
        <f t="shared" si="47"/>
        <v>1.9799999999999685</v>
      </c>
      <c r="I330" s="26">
        <f t="shared" si="41"/>
        <v>15.308999999999999</v>
      </c>
      <c r="J330" t="str">
        <f t="shared" si="42"/>
        <v>Heating</v>
      </c>
      <c r="K330" s="26" t="str">
        <f t="shared" si="43"/>
        <v/>
      </c>
      <c r="L330" s="26" t="str">
        <f t="shared" si="44"/>
        <v/>
      </c>
      <c r="N330" t="e">
        <f t="shared" si="45"/>
        <v>#N/A</v>
      </c>
      <c r="O330" t="e">
        <f t="shared" si="46"/>
        <v>#N/A</v>
      </c>
    </row>
    <row r="331" spans="1:15">
      <c r="A331" s="25">
        <v>46299.205555555563</v>
      </c>
      <c r="B331">
        <v>18.55</v>
      </c>
      <c r="C331">
        <v>52.93</v>
      </c>
      <c r="D331">
        <v>943.173</v>
      </c>
      <c r="E331">
        <v>3.2069999999999999</v>
      </c>
      <c r="F331">
        <v>0</v>
      </c>
      <c r="G331" s="26">
        <f t="shared" si="40"/>
        <v>8.7669219888097327</v>
      </c>
      <c r="H331" s="26">
        <f t="shared" si="47"/>
        <v>3.7199999999999633</v>
      </c>
      <c r="I331" s="26">
        <f t="shared" si="41"/>
        <v>15.343</v>
      </c>
      <c r="J331" t="str">
        <f t="shared" si="42"/>
        <v>Heating</v>
      </c>
      <c r="K331" s="26" t="str">
        <f t="shared" si="43"/>
        <v/>
      </c>
      <c r="L331" s="26" t="str">
        <f t="shared" si="44"/>
        <v/>
      </c>
      <c r="N331" t="e">
        <f t="shared" si="45"/>
        <v>#N/A</v>
      </c>
      <c r="O331" t="e">
        <f t="shared" si="46"/>
        <v>#N/A</v>
      </c>
    </row>
    <row r="332" spans="1:15">
      <c r="A332" s="25">
        <v>46299.206250000003</v>
      </c>
      <c r="B332">
        <v>18.63</v>
      </c>
      <c r="C332">
        <v>52.27</v>
      </c>
      <c r="D332">
        <v>943.13699999999994</v>
      </c>
      <c r="E332">
        <v>3.2050000000000001</v>
      </c>
      <c r="F332">
        <v>0</v>
      </c>
      <c r="G332" s="26">
        <f t="shared" si="40"/>
        <v>8.6553425242029842</v>
      </c>
      <c r="H332" s="26">
        <f t="shared" si="47"/>
        <v>5.5950000000000166</v>
      </c>
      <c r="I332" s="26">
        <f t="shared" si="41"/>
        <v>15.424999999999999</v>
      </c>
      <c r="J332" t="str">
        <f t="shared" si="42"/>
        <v>Heating</v>
      </c>
      <c r="K332" s="26" t="str">
        <f t="shared" si="43"/>
        <v/>
      </c>
      <c r="L332" s="26" t="str">
        <f t="shared" si="44"/>
        <v/>
      </c>
      <c r="N332" t="e">
        <f t="shared" si="45"/>
        <v>#N/A</v>
      </c>
      <c r="O332" t="e">
        <f t="shared" si="46"/>
        <v>#N/A</v>
      </c>
    </row>
    <row r="333" spans="1:15">
      <c r="A333" s="25">
        <v>46299.206944444442</v>
      </c>
      <c r="B333">
        <v>18.757999999999999</v>
      </c>
      <c r="C333">
        <v>52.052999999999997</v>
      </c>
      <c r="D333">
        <v>943.12800000000004</v>
      </c>
      <c r="E333">
        <v>3.2029999999999998</v>
      </c>
      <c r="F333">
        <v>0</v>
      </c>
      <c r="G333" s="26">
        <f t="shared" si="40"/>
        <v>8.7121996314540482</v>
      </c>
      <c r="H333" s="26">
        <f t="shared" si="47"/>
        <v>7.2749999999999915</v>
      </c>
      <c r="I333" s="26">
        <f t="shared" si="41"/>
        <v>15.555</v>
      </c>
      <c r="J333" t="str">
        <f t="shared" si="42"/>
        <v>Heating</v>
      </c>
      <c r="K333" s="26" t="str">
        <f t="shared" si="43"/>
        <v/>
      </c>
      <c r="L333" s="26" t="str">
        <f t="shared" si="44"/>
        <v/>
      </c>
      <c r="N333" t="e">
        <f t="shared" si="45"/>
        <v>#N/A</v>
      </c>
      <c r="O333" t="e">
        <f t="shared" si="46"/>
        <v>#N/A</v>
      </c>
    </row>
    <row r="334" spans="1:15">
      <c r="A334" s="25">
        <v>46299.207638888889</v>
      </c>
      <c r="B334">
        <v>18.89</v>
      </c>
      <c r="C334">
        <v>51.527000000000001</v>
      </c>
      <c r="D334">
        <v>943.12199999999996</v>
      </c>
      <c r="E334">
        <v>3.202</v>
      </c>
      <c r="F334">
        <v>0</v>
      </c>
      <c r="G334" s="26">
        <f t="shared" si="40"/>
        <v>8.6839315695863935</v>
      </c>
      <c r="H334" s="26">
        <f t="shared" si="47"/>
        <v>6.3750000000000107</v>
      </c>
      <c r="I334" s="26">
        <f t="shared" si="41"/>
        <v>15.688000000000001</v>
      </c>
      <c r="J334" t="str">
        <f t="shared" si="42"/>
        <v>Heating</v>
      </c>
      <c r="K334" s="26" t="str">
        <f t="shared" si="43"/>
        <v/>
      </c>
      <c r="L334" s="26" t="str">
        <f t="shared" si="44"/>
        <v/>
      </c>
      <c r="N334" t="e">
        <f t="shared" si="45"/>
        <v>#N/A</v>
      </c>
      <c r="O334" t="e">
        <f t="shared" si="46"/>
        <v>#N/A</v>
      </c>
    </row>
    <row r="335" spans="1:15">
      <c r="A335" s="25">
        <v>46299.208333333343</v>
      </c>
      <c r="B335">
        <v>19.035</v>
      </c>
      <c r="C335">
        <v>51.156999999999996</v>
      </c>
      <c r="D335">
        <v>943.09</v>
      </c>
      <c r="E335">
        <v>3.2</v>
      </c>
      <c r="F335">
        <v>0</v>
      </c>
      <c r="G335" s="26">
        <f t="shared" si="40"/>
        <v>8.7111768934745619</v>
      </c>
      <c r="H335" s="26">
        <f t="shared" si="47"/>
        <v>4.6050000000000324</v>
      </c>
      <c r="I335" s="26">
        <f t="shared" si="41"/>
        <v>15.835000000000001</v>
      </c>
      <c r="J335" t="str">
        <f t="shared" si="42"/>
        <v>Heating</v>
      </c>
      <c r="K335" s="26" t="str">
        <f t="shared" si="43"/>
        <v/>
      </c>
      <c r="L335" s="26" t="str">
        <f t="shared" si="44"/>
        <v/>
      </c>
      <c r="N335" t="e">
        <f t="shared" si="45"/>
        <v>#N/A</v>
      </c>
      <c r="O335" t="e">
        <f t="shared" si="46"/>
        <v>#N/A</v>
      </c>
    </row>
    <row r="336" spans="1:15">
      <c r="A336" s="25">
        <v>46299.209027777782</v>
      </c>
      <c r="B336">
        <v>19.055</v>
      </c>
      <c r="C336">
        <v>51.06</v>
      </c>
      <c r="D336">
        <v>943.1</v>
      </c>
      <c r="E336">
        <v>3.1930000000000001</v>
      </c>
      <c r="F336">
        <v>0</v>
      </c>
      <c r="G336" s="26">
        <f t="shared" si="40"/>
        <v>8.7015500352445141</v>
      </c>
      <c r="H336" s="26">
        <f t="shared" si="47"/>
        <v>1.8450000000000166</v>
      </c>
      <c r="I336" s="26">
        <f t="shared" si="41"/>
        <v>15.862</v>
      </c>
      <c r="J336" t="str">
        <f t="shared" si="42"/>
        <v>Heating</v>
      </c>
      <c r="K336" s="26" t="str">
        <f t="shared" si="43"/>
        <v/>
      </c>
      <c r="L336" s="26" t="str">
        <f t="shared" si="44"/>
        <v/>
      </c>
      <c r="N336" t="e">
        <f t="shared" si="45"/>
        <v>#N/A</v>
      </c>
      <c r="O336" t="e">
        <f t="shared" si="46"/>
        <v>#N/A</v>
      </c>
    </row>
    <row r="337" spans="1:15">
      <c r="A337" s="25">
        <v>46299.209722222222</v>
      </c>
      <c r="B337">
        <v>19.065000000000001</v>
      </c>
      <c r="C337">
        <v>51.383000000000003</v>
      </c>
      <c r="D337">
        <v>943.08500000000004</v>
      </c>
      <c r="E337">
        <v>3.1869999999999998</v>
      </c>
      <c r="F337">
        <v>0</v>
      </c>
      <c r="G337" s="26">
        <f t="shared" si="40"/>
        <v>8.8041111900584621</v>
      </c>
      <c r="H337" s="26">
        <f t="shared" si="47"/>
        <v>-1.2000000000000277</v>
      </c>
      <c r="I337" s="26">
        <f t="shared" si="41"/>
        <v>15.878000000000002</v>
      </c>
      <c r="J337" t="str">
        <f t="shared" si="42"/>
        <v>Cooling</v>
      </c>
      <c r="K337" s="26">
        <f t="shared" si="43"/>
        <v>15.878000000000002</v>
      </c>
      <c r="L337" s="26">
        <f t="shared" si="44"/>
        <v>-1.2000000000000277</v>
      </c>
      <c r="N337">
        <f t="shared" si="45"/>
        <v>15.878000000000002</v>
      </c>
      <c r="O337">
        <f t="shared" si="46"/>
        <v>-1.2000000000000277</v>
      </c>
    </row>
    <row r="338" spans="1:15">
      <c r="A338" s="25">
        <v>46299.210416666669</v>
      </c>
      <c r="B338">
        <v>19.013000000000002</v>
      </c>
      <c r="C338">
        <v>51.548000000000002</v>
      </c>
      <c r="D338">
        <v>943.07799999999997</v>
      </c>
      <c r="E338">
        <v>3.18</v>
      </c>
      <c r="F338">
        <v>0</v>
      </c>
      <c r="G338" s="26">
        <f t="shared" si="40"/>
        <v>8.8035639770653162</v>
      </c>
      <c r="H338" s="26">
        <f t="shared" si="47"/>
        <v>-2.1749999999999936</v>
      </c>
      <c r="I338" s="26">
        <f t="shared" si="41"/>
        <v>15.833000000000002</v>
      </c>
      <c r="J338" t="str">
        <f t="shared" si="42"/>
        <v>Cooling</v>
      </c>
      <c r="K338" s="26">
        <f t="shared" si="43"/>
        <v>15.833000000000002</v>
      </c>
      <c r="L338" s="26">
        <f t="shared" si="44"/>
        <v>-2.1749999999999936</v>
      </c>
      <c r="N338">
        <f t="shared" si="45"/>
        <v>15.833000000000002</v>
      </c>
      <c r="O338">
        <f t="shared" si="46"/>
        <v>-2.1749999999999936</v>
      </c>
    </row>
    <row r="339" spans="1:15">
      <c r="A339" s="25">
        <v>46299.211111111108</v>
      </c>
      <c r="B339">
        <v>18.954999999999998</v>
      </c>
      <c r="C339">
        <v>51.795000000000002</v>
      </c>
      <c r="D339">
        <v>943.05700000000002</v>
      </c>
      <c r="E339">
        <v>3.173</v>
      </c>
      <c r="F339">
        <v>0</v>
      </c>
      <c r="G339" s="26">
        <f t="shared" si="40"/>
        <v>8.8207630827592531</v>
      </c>
      <c r="H339" s="26">
        <f t="shared" si="47"/>
        <v>-2.8800000000000026</v>
      </c>
      <c r="I339" s="26">
        <f t="shared" si="41"/>
        <v>15.781999999999998</v>
      </c>
      <c r="J339" t="str">
        <f t="shared" si="42"/>
        <v>Cooling</v>
      </c>
      <c r="K339" s="26">
        <f t="shared" si="43"/>
        <v>15.781999999999998</v>
      </c>
      <c r="L339" s="26">
        <f t="shared" si="44"/>
        <v>-2.8800000000000026</v>
      </c>
      <c r="N339">
        <f t="shared" si="45"/>
        <v>15.781999999999998</v>
      </c>
      <c r="O339">
        <f t="shared" si="46"/>
        <v>-2.8800000000000026</v>
      </c>
    </row>
    <row r="340" spans="1:15">
      <c r="A340" s="25">
        <v>46299.211805555547</v>
      </c>
      <c r="B340">
        <v>18.91</v>
      </c>
      <c r="C340">
        <v>51.887999999999998</v>
      </c>
      <c r="D340">
        <v>943.02800000000002</v>
      </c>
      <c r="E340">
        <v>3.1669999999999998</v>
      </c>
      <c r="F340">
        <v>0</v>
      </c>
      <c r="G340" s="26">
        <f t="shared" si="40"/>
        <v>8.8057363996865679</v>
      </c>
      <c r="H340" s="26">
        <f t="shared" si="47"/>
        <v>-2.6700000000000124</v>
      </c>
      <c r="I340" s="26">
        <f t="shared" si="41"/>
        <v>15.743</v>
      </c>
      <c r="J340" t="str">
        <f t="shared" si="42"/>
        <v>Cooling</v>
      </c>
      <c r="K340" s="26">
        <f t="shared" si="43"/>
        <v>15.743</v>
      </c>
      <c r="L340" s="26">
        <f t="shared" si="44"/>
        <v>-2.6700000000000124</v>
      </c>
      <c r="N340">
        <f t="shared" si="45"/>
        <v>15.743</v>
      </c>
      <c r="O340">
        <f t="shared" si="46"/>
        <v>-2.6700000000000124</v>
      </c>
    </row>
    <row r="341" spans="1:15">
      <c r="A341" s="25">
        <v>46299.212500000001</v>
      </c>
      <c r="B341">
        <v>18.873000000000001</v>
      </c>
      <c r="C341">
        <v>51.984999999999999</v>
      </c>
      <c r="D341">
        <v>943.03499999999997</v>
      </c>
      <c r="E341">
        <v>3.16</v>
      </c>
      <c r="F341">
        <v>0</v>
      </c>
      <c r="G341" s="26">
        <f t="shared" si="40"/>
        <v>8.7991853330271255</v>
      </c>
      <c r="H341" s="26">
        <f t="shared" si="47"/>
        <v>-2.5499999999999723</v>
      </c>
      <c r="I341" s="26">
        <f t="shared" si="41"/>
        <v>15.713000000000001</v>
      </c>
      <c r="J341" t="str">
        <f t="shared" si="42"/>
        <v>Cooling</v>
      </c>
      <c r="K341" s="26">
        <f t="shared" si="43"/>
        <v>15.713000000000001</v>
      </c>
      <c r="L341" s="26">
        <f t="shared" si="44"/>
        <v>-2.5499999999999723</v>
      </c>
      <c r="N341">
        <f t="shared" si="45"/>
        <v>15.713000000000001</v>
      </c>
      <c r="O341">
        <f t="shared" si="46"/>
        <v>-2.5499999999999723</v>
      </c>
    </row>
    <row r="342" spans="1:15">
      <c r="A342" s="25">
        <v>46299.213194444441</v>
      </c>
      <c r="B342">
        <v>18.835000000000001</v>
      </c>
      <c r="C342">
        <v>52.164999999999999</v>
      </c>
      <c r="D342">
        <v>943</v>
      </c>
      <c r="E342">
        <v>3.153</v>
      </c>
      <c r="F342">
        <v>0</v>
      </c>
      <c r="G342" s="26">
        <f t="shared" si="40"/>
        <v>8.8152261960840708</v>
      </c>
      <c r="H342" s="26">
        <f t="shared" si="47"/>
        <v>-2.3250000000000171</v>
      </c>
      <c r="I342" s="26">
        <f t="shared" si="41"/>
        <v>15.682</v>
      </c>
      <c r="J342" t="str">
        <f t="shared" si="42"/>
        <v>Cooling</v>
      </c>
      <c r="K342" s="26">
        <f t="shared" si="43"/>
        <v>15.682</v>
      </c>
      <c r="L342" s="26">
        <f t="shared" si="44"/>
        <v>-2.3250000000000171</v>
      </c>
      <c r="N342">
        <f t="shared" si="45"/>
        <v>15.682</v>
      </c>
      <c r="O342">
        <f t="shared" si="46"/>
        <v>-2.3250000000000171</v>
      </c>
    </row>
    <row r="343" spans="1:15">
      <c r="A343" s="25">
        <v>46299.213888888888</v>
      </c>
      <c r="B343">
        <v>18.785</v>
      </c>
      <c r="C343">
        <v>52.32</v>
      </c>
      <c r="D343">
        <v>943.02</v>
      </c>
      <c r="E343">
        <v>3.1469999999999998</v>
      </c>
      <c r="F343">
        <v>0</v>
      </c>
      <c r="G343" s="26">
        <f t="shared" si="40"/>
        <v>8.8129045946233315</v>
      </c>
      <c r="H343" s="26">
        <f t="shared" si="47"/>
        <v>-2.1450000000000102</v>
      </c>
      <c r="I343" s="26">
        <f t="shared" si="41"/>
        <v>15.638</v>
      </c>
      <c r="J343" t="str">
        <f t="shared" si="42"/>
        <v>Cooling</v>
      </c>
      <c r="K343" s="26">
        <f t="shared" si="43"/>
        <v>15.638</v>
      </c>
      <c r="L343" s="26">
        <f t="shared" si="44"/>
        <v>-2.1450000000000102</v>
      </c>
      <c r="N343">
        <f t="shared" si="45"/>
        <v>15.638</v>
      </c>
      <c r="O343">
        <f t="shared" si="46"/>
        <v>-2.1450000000000102</v>
      </c>
    </row>
    <row r="344" spans="1:15">
      <c r="A344" s="25">
        <v>46299.214583333327</v>
      </c>
      <c r="B344">
        <v>18.754999999999999</v>
      </c>
      <c r="C344">
        <v>52.506999999999998</v>
      </c>
      <c r="D344">
        <v>942.99699999999996</v>
      </c>
      <c r="E344">
        <v>3.14</v>
      </c>
      <c r="F344">
        <v>0</v>
      </c>
      <c r="G344" s="26">
        <f t="shared" si="40"/>
        <v>8.8379762530447525</v>
      </c>
      <c r="H344" s="26">
        <f t="shared" si="47"/>
        <v>-1.9200000000000017</v>
      </c>
      <c r="I344" s="26">
        <f t="shared" si="41"/>
        <v>15.614999999999998</v>
      </c>
      <c r="J344" t="str">
        <f t="shared" si="42"/>
        <v>Cooling</v>
      </c>
      <c r="K344" s="26">
        <f t="shared" si="43"/>
        <v>15.614999999999998</v>
      </c>
      <c r="L344" s="26">
        <f t="shared" si="44"/>
        <v>-1.9200000000000017</v>
      </c>
      <c r="N344">
        <f t="shared" si="45"/>
        <v>15.614999999999998</v>
      </c>
      <c r="O344">
        <f t="shared" si="46"/>
        <v>-1.9200000000000017</v>
      </c>
    </row>
    <row r="345" spans="1:15">
      <c r="A345" s="25">
        <v>46299.215277777781</v>
      </c>
      <c r="B345">
        <v>18.73</v>
      </c>
      <c r="C345">
        <v>52.578000000000003</v>
      </c>
      <c r="D345">
        <v>943.01199999999994</v>
      </c>
      <c r="E345">
        <v>3.133</v>
      </c>
      <c r="F345">
        <v>0</v>
      </c>
      <c r="G345" s="26">
        <f t="shared" si="40"/>
        <v>8.8348456660731696</v>
      </c>
      <c r="H345" s="26">
        <f t="shared" si="47"/>
        <v>-1.3949999999999996</v>
      </c>
      <c r="I345" s="26">
        <f t="shared" si="41"/>
        <v>15.597000000000001</v>
      </c>
      <c r="J345" t="str">
        <f t="shared" si="42"/>
        <v>Cooling</v>
      </c>
      <c r="K345" s="26">
        <f t="shared" si="43"/>
        <v>15.597000000000001</v>
      </c>
      <c r="L345" s="26">
        <f t="shared" si="44"/>
        <v>-1.3949999999999996</v>
      </c>
      <c r="N345">
        <f t="shared" si="45"/>
        <v>15.597000000000001</v>
      </c>
      <c r="O345">
        <f t="shared" si="46"/>
        <v>-1.3949999999999996</v>
      </c>
    </row>
    <row r="346" spans="1:15">
      <c r="A346" s="25">
        <v>46299.21597222222</v>
      </c>
      <c r="B346">
        <v>18.707000000000001</v>
      </c>
      <c r="C346">
        <v>52.655000000000001</v>
      </c>
      <c r="D346">
        <v>942.97699999999998</v>
      </c>
      <c r="E346">
        <v>3.1269999999999998</v>
      </c>
      <c r="F346">
        <v>0</v>
      </c>
      <c r="G346" s="26">
        <f t="shared" si="40"/>
        <v>8.8352233994053666</v>
      </c>
      <c r="H346" s="26">
        <f t="shared" si="47"/>
        <v>-1.2449999999999761</v>
      </c>
      <c r="I346" s="26">
        <f t="shared" si="41"/>
        <v>15.580000000000002</v>
      </c>
      <c r="J346" t="str">
        <f t="shared" si="42"/>
        <v>Cooling</v>
      </c>
      <c r="K346" s="26">
        <f t="shared" si="43"/>
        <v>15.580000000000002</v>
      </c>
      <c r="L346" s="26">
        <f t="shared" si="44"/>
        <v>-1.2449999999999761</v>
      </c>
      <c r="N346">
        <f t="shared" si="45"/>
        <v>15.580000000000002</v>
      </c>
      <c r="O346">
        <f t="shared" si="46"/>
        <v>-1.2449999999999761</v>
      </c>
    </row>
    <row r="347" spans="1:15">
      <c r="A347" s="25">
        <v>46299.216666666667</v>
      </c>
      <c r="B347">
        <v>18.692</v>
      </c>
      <c r="C347">
        <v>52.607999999999997</v>
      </c>
      <c r="D347">
        <v>942.96699999999998</v>
      </c>
      <c r="E347">
        <v>3.12</v>
      </c>
      <c r="F347">
        <v>0</v>
      </c>
      <c r="G347" s="26">
        <f t="shared" si="40"/>
        <v>8.8081100112740138</v>
      </c>
      <c r="H347" s="26">
        <f t="shared" si="47"/>
        <v>-1.0050000000000026</v>
      </c>
      <c r="I347" s="26">
        <f t="shared" si="41"/>
        <v>15.571999999999999</v>
      </c>
      <c r="J347" t="str">
        <f t="shared" si="42"/>
        <v>Cooling</v>
      </c>
      <c r="K347" s="26">
        <f t="shared" si="43"/>
        <v>15.571999999999999</v>
      </c>
      <c r="L347" s="26">
        <f t="shared" si="44"/>
        <v>-1.0050000000000026</v>
      </c>
      <c r="N347">
        <f t="shared" si="45"/>
        <v>15.571999999999999</v>
      </c>
      <c r="O347">
        <f t="shared" si="46"/>
        <v>-1.0050000000000026</v>
      </c>
    </row>
    <row r="348" spans="1:15">
      <c r="A348" s="25">
        <v>46299.217361111107</v>
      </c>
      <c r="B348">
        <v>18.672000000000001</v>
      </c>
      <c r="C348">
        <v>52.704999999999998</v>
      </c>
      <c r="D348">
        <v>942.95299999999997</v>
      </c>
      <c r="E348">
        <v>3.113</v>
      </c>
      <c r="F348">
        <v>0</v>
      </c>
      <c r="G348" s="26">
        <f t="shared" si="40"/>
        <v>8.8168675241192425</v>
      </c>
      <c r="H348" s="26">
        <f t="shared" si="47"/>
        <v>-0.90000000000003411</v>
      </c>
      <c r="I348" s="26">
        <f t="shared" si="41"/>
        <v>15.559000000000001</v>
      </c>
      <c r="J348" t="str">
        <f t="shared" si="42"/>
        <v>Cooling</v>
      </c>
      <c r="K348" s="26">
        <f t="shared" si="43"/>
        <v>15.559000000000001</v>
      </c>
      <c r="L348" s="26">
        <f t="shared" si="44"/>
        <v>-0.90000000000003411</v>
      </c>
      <c r="N348">
        <f t="shared" si="45"/>
        <v>15.559000000000001</v>
      </c>
      <c r="O348">
        <f t="shared" si="46"/>
        <v>-0.90000000000003411</v>
      </c>
    </row>
    <row r="349" spans="1:15">
      <c r="A349" s="25">
        <v>46299.218055555553</v>
      </c>
      <c r="B349">
        <v>18.663</v>
      </c>
      <c r="C349">
        <v>52.796999999999997</v>
      </c>
      <c r="D349">
        <v>942.98500000000001</v>
      </c>
      <c r="E349">
        <v>3.1070000000000002</v>
      </c>
      <c r="F349">
        <v>0</v>
      </c>
      <c r="G349" s="26">
        <f t="shared" si="40"/>
        <v>8.8343595534299002</v>
      </c>
      <c r="H349" s="26">
        <f t="shared" si="47"/>
        <v>-0.97500000000001918</v>
      </c>
      <c r="I349" s="26">
        <f t="shared" si="41"/>
        <v>15.556000000000001</v>
      </c>
      <c r="J349" t="str">
        <f t="shared" si="42"/>
        <v>Cooling</v>
      </c>
      <c r="K349" s="26">
        <f t="shared" si="43"/>
        <v>15.556000000000001</v>
      </c>
      <c r="L349" s="26">
        <f t="shared" si="44"/>
        <v>-0.97500000000001918</v>
      </c>
      <c r="N349">
        <f t="shared" si="45"/>
        <v>15.556000000000001</v>
      </c>
      <c r="O349">
        <f t="shared" si="46"/>
        <v>-0.97500000000001918</v>
      </c>
    </row>
    <row r="350" spans="1:15">
      <c r="A350" s="25">
        <v>46299.21875</v>
      </c>
      <c r="B350">
        <v>18.646999999999998</v>
      </c>
      <c r="C350">
        <v>52.872999999999998</v>
      </c>
      <c r="D350">
        <v>942.952</v>
      </c>
      <c r="E350">
        <v>3.1</v>
      </c>
      <c r="F350">
        <v>0</v>
      </c>
      <c r="G350" s="26">
        <f t="shared" si="40"/>
        <v>8.8408416528853202</v>
      </c>
      <c r="H350" s="26">
        <f t="shared" si="47"/>
        <v>-0.73499999999999233</v>
      </c>
      <c r="I350" s="26">
        <f t="shared" si="41"/>
        <v>15.546999999999999</v>
      </c>
      <c r="J350" t="str">
        <f t="shared" si="42"/>
        <v>Cooling</v>
      </c>
      <c r="K350" s="26">
        <f t="shared" si="43"/>
        <v>15.546999999999999</v>
      </c>
      <c r="L350" s="26">
        <f t="shared" si="44"/>
        <v>-0.73499999999999233</v>
      </c>
      <c r="N350">
        <f t="shared" si="45"/>
        <v>15.546999999999999</v>
      </c>
      <c r="O350">
        <f t="shared" si="46"/>
        <v>-0.73499999999999233</v>
      </c>
    </row>
    <row r="351" spans="1:15">
      <c r="A351" s="25">
        <v>46299.219444444447</v>
      </c>
      <c r="B351">
        <v>18.626999999999999</v>
      </c>
      <c r="C351">
        <v>53.031999999999996</v>
      </c>
      <c r="D351">
        <v>942.98299999999995</v>
      </c>
      <c r="E351">
        <v>3.093</v>
      </c>
      <c r="F351">
        <v>0</v>
      </c>
      <c r="G351" s="26">
        <f t="shared" si="40"/>
        <v>8.8667865281467364</v>
      </c>
      <c r="H351" s="26">
        <f t="shared" si="47"/>
        <v>-0.91499999999999915</v>
      </c>
      <c r="I351" s="26">
        <f t="shared" si="41"/>
        <v>15.533999999999999</v>
      </c>
      <c r="J351" t="str">
        <f t="shared" si="42"/>
        <v>Cooling</v>
      </c>
      <c r="K351" s="26">
        <f t="shared" si="43"/>
        <v>15.533999999999999</v>
      </c>
      <c r="L351" s="26">
        <f t="shared" si="44"/>
        <v>-0.91499999999999915</v>
      </c>
      <c r="N351">
        <f t="shared" si="45"/>
        <v>15.533999999999999</v>
      </c>
      <c r="O351">
        <f t="shared" si="46"/>
        <v>-0.91499999999999915</v>
      </c>
    </row>
    <row r="352" spans="1:15">
      <c r="A352" s="25">
        <v>46299.220138888893</v>
      </c>
      <c r="B352">
        <v>18.623000000000001</v>
      </c>
      <c r="C352">
        <v>52.866999999999997</v>
      </c>
      <c r="D352">
        <v>942.97199999999998</v>
      </c>
      <c r="E352">
        <v>3.0870000000000002</v>
      </c>
      <c r="F352">
        <v>0</v>
      </c>
      <c r="G352" s="26">
        <f t="shared" si="40"/>
        <v>8.8169260442357711</v>
      </c>
      <c r="H352" s="26">
        <f t="shared" si="47"/>
        <v>-0.62999999999997058</v>
      </c>
      <c r="I352" s="26">
        <f t="shared" si="41"/>
        <v>15.536000000000001</v>
      </c>
      <c r="J352" t="str">
        <f t="shared" si="42"/>
        <v>Cooling</v>
      </c>
      <c r="K352" s="26">
        <f t="shared" si="43"/>
        <v>15.536000000000001</v>
      </c>
      <c r="L352" s="26">
        <f t="shared" si="44"/>
        <v>-0.62999999999997058</v>
      </c>
      <c r="N352">
        <f t="shared" si="45"/>
        <v>15.536000000000001</v>
      </c>
      <c r="O352">
        <f t="shared" si="46"/>
        <v>-0.62999999999997058</v>
      </c>
    </row>
    <row r="353" spans="1:15">
      <c r="A353" s="25">
        <v>46299.220833333333</v>
      </c>
      <c r="B353">
        <v>18.602</v>
      </c>
      <c r="C353">
        <v>52.841999999999999</v>
      </c>
      <c r="D353">
        <v>943.00300000000004</v>
      </c>
      <c r="E353">
        <v>3.08</v>
      </c>
      <c r="F353">
        <v>0</v>
      </c>
      <c r="G353" s="26">
        <f t="shared" si="40"/>
        <v>8.7904675529096679</v>
      </c>
      <c r="H353" s="26">
        <f t="shared" si="47"/>
        <v>-0.58499999999996888</v>
      </c>
      <c r="I353" s="26">
        <f t="shared" si="41"/>
        <v>15.522</v>
      </c>
      <c r="J353" t="str">
        <f t="shared" si="42"/>
        <v>Cooling</v>
      </c>
      <c r="K353" s="26">
        <f t="shared" si="43"/>
        <v>15.522</v>
      </c>
      <c r="L353" s="26">
        <f t="shared" si="44"/>
        <v>-0.58499999999996888</v>
      </c>
      <c r="N353">
        <f t="shared" si="45"/>
        <v>15.522</v>
      </c>
      <c r="O353">
        <f t="shared" si="46"/>
        <v>-0.58499999999996888</v>
      </c>
    </row>
    <row r="354" spans="1:15">
      <c r="A354" s="25">
        <v>46299.22152777778</v>
      </c>
      <c r="B354">
        <v>18.605</v>
      </c>
      <c r="C354">
        <v>53.027000000000001</v>
      </c>
      <c r="D354">
        <v>943.01300000000003</v>
      </c>
      <c r="E354">
        <v>3.073</v>
      </c>
      <c r="F354">
        <v>0</v>
      </c>
      <c r="G354" s="26">
        <f t="shared" si="40"/>
        <v>8.8450005238589302</v>
      </c>
      <c r="H354" s="26">
        <f t="shared" si="47"/>
        <v>-0.52500000000000213</v>
      </c>
      <c r="I354" s="26">
        <f t="shared" si="41"/>
        <v>15.532</v>
      </c>
      <c r="J354" t="str">
        <f t="shared" si="42"/>
        <v>Cooling</v>
      </c>
      <c r="K354" s="26">
        <f t="shared" si="43"/>
        <v>15.532</v>
      </c>
      <c r="L354" s="26">
        <f t="shared" si="44"/>
        <v>-0.52500000000000213</v>
      </c>
      <c r="N354">
        <f t="shared" si="45"/>
        <v>15.532</v>
      </c>
      <c r="O354">
        <f t="shared" si="46"/>
        <v>-0.52500000000000213</v>
      </c>
    </row>
    <row r="355" spans="1:15">
      <c r="A355" s="25">
        <v>46299.222222222219</v>
      </c>
      <c r="B355">
        <v>18.588000000000001</v>
      </c>
      <c r="C355">
        <v>52.932000000000002</v>
      </c>
      <c r="D355">
        <v>943.01199999999994</v>
      </c>
      <c r="E355">
        <v>3.0670000000000002</v>
      </c>
      <c r="F355">
        <v>0</v>
      </c>
      <c r="G355" s="26">
        <f t="shared" si="40"/>
        <v>8.8026921211167029</v>
      </c>
      <c r="H355" s="26">
        <f t="shared" si="47"/>
        <v>-0.29999999999999361</v>
      </c>
      <c r="I355" s="26">
        <f t="shared" si="41"/>
        <v>15.521000000000001</v>
      </c>
      <c r="J355" t="str">
        <f t="shared" si="42"/>
        <v>Cooling</v>
      </c>
      <c r="K355" s="26">
        <f t="shared" si="43"/>
        <v>15.521000000000001</v>
      </c>
      <c r="L355" s="26">
        <f t="shared" si="44"/>
        <v>-0.29999999999999361</v>
      </c>
      <c r="N355">
        <f t="shared" si="45"/>
        <v>15.521000000000001</v>
      </c>
      <c r="O355">
        <f t="shared" si="46"/>
        <v>-0.29999999999999361</v>
      </c>
    </row>
    <row r="356" spans="1:15">
      <c r="A356" s="25">
        <v>46299.222916666673</v>
      </c>
      <c r="B356">
        <v>18.588000000000001</v>
      </c>
      <c r="C356">
        <v>53.037999999999997</v>
      </c>
      <c r="D356">
        <v>943.02800000000002</v>
      </c>
      <c r="E356">
        <v>3.06</v>
      </c>
      <c r="F356">
        <v>0</v>
      </c>
      <c r="G356" s="26">
        <f t="shared" si="40"/>
        <v>8.8323169588123545</v>
      </c>
      <c r="H356" s="26">
        <f t="shared" si="47"/>
        <v>-0.34499999999999531</v>
      </c>
      <c r="I356" s="26">
        <f t="shared" si="41"/>
        <v>15.528</v>
      </c>
      <c r="J356" t="str">
        <f t="shared" si="42"/>
        <v>Cooling</v>
      </c>
      <c r="K356" s="26">
        <f t="shared" si="43"/>
        <v>15.528</v>
      </c>
      <c r="L356" s="26">
        <f t="shared" si="44"/>
        <v>-0.34499999999999531</v>
      </c>
      <c r="N356">
        <f t="shared" si="45"/>
        <v>15.528</v>
      </c>
      <c r="O356">
        <f t="shared" si="46"/>
        <v>-0.34499999999999531</v>
      </c>
    </row>
    <row r="357" spans="1:15">
      <c r="A357" s="25">
        <v>46299.223611111112</v>
      </c>
      <c r="B357">
        <v>18.582000000000001</v>
      </c>
      <c r="C357">
        <v>53.103000000000002</v>
      </c>
      <c r="D357">
        <v>943.04</v>
      </c>
      <c r="E357">
        <v>3.0529999999999999</v>
      </c>
      <c r="F357">
        <v>0</v>
      </c>
      <c r="G357" s="26">
        <f t="shared" si="40"/>
        <v>8.8448956142837485</v>
      </c>
      <c r="H357" s="26">
        <f t="shared" si="47"/>
        <v>-0.19500000000002515</v>
      </c>
      <c r="I357" s="26">
        <f t="shared" si="41"/>
        <v>15.529</v>
      </c>
      <c r="J357" t="str">
        <f t="shared" si="42"/>
        <v>Steady</v>
      </c>
      <c r="K357" s="26" t="str">
        <f t="shared" si="43"/>
        <v/>
      </c>
      <c r="L357" s="26" t="str">
        <f t="shared" si="44"/>
        <v/>
      </c>
      <c r="N357" t="e">
        <f t="shared" si="45"/>
        <v>#N/A</v>
      </c>
      <c r="O357" t="e">
        <f t="shared" si="46"/>
        <v>#N/A</v>
      </c>
    </row>
    <row r="358" spans="1:15">
      <c r="A358" s="25">
        <v>46299.224305555559</v>
      </c>
      <c r="B358">
        <v>18.582000000000001</v>
      </c>
      <c r="C358">
        <v>53.091999999999999</v>
      </c>
      <c r="D358">
        <v>943.02700000000004</v>
      </c>
      <c r="E358">
        <v>3.0470000000000002</v>
      </c>
      <c r="F358">
        <v>0</v>
      </c>
      <c r="G358" s="26">
        <f t="shared" si="40"/>
        <v>8.8418272233440192</v>
      </c>
      <c r="H358" s="26">
        <f t="shared" si="47"/>
        <v>-0.42000000000003368</v>
      </c>
      <c r="I358" s="26">
        <f t="shared" si="41"/>
        <v>15.535</v>
      </c>
      <c r="J358" t="str">
        <f t="shared" si="42"/>
        <v>Cooling</v>
      </c>
      <c r="K358" s="26">
        <f t="shared" si="43"/>
        <v>15.535</v>
      </c>
      <c r="L358" s="26">
        <f t="shared" si="44"/>
        <v>-0.42000000000003368</v>
      </c>
      <c r="N358">
        <f t="shared" si="45"/>
        <v>15.535</v>
      </c>
      <c r="O358">
        <f t="shared" si="46"/>
        <v>-0.42000000000003368</v>
      </c>
    </row>
    <row r="359" spans="1:15">
      <c r="A359" s="25">
        <v>46299.224999999999</v>
      </c>
      <c r="B359">
        <v>18.574999999999999</v>
      </c>
      <c r="C359">
        <v>53.115000000000002</v>
      </c>
      <c r="D359">
        <v>943.06799999999998</v>
      </c>
      <c r="E359">
        <v>3.04</v>
      </c>
      <c r="F359">
        <v>0</v>
      </c>
      <c r="G359" s="26">
        <f t="shared" si="40"/>
        <v>8.8417534900567549</v>
      </c>
      <c r="H359" s="26">
        <f t="shared" si="47"/>
        <v>-0.58500000000002217</v>
      </c>
      <c r="I359" s="26">
        <f t="shared" si="41"/>
        <v>15.535</v>
      </c>
      <c r="J359" t="str">
        <f t="shared" si="42"/>
        <v>Cooling</v>
      </c>
      <c r="K359" s="26">
        <f t="shared" si="43"/>
        <v>15.535</v>
      </c>
      <c r="L359" s="26">
        <f t="shared" si="44"/>
        <v>-0.58500000000002217</v>
      </c>
      <c r="N359">
        <f t="shared" si="45"/>
        <v>15.535</v>
      </c>
      <c r="O359">
        <f t="shared" si="46"/>
        <v>-0.58500000000002217</v>
      </c>
    </row>
    <row r="360" spans="1:15">
      <c r="A360" s="25">
        <v>46299.225694444453</v>
      </c>
      <c r="B360">
        <v>18.559999999999999</v>
      </c>
      <c r="C360">
        <v>53.192</v>
      </c>
      <c r="D360">
        <v>943.05799999999999</v>
      </c>
      <c r="E360">
        <v>3.0329999999999999</v>
      </c>
      <c r="F360">
        <v>0</v>
      </c>
      <c r="G360" s="26">
        <f t="shared" si="40"/>
        <v>8.8493041278661231</v>
      </c>
      <c r="H360" s="26">
        <f t="shared" si="47"/>
        <v>-0.75000000000001066</v>
      </c>
      <c r="I360" s="26">
        <f t="shared" si="41"/>
        <v>15.526999999999999</v>
      </c>
      <c r="J360" t="str">
        <f t="shared" si="42"/>
        <v>Cooling</v>
      </c>
      <c r="K360" s="26">
        <f t="shared" si="43"/>
        <v>15.526999999999999</v>
      </c>
      <c r="L360" s="26">
        <f t="shared" si="44"/>
        <v>-0.75000000000001066</v>
      </c>
      <c r="N360">
        <f t="shared" si="45"/>
        <v>15.526999999999999</v>
      </c>
      <c r="O360">
        <f t="shared" si="46"/>
        <v>-0.75000000000001066</v>
      </c>
    </row>
    <row r="361" spans="1:15">
      <c r="A361" s="25">
        <v>46299.226388888892</v>
      </c>
      <c r="B361">
        <v>18.542999999999999</v>
      </c>
      <c r="C361">
        <v>53.052</v>
      </c>
      <c r="D361">
        <v>943.04200000000003</v>
      </c>
      <c r="E361">
        <v>3.0270000000000001</v>
      </c>
      <c r="F361">
        <v>0</v>
      </c>
      <c r="G361" s="26">
        <f t="shared" si="40"/>
        <v>8.794517589463009</v>
      </c>
      <c r="H361" s="26">
        <f t="shared" si="47"/>
        <v>-0.67499999999997229</v>
      </c>
      <c r="I361" s="26">
        <f t="shared" si="41"/>
        <v>15.515999999999998</v>
      </c>
      <c r="J361" t="str">
        <f t="shared" si="42"/>
        <v>Cooling</v>
      </c>
      <c r="K361" s="26">
        <f t="shared" si="43"/>
        <v>15.515999999999998</v>
      </c>
      <c r="L361" s="26">
        <f t="shared" si="44"/>
        <v>-0.67499999999997229</v>
      </c>
      <c r="N361">
        <f t="shared" si="45"/>
        <v>15.515999999999998</v>
      </c>
      <c r="O361">
        <f t="shared" si="46"/>
        <v>-0.67499999999997229</v>
      </c>
    </row>
    <row r="362" spans="1:15">
      <c r="A362" s="25">
        <v>46299.227083333331</v>
      </c>
      <c r="B362">
        <v>18.532</v>
      </c>
      <c r="C362">
        <v>53.094999999999999</v>
      </c>
      <c r="D362">
        <v>943.05</v>
      </c>
      <c r="E362">
        <v>3.02</v>
      </c>
      <c r="F362">
        <v>0</v>
      </c>
      <c r="G362" s="26">
        <f t="shared" si="40"/>
        <v>8.7963171662479898</v>
      </c>
      <c r="H362" s="26">
        <f t="shared" si="47"/>
        <v>-0.5549999999999855</v>
      </c>
      <c r="I362" s="26">
        <f t="shared" si="41"/>
        <v>15.512</v>
      </c>
      <c r="J362" t="str">
        <f t="shared" si="42"/>
        <v>Cooling</v>
      </c>
      <c r="K362" s="26">
        <f t="shared" si="43"/>
        <v>15.512</v>
      </c>
      <c r="L362" s="26">
        <f t="shared" si="44"/>
        <v>-0.5549999999999855</v>
      </c>
      <c r="N362">
        <f t="shared" si="45"/>
        <v>15.512</v>
      </c>
      <c r="O362">
        <f t="shared" si="46"/>
        <v>-0.5549999999999855</v>
      </c>
    </row>
    <row r="363" spans="1:15">
      <c r="A363" s="25">
        <v>46299.227777777778</v>
      </c>
      <c r="B363">
        <v>18.53</v>
      </c>
      <c r="C363">
        <v>53.106999999999999</v>
      </c>
      <c r="D363">
        <v>943.06</v>
      </c>
      <c r="E363">
        <v>3.0129999999999999</v>
      </c>
      <c r="F363">
        <v>0</v>
      </c>
      <c r="G363" s="26">
        <f t="shared" si="40"/>
        <v>8.7978091346358873</v>
      </c>
      <c r="H363" s="26">
        <f t="shared" si="47"/>
        <v>-0.29999999999999361</v>
      </c>
      <c r="I363" s="26">
        <f t="shared" si="41"/>
        <v>15.517000000000001</v>
      </c>
      <c r="J363" t="str">
        <f t="shared" si="42"/>
        <v>Cooling</v>
      </c>
      <c r="K363" s="26">
        <f t="shared" si="43"/>
        <v>15.517000000000001</v>
      </c>
      <c r="L363" s="26">
        <f t="shared" si="44"/>
        <v>-0.29999999999999361</v>
      </c>
      <c r="N363">
        <f t="shared" si="45"/>
        <v>15.517000000000001</v>
      </c>
      <c r="O363">
        <f t="shared" si="46"/>
        <v>-0.29999999999999361</v>
      </c>
    </row>
    <row r="364" spans="1:15">
      <c r="A364" s="25">
        <v>46299.228472222218</v>
      </c>
      <c r="B364">
        <v>18.523</v>
      </c>
      <c r="C364">
        <v>53.262</v>
      </c>
      <c r="D364">
        <v>943.08199999999999</v>
      </c>
      <c r="E364">
        <v>3.0070000000000001</v>
      </c>
      <c r="F364">
        <v>0</v>
      </c>
      <c r="G364" s="26">
        <f t="shared" si="40"/>
        <v>8.8344756139436704</v>
      </c>
      <c r="H364" s="26">
        <f t="shared" si="47"/>
        <v>-0.29999999999999361</v>
      </c>
      <c r="I364" s="26">
        <f t="shared" si="41"/>
        <v>15.516</v>
      </c>
      <c r="J364" t="str">
        <f t="shared" si="42"/>
        <v>Cooling</v>
      </c>
      <c r="K364" s="26">
        <f t="shared" si="43"/>
        <v>15.516</v>
      </c>
      <c r="L364" s="26">
        <f t="shared" si="44"/>
        <v>-0.29999999999999361</v>
      </c>
      <c r="N364">
        <f t="shared" si="45"/>
        <v>15.516</v>
      </c>
      <c r="O364">
        <f t="shared" si="46"/>
        <v>-0.29999999999999361</v>
      </c>
    </row>
    <row r="365" spans="1:15">
      <c r="A365" s="25">
        <v>46299.229166666657</v>
      </c>
      <c r="B365">
        <v>18.523</v>
      </c>
      <c r="C365">
        <v>53.137999999999998</v>
      </c>
      <c r="D365">
        <v>943.05200000000002</v>
      </c>
      <c r="E365">
        <v>3</v>
      </c>
      <c r="F365">
        <v>0</v>
      </c>
      <c r="G365" s="26">
        <f t="shared" si="40"/>
        <v>8.7999602729152588</v>
      </c>
      <c r="H365" s="26">
        <f t="shared" si="47"/>
        <v>-0.33000000000003027</v>
      </c>
      <c r="I365" s="26">
        <f t="shared" si="41"/>
        <v>15.523</v>
      </c>
      <c r="J365" t="str">
        <f t="shared" si="42"/>
        <v>Cooling</v>
      </c>
      <c r="K365" s="26">
        <f t="shared" si="43"/>
        <v>15.523</v>
      </c>
      <c r="L365" s="26">
        <f t="shared" si="44"/>
        <v>-0.33000000000003027</v>
      </c>
      <c r="N365">
        <f t="shared" si="45"/>
        <v>15.523</v>
      </c>
      <c r="O365">
        <f t="shared" si="46"/>
        <v>-0.33000000000003027</v>
      </c>
    </row>
    <row r="366" spans="1:15">
      <c r="A366" s="25">
        <v>46299.229861111111</v>
      </c>
      <c r="B366">
        <v>18.512</v>
      </c>
      <c r="C366">
        <v>53.07</v>
      </c>
      <c r="D366">
        <v>943.053</v>
      </c>
      <c r="E366">
        <v>2.9929999999999999</v>
      </c>
      <c r="F366">
        <v>0</v>
      </c>
      <c r="G366" s="26">
        <f t="shared" si="40"/>
        <v>8.7708064415075864</v>
      </c>
      <c r="H366" s="26">
        <f t="shared" si="47"/>
        <v>-0.29999999999999361</v>
      </c>
      <c r="I366" s="26">
        <f t="shared" si="41"/>
        <v>15.519</v>
      </c>
      <c r="J366" t="str">
        <f t="shared" si="42"/>
        <v>Cooling</v>
      </c>
      <c r="K366" s="26">
        <f t="shared" si="43"/>
        <v>15.519</v>
      </c>
      <c r="L366" s="26">
        <f t="shared" si="44"/>
        <v>-0.29999999999999361</v>
      </c>
      <c r="N366">
        <f t="shared" si="45"/>
        <v>15.519</v>
      </c>
      <c r="O366">
        <f t="shared" si="46"/>
        <v>-0.29999999999999361</v>
      </c>
    </row>
    <row r="367" spans="1:15">
      <c r="A367" s="25">
        <v>46299.230555555558</v>
      </c>
      <c r="B367">
        <v>18.507999999999999</v>
      </c>
      <c r="C367">
        <v>53.274999999999999</v>
      </c>
      <c r="D367">
        <v>943.077</v>
      </c>
      <c r="E367">
        <v>2.9870000000000001</v>
      </c>
      <c r="F367">
        <v>0</v>
      </c>
      <c r="G367" s="26">
        <f t="shared" si="40"/>
        <v>8.8241802674120606</v>
      </c>
      <c r="H367" s="26">
        <f t="shared" si="47"/>
        <v>-0.29999999999999361</v>
      </c>
      <c r="I367" s="26">
        <f t="shared" si="41"/>
        <v>15.520999999999999</v>
      </c>
      <c r="J367" t="str">
        <f t="shared" si="42"/>
        <v>Cooling</v>
      </c>
      <c r="K367" s="26">
        <f t="shared" si="43"/>
        <v>15.520999999999999</v>
      </c>
      <c r="L367" s="26">
        <f t="shared" si="44"/>
        <v>-0.29999999999999361</v>
      </c>
      <c r="N367">
        <f t="shared" si="45"/>
        <v>15.520999999999999</v>
      </c>
      <c r="O367">
        <f t="shared" si="46"/>
        <v>-0.29999999999999361</v>
      </c>
    </row>
    <row r="368" spans="1:15">
      <c r="A368" s="25">
        <v>46299.231249999997</v>
      </c>
      <c r="B368">
        <v>18.503</v>
      </c>
      <c r="C368">
        <v>53.103000000000002</v>
      </c>
      <c r="D368">
        <v>943.077</v>
      </c>
      <c r="E368">
        <v>2.98</v>
      </c>
      <c r="F368">
        <v>0</v>
      </c>
      <c r="G368" s="26">
        <f t="shared" si="40"/>
        <v>8.7716658391286995</v>
      </c>
      <c r="H368" s="26">
        <f t="shared" si="47"/>
        <v>-0.22500000000000853</v>
      </c>
      <c r="I368" s="26">
        <f t="shared" si="41"/>
        <v>15.523</v>
      </c>
      <c r="J368" t="str">
        <f t="shared" si="42"/>
        <v>Cooling</v>
      </c>
      <c r="K368" s="26">
        <f t="shared" si="43"/>
        <v>15.523</v>
      </c>
      <c r="L368" s="26">
        <f t="shared" si="44"/>
        <v>-0.22500000000000853</v>
      </c>
      <c r="N368">
        <f t="shared" si="45"/>
        <v>15.523</v>
      </c>
      <c r="O368">
        <f t="shared" si="46"/>
        <v>-0.22500000000000853</v>
      </c>
    </row>
    <row r="369" spans="1:15">
      <c r="A369" s="25">
        <v>46299.231944444437</v>
      </c>
      <c r="B369">
        <v>18.503</v>
      </c>
      <c r="C369">
        <v>53.18</v>
      </c>
      <c r="D369">
        <v>943.03200000000004</v>
      </c>
      <c r="E369">
        <v>2.9729999999999999</v>
      </c>
      <c r="F369">
        <v>0</v>
      </c>
      <c r="G369" s="26">
        <f t="shared" si="40"/>
        <v>8.7931164071023939</v>
      </c>
      <c r="H369" s="26">
        <f t="shared" si="47"/>
        <v>-0.38999999999999702</v>
      </c>
      <c r="I369" s="26">
        <f t="shared" si="41"/>
        <v>15.530000000000001</v>
      </c>
      <c r="J369" t="str">
        <f t="shared" si="42"/>
        <v>Cooling</v>
      </c>
      <c r="K369" s="26">
        <f t="shared" si="43"/>
        <v>15.530000000000001</v>
      </c>
      <c r="L369" s="26">
        <f t="shared" si="44"/>
        <v>-0.38999999999999702</v>
      </c>
      <c r="N369">
        <f t="shared" si="45"/>
        <v>15.530000000000001</v>
      </c>
      <c r="O369">
        <f t="shared" si="46"/>
        <v>-0.38999999999999702</v>
      </c>
    </row>
    <row r="370" spans="1:15">
      <c r="A370" s="25">
        <v>46299.232638888891</v>
      </c>
      <c r="B370">
        <v>18.497</v>
      </c>
      <c r="C370">
        <v>53.197000000000003</v>
      </c>
      <c r="D370">
        <v>943.05700000000002</v>
      </c>
      <c r="E370">
        <v>2.9670000000000001</v>
      </c>
      <c r="F370">
        <v>0</v>
      </c>
      <c r="G370" s="26">
        <f t="shared" si="40"/>
        <v>8.7922855741755548</v>
      </c>
      <c r="H370" s="26">
        <f t="shared" si="47"/>
        <v>-0.31500000000001194</v>
      </c>
      <c r="I370" s="26">
        <f t="shared" si="41"/>
        <v>15.53</v>
      </c>
      <c r="J370" t="str">
        <f t="shared" si="42"/>
        <v>Cooling</v>
      </c>
      <c r="K370" s="26">
        <f t="shared" si="43"/>
        <v>15.53</v>
      </c>
      <c r="L370" s="26">
        <f t="shared" si="44"/>
        <v>-0.31500000000001194</v>
      </c>
      <c r="N370">
        <f t="shared" si="45"/>
        <v>15.53</v>
      </c>
      <c r="O370">
        <f t="shared" si="46"/>
        <v>-0.31500000000001194</v>
      </c>
    </row>
    <row r="371" spans="1:15">
      <c r="A371" s="25">
        <v>46299.23333333333</v>
      </c>
      <c r="B371">
        <v>18.481999999999999</v>
      </c>
      <c r="C371">
        <v>53.267000000000003</v>
      </c>
      <c r="D371">
        <v>943.05499999999995</v>
      </c>
      <c r="E371">
        <v>2.96</v>
      </c>
      <c r="F371">
        <v>0</v>
      </c>
      <c r="G371" s="26">
        <f t="shared" si="40"/>
        <v>8.7978463326537355</v>
      </c>
      <c r="H371" s="26">
        <f t="shared" si="47"/>
        <v>-0.45000000000001705</v>
      </c>
      <c r="I371" s="26">
        <f t="shared" si="41"/>
        <v>15.521999999999998</v>
      </c>
      <c r="J371" t="str">
        <f t="shared" si="42"/>
        <v>Cooling</v>
      </c>
      <c r="K371" s="26">
        <f t="shared" si="43"/>
        <v>15.521999999999998</v>
      </c>
      <c r="L371" s="26">
        <f t="shared" si="44"/>
        <v>-0.45000000000001705</v>
      </c>
      <c r="N371">
        <f t="shared" si="45"/>
        <v>15.521999999999998</v>
      </c>
      <c r="O371">
        <f t="shared" si="46"/>
        <v>-0.45000000000001705</v>
      </c>
    </row>
    <row r="372" spans="1:15">
      <c r="A372" s="25">
        <v>46299.234027777777</v>
      </c>
      <c r="B372">
        <v>18.481999999999999</v>
      </c>
      <c r="C372">
        <v>53.354999999999997</v>
      </c>
      <c r="D372">
        <v>943.05</v>
      </c>
      <c r="E372">
        <v>2.9529999999999998</v>
      </c>
      <c r="F372">
        <v>0</v>
      </c>
      <c r="G372" s="26">
        <f t="shared" si="40"/>
        <v>8.8222886963361269</v>
      </c>
      <c r="H372" s="26">
        <f t="shared" si="47"/>
        <v>-0.52500000000000213</v>
      </c>
      <c r="I372" s="26">
        <f t="shared" si="41"/>
        <v>15.529</v>
      </c>
      <c r="J372" t="str">
        <f t="shared" si="42"/>
        <v>Cooling</v>
      </c>
      <c r="K372" s="26">
        <f t="shared" si="43"/>
        <v>15.529</v>
      </c>
      <c r="L372" s="26">
        <f t="shared" si="44"/>
        <v>-0.52500000000000213</v>
      </c>
      <c r="N372">
        <f t="shared" si="45"/>
        <v>15.529</v>
      </c>
      <c r="O372">
        <f t="shared" si="46"/>
        <v>-0.52500000000000213</v>
      </c>
    </row>
    <row r="373" spans="1:15">
      <c r="A373" s="25">
        <v>46299.234722222223</v>
      </c>
      <c r="B373">
        <v>18.472999999999999</v>
      </c>
      <c r="C373">
        <v>53.337000000000003</v>
      </c>
      <c r="D373">
        <v>943.02</v>
      </c>
      <c r="E373">
        <v>2.9470000000000001</v>
      </c>
      <c r="F373">
        <v>0</v>
      </c>
      <c r="G373" s="26">
        <f t="shared" si="40"/>
        <v>8.808944916541412</v>
      </c>
      <c r="H373" s="26">
        <f t="shared" si="47"/>
        <v>-0.48000000000000043</v>
      </c>
      <c r="I373" s="26">
        <f t="shared" si="41"/>
        <v>15.526</v>
      </c>
      <c r="J373" t="str">
        <f t="shared" si="42"/>
        <v>Cooling</v>
      </c>
      <c r="K373" s="26">
        <f t="shared" si="43"/>
        <v>15.526</v>
      </c>
      <c r="L373" s="26">
        <f t="shared" si="44"/>
        <v>-0.48000000000000043</v>
      </c>
      <c r="N373">
        <f t="shared" si="45"/>
        <v>15.526</v>
      </c>
      <c r="O373">
        <f t="shared" si="46"/>
        <v>-0.48000000000000043</v>
      </c>
    </row>
    <row r="374" spans="1:15">
      <c r="A374" s="25">
        <v>46299.23541666667</v>
      </c>
      <c r="B374">
        <v>18.462</v>
      </c>
      <c r="C374">
        <v>53.488</v>
      </c>
      <c r="D374">
        <v>943.05700000000002</v>
      </c>
      <c r="E374">
        <v>2.94</v>
      </c>
      <c r="F374">
        <v>0</v>
      </c>
      <c r="G374" s="26">
        <f t="shared" si="40"/>
        <v>8.8406072612087758</v>
      </c>
      <c r="H374" s="26">
        <f t="shared" si="47"/>
        <v>-0.5099999999999838</v>
      </c>
      <c r="I374" s="26">
        <f t="shared" si="41"/>
        <v>15.522</v>
      </c>
      <c r="J374" t="str">
        <f t="shared" si="42"/>
        <v>Cooling</v>
      </c>
      <c r="K374" s="26">
        <f t="shared" si="43"/>
        <v>15.522</v>
      </c>
      <c r="L374" s="26">
        <f t="shared" si="44"/>
        <v>-0.5099999999999838</v>
      </c>
      <c r="N374">
        <f t="shared" si="45"/>
        <v>15.522</v>
      </c>
      <c r="O374">
        <f t="shared" si="46"/>
        <v>-0.5099999999999838</v>
      </c>
    </row>
    <row r="375" spans="1:15">
      <c r="A375" s="25">
        <v>46299.236111111109</v>
      </c>
      <c r="B375">
        <v>18.45</v>
      </c>
      <c r="C375">
        <v>53.427999999999997</v>
      </c>
      <c r="D375">
        <v>943.01800000000003</v>
      </c>
      <c r="E375">
        <v>2.9329999999999998</v>
      </c>
      <c r="F375">
        <v>0</v>
      </c>
      <c r="G375" s="26">
        <f t="shared" si="40"/>
        <v>8.8128531412990654</v>
      </c>
      <c r="H375" s="26">
        <f t="shared" si="47"/>
        <v>-0.14999999999997016</v>
      </c>
      <c r="I375" s="26">
        <f t="shared" si="41"/>
        <v>15.516999999999999</v>
      </c>
      <c r="J375" t="str">
        <f t="shared" si="42"/>
        <v>Steady</v>
      </c>
      <c r="K375" s="26" t="str">
        <f t="shared" si="43"/>
        <v/>
      </c>
      <c r="L375" s="26" t="str">
        <f t="shared" si="44"/>
        <v/>
      </c>
      <c r="N375" t="e">
        <f t="shared" si="45"/>
        <v>#N/A</v>
      </c>
      <c r="O375" t="e">
        <f t="shared" si="46"/>
        <v>#N/A</v>
      </c>
    </row>
    <row r="376" spans="1:15">
      <c r="A376" s="25">
        <v>46299.236805555563</v>
      </c>
      <c r="B376">
        <v>18.448</v>
      </c>
      <c r="C376">
        <v>53.195</v>
      </c>
      <c r="D376">
        <v>943.02700000000004</v>
      </c>
      <c r="E376">
        <v>2.927</v>
      </c>
      <c r="F376">
        <v>0</v>
      </c>
      <c r="G376" s="26">
        <f t="shared" si="40"/>
        <v>8.7462977962383412</v>
      </c>
      <c r="H376" s="26">
        <f t="shared" si="47"/>
        <v>0.41999999999998039</v>
      </c>
      <c r="I376" s="26">
        <f t="shared" si="41"/>
        <v>15.521000000000001</v>
      </c>
      <c r="J376" t="str">
        <f t="shared" si="42"/>
        <v>Steady</v>
      </c>
      <c r="K376" s="26" t="str">
        <f t="shared" si="43"/>
        <v/>
      </c>
      <c r="L376" s="26" t="str">
        <f t="shared" si="44"/>
        <v/>
      </c>
      <c r="N376" t="e">
        <f t="shared" si="45"/>
        <v>#N/A</v>
      </c>
      <c r="O376" t="e">
        <f t="shared" si="46"/>
        <v>#N/A</v>
      </c>
    </row>
    <row r="377" spans="1:15">
      <c r="A377" s="25">
        <v>46299.237500000003</v>
      </c>
      <c r="B377">
        <v>18.463000000000001</v>
      </c>
      <c r="C377">
        <v>53.42</v>
      </c>
      <c r="D377">
        <v>943.04700000000003</v>
      </c>
      <c r="E377">
        <v>2.92</v>
      </c>
      <c r="F377">
        <v>0</v>
      </c>
      <c r="G377" s="26">
        <f t="shared" si="40"/>
        <v>8.8226949789071281</v>
      </c>
      <c r="H377" s="26">
        <f t="shared" si="47"/>
        <v>1.7250000000000298</v>
      </c>
      <c r="I377" s="26">
        <f t="shared" si="41"/>
        <v>15.543000000000001</v>
      </c>
      <c r="J377" t="str">
        <f t="shared" si="42"/>
        <v>Heating</v>
      </c>
      <c r="K377" s="26" t="str">
        <f t="shared" si="43"/>
        <v/>
      </c>
      <c r="L377" s="26" t="str">
        <f t="shared" si="44"/>
        <v/>
      </c>
      <c r="N377" t="e">
        <f t="shared" si="45"/>
        <v>#N/A</v>
      </c>
      <c r="O377" t="e">
        <f t="shared" si="46"/>
        <v>#N/A</v>
      </c>
    </row>
    <row r="378" spans="1:15">
      <c r="A378" s="25">
        <v>46299.238194444442</v>
      </c>
      <c r="B378">
        <v>18.489999999999998</v>
      </c>
      <c r="C378">
        <v>52.707999999999998</v>
      </c>
      <c r="D378">
        <v>943.03</v>
      </c>
      <c r="E378">
        <v>2.9129999999999998</v>
      </c>
      <c r="F378">
        <v>0</v>
      </c>
      <c r="G378" s="26">
        <f t="shared" si="40"/>
        <v>8.6491537034663803</v>
      </c>
      <c r="H378" s="26">
        <f t="shared" si="47"/>
        <v>4.0349999999999753</v>
      </c>
      <c r="I378" s="26">
        <f t="shared" si="41"/>
        <v>15.576999999999998</v>
      </c>
      <c r="J378" t="str">
        <f t="shared" si="42"/>
        <v>Heating</v>
      </c>
      <c r="K378" s="26" t="str">
        <f t="shared" si="43"/>
        <v/>
      </c>
      <c r="L378" s="26" t="str">
        <f t="shared" si="44"/>
        <v/>
      </c>
      <c r="N378" t="e">
        <f t="shared" si="45"/>
        <v>#N/A</v>
      </c>
      <c r="O378" t="e">
        <f t="shared" si="46"/>
        <v>#N/A</v>
      </c>
    </row>
    <row r="379" spans="1:15">
      <c r="A379" s="25">
        <v>46299.238888888889</v>
      </c>
      <c r="B379">
        <v>18.565000000000001</v>
      </c>
      <c r="C379">
        <v>52.442</v>
      </c>
      <c r="D379">
        <v>942.98</v>
      </c>
      <c r="E379">
        <v>2.907</v>
      </c>
      <c r="F379">
        <v>0</v>
      </c>
      <c r="G379" s="26">
        <f t="shared" si="40"/>
        <v>8.6437745707657658</v>
      </c>
      <c r="H379" s="26">
        <f t="shared" si="47"/>
        <v>6.2549999999999706</v>
      </c>
      <c r="I379" s="26">
        <f t="shared" si="41"/>
        <v>15.658000000000001</v>
      </c>
      <c r="J379" t="str">
        <f t="shared" si="42"/>
        <v>Heating</v>
      </c>
      <c r="K379" s="26" t="str">
        <f t="shared" si="43"/>
        <v/>
      </c>
      <c r="L379" s="26" t="str">
        <f t="shared" si="44"/>
        <v/>
      </c>
      <c r="N379" t="e">
        <f t="shared" si="45"/>
        <v>#N/A</v>
      </c>
      <c r="O379" t="e">
        <f t="shared" si="46"/>
        <v>#N/A</v>
      </c>
    </row>
    <row r="380" spans="1:15">
      <c r="A380" s="25">
        <v>46299.239583333343</v>
      </c>
      <c r="B380">
        <v>18.716999999999999</v>
      </c>
      <c r="C380">
        <v>52.06</v>
      </c>
      <c r="D380">
        <v>942.99199999999996</v>
      </c>
      <c r="E380">
        <v>2.9</v>
      </c>
      <c r="F380">
        <v>0</v>
      </c>
      <c r="G380" s="26">
        <f t="shared" si="40"/>
        <v>8.6762745677523085</v>
      </c>
      <c r="H380" s="26">
        <f t="shared" si="47"/>
        <v>8.0550000000000388</v>
      </c>
      <c r="I380" s="26">
        <f t="shared" si="41"/>
        <v>15.816999999999998</v>
      </c>
      <c r="J380" t="str">
        <f t="shared" si="42"/>
        <v>Heating</v>
      </c>
      <c r="K380" s="26" t="str">
        <f t="shared" si="43"/>
        <v/>
      </c>
      <c r="L380" s="26" t="str">
        <f t="shared" si="44"/>
        <v/>
      </c>
      <c r="N380" t="e">
        <f t="shared" si="45"/>
        <v>#N/A</v>
      </c>
      <c r="O380" t="e">
        <f t="shared" si="46"/>
        <v>#N/A</v>
      </c>
    </row>
    <row r="381" spans="1:15">
      <c r="A381" s="25">
        <v>46299.240277777782</v>
      </c>
      <c r="B381">
        <v>18.88</v>
      </c>
      <c r="C381">
        <v>51.447000000000003</v>
      </c>
      <c r="D381">
        <v>942.95</v>
      </c>
      <c r="E381">
        <v>2.8929999999999998</v>
      </c>
      <c r="F381">
        <v>0</v>
      </c>
      <c r="G381" s="26">
        <f t="shared" si="40"/>
        <v>8.6517149789593955</v>
      </c>
      <c r="H381" s="26">
        <f t="shared" si="47"/>
        <v>7.124999999999968</v>
      </c>
      <c r="I381" s="26">
        <f t="shared" si="41"/>
        <v>15.986999999999998</v>
      </c>
      <c r="J381" t="str">
        <f t="shared" si="42"/>
        <v>Heating</v>
      </c>
      <c r="K381" s="26" t="str">
        <f t="shared" si="43"/>
        <v/>
      </c>
      <c r="L381" s="26" t="str">
        <f t="shared" si="44"/>
        <v/>
      </c>
      <c r="N381" t="e">
        <f t="shared" si="45"/>
        <v>#N/A</v>
      </c>
      <c r="O381" t="e">
        <f t="shared" si="46"/>
        <v>#N/A</v>
      </c>
    </row>
    <row r="382" spans="1:15">
      <c r="A382" s="25">
        <v>46299.240972222222</v>
      </c>
      <c r="B382">
        <v>19.027000000000001</v>
      </c>
      <c r="C382">
        <v>50.98</v>
      </c>
      <c r="D382">
        <v>942.94799999999998</v>
      </c>
      <c r="E382">
        <v>2.887</v>
      </c>
      <c r="F382">
        <v>0</v>
      </c>
      <c r="G382" s="26">
        <f t="shared" si="40"/>
        <v>8.6525271729916735</v>
      </c>
      <c r="H382" s="26">
        <f t="shared" si="47"/>
        <v>4.6649999999999991</v>
      </c>
      <c r="I382" s="26">
        <f t="shared" si="41"/>
        <v>16.14</v>
      </c>
      <c r="J382" t="str">
        <f t="shared" si="42"/>
        <v>Heating</v>
      </c>
      <c r="K382" s="26" t="str">
        <f t="shared" si="43"/>
        <v/>
      </c>
      <c r="L382" s="26" t="str">
        <f t="shared" si="44"/>
        <v/>
      </c>
      <c r="N382" t="e">
        <f t="shared" si="45"/>
        <v>#N/A</v>
      </c>
      <c r="O382" t="e">
        <f t="shared" si="46"/>
        <v>#N/A</v>
      </c>
    </row>
    <row r="383" spans="1:15">
      <c r="A383" s="25">
        <v>46299.241666666669</v>
      </c>
      <c r="B383">
        <v>19.04</v>
      </c>
      <c r="C383">
        <v>51.158000000000001</v>
      </c>
      <c r="D383">
        <v>942.96699999999998</v>
      </c>
      <c r="E383">
        <v>2.88</v>
      </c>
      <c r="F383">
        <v>0</v>
      </c>
      <c r="G383" s="26">
        <f t="shared" si="40"/>
        <v>8.7160799525540558</v>
      </c>
      <c r="H383" s="26">
        <f t="shared" si="47"/>
        <v>1.9500000000000384</v>
      </c>
      <c r="I383" s="26">
        <f t="shared" si="41"/>
        <v>16.16</v>
      </c>
      <c r="J383" t="str">
        <f t="shared" si="42"/>
        <v>Heating</v>
      </c>
      <c r="K383" s="26" t="str">
        <f t="shared" si="43"/>
        <v/>
      </c>
      <c r="L383" s="26" t="str">
        <f t="shared" si="44"/>
        <v/>
      </c>
      <c r="N383" t="e">
        <f t="shared" si="45"/>
        <v>#N/A</v>
      </c>
      <c r="O383" t="e">
        <f t="shared" si="46"/>
        <v>#N/A</v>
      </c>
    </row>
    <row r="384" spans="1:15">
      <c r="A384" s="25">
        <v>46299.242361111108</v>
      </c>
      <c r="B384">
        <v>19.027999999999999</v>
      </c>
      <c r="C384">
        <v>51.313000000000002</v>
      </c>
      <c r="D384">
        <v>942.96699999999998</v>
      </c>
      <c r="E384">
        <v>2.8730000000000002</v>
      </c>
      <c r="F384">
        <v>0</v>
      </c>
      <c r="G384" s="26">
        <f t="shared" si="40"/>
        <v>8.7497732233804193</v>
      </c>
      <c r="H384" s="26">
        <f t="shared" si="47"/>
        <v>-1.0800000000000409</v>
      </c>
      <c r="I384" s="26">
        <f t="shared" si="41"/>
        <v>16.154999999999998</v>
      </c>
      <c r="J384" t="str">
        <f t="shared" si="42"/>
        <v>Cooling</v>
      </c>
      <c r="K384" s="26">
        <f t="shared" si="43"/>
        <v>16.154999999999998</v>
      </c>
      <c r="L384" s="26">
        <f t="shared" si="44"/>
        <v>-1.0800000000000409</v>
      </c>
      <c r="N384">
        <f t="shared" si="45"/>
        <v>16.154999999999998</v>
      </c>
      <c r="O384">
        <f t="shared" si="46"/>
        <v>-1.0800000000000409</v>
      </c>
    </row>
    <row r="385" spans="1:15">
      <c r="A385" s="25">
        <v>46299.243055555547</v>
      </c>
      <c r="B385">
        <v>19.010000000000002</v>
      </c>
      <c r="C385">
        <v>51.476999999999997</v>
      </c>
      <c r="D385">
        <v>942.97699999999998</v>
      </c>
      <c r="E385">
        <v>2.867</v>
      </c>
      <c r="F385">
        <v>0</v>
      </c>
      <c r="G385" s="26">
        <f t="shared" si="40"/>
        <v>8.7803872732843864</v>
      </c>
      <c r="H385" s="26">
        <f t="shared" si="47"/>
        <v>-1.9799999999999685</v>
      </c>
      <c r="I385" s="26">
        <f t="shared" si="41"/>
        <v>16.143000000000001</v>
      </c>
      <c r="J385" t="str">
        <f t="shared" si="42"/>
        <v>Cooling</v>
      </c>
      <c r="K385" s="26">
        <f t="shared" si="43"/>
        <v>16.143000000000001</v>
      </c>
      <c r="L385" s="26">
        <f t="shared" si="44"/>
        <v>-1.9799999999999685</v>
      </c>
      <c r="N385">
        <f t="shared" si="45"/>
        <v>16.143000000000001</v>
      </c>
      <c r="O385">
        <f t="shared" si="46"/>
        <v>-1.9799999999999685</v>
      </c>
    </row>
    <row r="386" spans="1:15">
      <c r="A386" s="25">
        <v>46299.243750000001</v>
      </c>
      <c r="B386">
        <v>18.954999999999998</v>
      </c>
      <c r="C386">
        <v>51.677</v>
      </c>
      <c r="D386">
        <v>942.97799999999995</v>
      </c>
      <c r="E386">
        <v>2.86</v>
      </c>
      <c r="F386">
        <v>0</v>
      </c>
      <c r="G386" s="26">
        <f t="shared" ref="G386:G449" si="48">243.04*(LN(C386/100)+17.625*B386/(243.04+B386))/(17.625-LN(C386/100)-17.625*B386/(243.04+B386))</f>
        <v>8.7869919787588024</v>
      </c>
      <c r="H386" s="26">
        <f t="shared" si="47"/>
        <v>-2.594999999999974</v>
      </c>
      <c r="I386" s="26">
        <f t="shared" ref="I386:I449" si="49">B386-E386</f>
        <v>16.094999999999999</v>
      </c>
      <c r="J386" t="str">
        <f t="shared" ref="J386:J449" si="50">IF(H386="","",IF(H386&gt;0.6,"Heating",IF(H386&lt;-0.2,"Cooling","Steady")))</f>
        <v>Cooling</v>
      </c>
      <c r="K386" s="26">
        <f t="shared" ref="K386:K449" si="51">IF(J386="Cooling",I386,"")</f>
        <v>16.094999999999999</v>
      </c>
      <c r="L386" s="26">
        <f t="shared" ref="L386:L449" si="52">IF(J386="Cooling",H386,"")</f>
        <v>-2.594999999999974</v>
      </c>
      <c r="N386">
        <f t="shared" ref="N386:N449" si="53">IF(K386="",NA(),K386)</f>
        <v>16.094999999999999</v>
      </c>
      <c r="O386">
        <f t="shared" ref="O386:O449" si="54">IF(L386="",NA(),L386)</f>
        <v>-2.594999999999974</v>
      </c>
    </row>
    <row r="387" spans="1:15">
      <c r="A387" s="25">
        <v>46299.244444444441</v>
      </c>
      <c r="B387">
        <v>18.908000000000001</v>
      </c>
      <c r="C387">
        <v>51.642000000000003</v>
      </c>
      <c r="D387">
        <v>942.95</v>
      </c>
      <c r="E387">
        <v>2.8530000000000002</v>
      </c>
      <c r="F387">
        <v>0</v>
      </c>
      <c r="G387" s="26">
        <f t="shared" si="48"/>
        <v>8.7335425389193446</v>
      </c>
      <c r="H387" s="26">
        <f t="shared" si="47"/>
        <v>-3.030000000000026</v>
      </c>
      <c r="I387" s="26">
        <f t="shared" si="49"/>
        <v>16.055</v>
      </c>
      <c r="J387" t="str">
        <f t="shared" si="50"/>
        <v>Cooling</v>
      </c>
      <c r="K387" s="26">
        <f t="shared" si="51"/>
        <v>16.055</v>
      </c>
      <c r="L387" s="26">
        <f t="shared" si="52"/>
        <v>-3.030000000000026</v>
      </c>
      <c r="N387">
        <f t="shared" si="53"/>
        <v>16.055</v>
      </c>
      <c r="O387">
        <f t="shared" si="54"/>
        <v>-3.030000000000026</v>
      </c>
    </row>
    <row r="388" spans="1:15">
      <c r="A388" s="25">
        <v>46299.245138888888</v>
      </c>
      <c r="B388">
        <v>18.855</v>
      </c>
      <c r="C388">
        <v>51.93</v>
      </c>
      <c r="D388">
        <v>942.96</v>
      </c>
      <c r="E388">
        <v>2.847</v>
      </c>
      <c r="F388">
        <v>0</v>
      </c>
      <c r="G388" s="26">
        <f t="shared" si="48"/>
        <v>8.7668732800720424</v>
      </c>
      <c r="H388" s="26">
        <f t="shared" ref="H388:H451" si="55">(B390-B386)/4*60</f>
        <v>-2.8799999999999493</v>
      </c>
      <c r="I388" s="26">
        <f t="shared" si="49"/>
        <v>16.007999999999999</v>
      </c>
      <c r="J388" t="str">
        <f t="shared" si="50"/>
        <v>Cooling</v>
      </c>
      <c r="K388" s="26">
        <f t="shared" si="51"/>
        <v>16.007999999999999</v>
      </c>
      <c r="L388" s="26">
        <f t="shared" si="52"/>
        <v>-2.8799999999999493</v>
      </c>
      <c r="N388">
        <f t="shared" si="53"/>
        <v>16.007999999999999</v>
      </c>
      <c r="O388">
        <f t="shared" si="54"/>
        <v>-2.8799999999999493</v>
      </c>
    </row>
    <row r="389" spans="1:15">
      <c r="A389" s="25">
        <v>46299.245833333327</v>
      </c>
      <c r="B389">
        <v>18.808</v>
      </c>
      <c r="C389">
        <v>52.093000000000004</v>
      </c>
      <c r="D389">
        <v>942.95699999999999</v>
      </c>
      <c r="E389">
        <v>2.84</v>
      </c>
      <c r="F389">
        <v>0</v>
      </c>
      <c r="G389" s="26">
        <f t="shared" si="48"/>
        <v>8.7698058310734162</v>
      </c>
      <c r="H389" s="26">
        <f t="shared" si="55"/>
        <v>-2.6700000000000124</v>
      </c>
      <c r="I389" s="26">
        <f t="shared" si="49"/>
        <v>15.968</v>
      </c>
      <c r="J389" t="str">
        <f t="shared" si="50"/>
        <v>Cooling</v>
      </c>
      <c r="K389" s="26">
        <f t="shared" si="51"/>
        <v>15.968</v>
      </c>
      <c r="L389" s="26">
        <f t="shared" si="52"/>
        <v>-2.6700000000000124</v>
      </c>
      <c r="N389">
        <f t="shared" si="53"/>
        <v>15.968</v>
      </c>
      <c r="O389">
        <f t="shared" si="54"/>
        <v>-2.6700000000000124</v>
      </c>
    </row>
    <row r="390" spans="1:15">
      <c r="A390" s="25">
        <v>46299.246527777781</v>
      </c>
      <c r="B390">
        <v>18.763000000000002</v>
      </c>
      <c r="C390">
        <v>52.368000000000002</v>
      </c>
      <c r="D390">
        <v>942.995</v>
      </c>
      <c r="E390">
        <v>2.8330000000000002</v>
      </c>
      <c r="F390">
        <v>0</v>
      </c>
      <c r="G390" s="26">
        <f t="shared" si="48"/>
        <v>8.8061257759353424</v>
      </c>
      <c r="H390" s="26">
        <f t="shared" si="55"/>
        <v>-2.1749999999999936</v>
      </c>
      <c r="I390" s="26">
        <f t="shared" si="49"/>
        <v>15.930000000000001</v>
      </c>
      <c r="J390" t="str">
        <f t="shared" si="50"/>
        <v>Cooling</v>
      </c>
      <c r="K390" s="26">
        <f t="shared" si="51"/>
        <v>15.930000000000001</v>
      </c>
      <c r="L390" s="26">
        <f t="shared" si="52"/>
        <v>-2.1749999999999936</v>
      </c>
      <c r="N390">
        <f t="shared" si="53"/>
        <v>15.930000000000001</v>
      </c>
      <c r="O390">
        <f t="shared" si="54"/>
        <v>-2.1749999999999936</v>
      </c>
    </row>
    <row r="391" spans="1:15">
      <c r="A391" s="25">
        <v>46299.24722222222</v>
      </c>
      <c r="B391">
        <v>18.73</v>
      </c>
      <c r="C391">
        <v>52.387</v>
      </c>
      <c r="D391">
        <v>942.99</v>
      </c>
      <c r="E391">
        <v>2.827</v>
      </c>
      <c r="F391">
        <v>0</v>
      </c>
      <c r="G391" s="26">
        <f t="shared" si="48"/>
        <v>8.780958031655814</v>
      </c>
      <c r="H391" s="26">
        <f t="shared" si="55"/>
        <v>-1.8900000000000183</v>
      </c>
      <c r="I391" s="26">
        <f t="shared" si="49"/>
        <v>15.903</v>
      </c>
      <c r="J391" t="str">
        <f t="shared" si="50"/>
        <v>Cooling</v>
      </c>
      <c r="K391" s="26">
        <f t="shared" si="51"/>
        <v>15.903</v>
      </c>
      <c r="L391" s="26">
        <f t="shared" si="52"/>
        <v>-1.8900000000000183</v>
      </c>
      <c r="N391">
        <f t="shared" si="53"/>
        <v>15.903</v>
      </c>
      <c r="O391">
        <f t="shared" si="54"/>
        <v>-1.8900000000000183</v>
      </c>
    </row>
    <row r="392" spans="1:15">
      <c r="A392" s="25">
        <v>46299.247916666667</v>
      </c>
      <c r="B392">
        <v>18.71</v>
      </c>
      <c r="C392">
        <v>52.523000000000003</v>
      </c>
      <c r="D392">
        <v>942.98500000000001</v>
      </c>
      <c r="E392">
        <v>2.82</v>
      </c>
      <c r="F392">
        <v>0</v>
      </c>
      <c r="G392" s="26">
        <f t="shared" si="48"/>
        <v>8.800831702079039</v>
      </c>
      <c r="H392" s="26">
        <f t="shared" si="55"/>
        <v>-1.6200000000000081</v>
      </c>
      <c r="I392" s="26">
        <f t="shared" si="49"/>
        <v>15.89</v>
      </c>
      <c r="J392" t="str">
        <f t="shared" si="50"/>
        <v>Cooling</v>
      </c>
      <c r="K392" s="26">
        <f t="shared" si="51"/>
        <v>15.89</v>
      </c>
      <c r="L392" s="26">
        <f t="shared" si="52"/>
        <v>-1.6200000000000081</v>
      </c>
      <c r="N392">
        <f t="shared" si="53"/>
        <v>15.89</v>
      </c>
      <c r="O392">
        <f t="shared" si="54"/>
        <v>-1.6200000000000081</v>
      </c>
    </row>
    <row r="393" spans="1:15">
      <c r="A393" s="25">
        <v>46299.248611111107</v>
      </c>
      <c r="B393">
        <v>18.681999999999999</v>
      </c>
      <c r="C393">
        <v>52.662999999999997</v>
      </c>
      <c r="D393">
        <v>942.952</v>
      </c>
      <c r="E393">
        <v>2.8130000000000002</v>
      </c>
      <c r="F393">
        <v>0</v>
      </c>
      <c r="G393" s="26">
        <f t="shared" si="48"/>
        <v>8.8143231040704642</v>
      </c>
      <c r="H393" s="26">
        <f t="shared" si="55"/>
        <v>-1.5000000000000213</v>
      </c>
      <c r="I393" s="26">
        <f t="shared" si="49"/>
        <v>15.868999999999998</v>
      </c>
      <c r="J393" t="str">
        <f t="shared" si="50"/>
        <v>Cooling</v>
      </c>
      <c r="K393" s="26">
        <f t="shared" si="51"/>
        <v>15.868999999999998</v>
      </c>
      <c r="L393" s="26">
        <f t="shared" si="52"/>
        <v>-1.5000000000000213</v>
      </c>
      <c r="N393">
        <f t="shared" si="53"/>
        <v>15.868999999999998</v>
      </c>
      <c r="O393">
        <f t="shared" si="54"/>
        <v>-1.5000000000000213</v>
      </c>
    </row>
    <row r="394" spans="1:15">
      <c r="A394" s="25">
        <v>46299.249305555553</v>
      </c>
      <c r="B394">
        <v>18.655000000000001</v>
      </c>
      <c r="C394">
        <v>52.637999999999998</v>
      </c>
      <c r="D394">
        <v>942.96500000000003</v>
      </c>
      <c r="E394">
        <v>2.8069999999999999</v>
      </c>
      <c r="F394">
        <v>0</v>
      </c>
      <c r="G394" s="26">
        <f t="shared" si="48"/>
        <v>8.7822909745269477</v>
      </c>
      <c r="H394" s="26">
        <f t="shared" si="55"/>
        <v>-1.3499999999999979</v>
      </c>
      <c r="I394" s="26">
        <f t="shared" si="49"/>
        <v>15.848000000000001</v>
      </c>
      <c r="J394" t="str">
        <f t="shared" si="50"/>
        <v>Cooling</v>
      </c>
      <c r="K394" s="26">
        <f t="shared" si="51"/>
        <v>15.848000000000001</v>
      </c>
      <c r="L394" s="26">
        <f t="shared" si="52"/>
        <v>-1.3499999999999979</v>
      </c>
      <c r="N394">
        <f t="shared" si="53"/>
        <v>15.848000000000001</v>
      </c>
      <c r="O394">
        <f t="shared" si="54"/>
        <v>-1.3499999999999979</v>
      </c>
    </row>
    <row r="395" spans="1:15">
      <c r="A395" s="25">
        <v>46299.25</v>
      </c>
      <c r="B395">
        <v>18.63</v>
      </c>
      <c r="C395">
        <v>52.838000000000001</v>
      </c>
      <c r="D395">
        <v>942.93</v>
      </c>
      <c r="E395">
        <v>2.8</v>
      </c>
      <c r="F395">
        <v>0</v>
      </c>
      <c r="G395" s="26">
        <f t="shared" si="48"/>
        <v>8.8152858615885101</v>
      </c>
      <c r="H395" s="26">
        <f t="shared" si="55"/>
        <v>-1.1249999999999893</v>
      </c>
      <c r="I395" s="26">
        <f t="shared" si="49"/>
        <v>15.829999999999998</v>
      </c>
      <c r="J395" t="str">
        <f t="shared" si="50"/>
        <v>Cooling</v>
      </c>
      <c r="K395" s="26">
        <f t="shared" si="51"/>
        <v>15.829999999999998</v>
      </c>
      <c r="L395" s="26">
        <f t="shared" si="52"/>
        <v>-1.1249999999999893</v>
      </c>
      <c r="N395">
        <f t="shared" si="53"/>
        <v>15.829999999999998</v>
      </c>
      <c r="O395">
        <f t="shared" si="54"/>
        <v>-1.1249999999999893</v>
      </c>
    </row>
    <row r="396" spans="1:15">
      <c r="A396" s="25">
        <v>46299.250694444447</v>
      </c>
      <c r="B396">
        <v>18.62</v>
      </c>
      <c r="C396">
        <v>52.807000000000002</v>
      </c>
      <c r="D396">
        <v>942.96699999999998</v>
      </c>
      <c r="E396">
        <v>2.798</v>
      </c>
      <c r="F396">
        <v>0</v>
      </c>
      <c r="G396" s="26">
        <f t="shared" si="48"/>
        <v>8.7973325137149683</v>
      </c>
      <c r="H396" s="26">
        <f t="shared" si="55"/>
        <v>-0.93000000000001748</v>
      </c>
      <c r="I396" s="26">
        <f t="shared" si="49"/>
        <v>15.822000000000001</v>
      </c>
      <c r="J396" t="str">
        <f t="shared" si="50"/>
        <v>Cooling</v>
      </c>
      <c r="K396" s="26">
        <f t="shared" si="51"/>
        <v>15.822000000000001</v>
      </c>
      <c r="L396" s="26">
        <f t="shared" si="52"/>
        <v>-0.93000000000001748</v>
      </c>
      <c r="N396">
        <f t="shared" si="53"/>
        <v>15.822000000000001</v>
      </c>
      <c r="O396">
        <f t="shared" si="54"/>
        <v>-0.93000000000001748</v>
      </c>
    </row>
    <row r="397" spans="1:15">
      <c r="A397" s="25">
        <v>46299.251388888893</v>
      </c>
      <c r="B397">
        <v>18.606999999999999</v>
      </c>
      <c r="C397">
        <v>52.787999999999997</v>
      </c>
      <c r="D397">
        <v>942.94200000000001</v>
      </c>
      <c r="E397">
        <v>2.7970000000000002</v>
      </c>
      <c r="F397">
        <v>0</v>
      </c>
      <c r="G397" s="26">
        <f t="shared" si="48"/>
        <v>8.7799627136100469</v>
      </c>
      <c r="H397" s="26">
        <f t="shared" si="55"/>
        <v>-0.77999999999999403</v>
      </c>
      <c r="I397" s="26">
        <f t="shared" si="49"/>
        <v>15.809999999999999</v>
      </c>
      <c r="J397" t="str">
        <f t="shared" si="50"/>
        <v>Cooling</v>
      </c>
      <c r="K397" s="26">
        <f t="shared" si="51"/>
        <v>15.809999999999999</v>
      </c>
      <c r="L397" s="26">
        <f t="shared" si="52"/>
        <v>-0.77999999999999403</v>
      </c>
      <c r="N397">
        <f t="shared" si="53"/>
        <v>15.809999999999999</v>
      </c>
      <c r="O397">
        <f t="shared" si="54"/>
        <v>-0.77999999999999403</v>
      </c>
    </row>
    <row r="398" spans="1:15">
      <c r="A398" s="25">
        <v>46299.252083333333</v>
      </c>
      <c r="B398">
        <v>18.593</v>
      </c>
      <c r="C398">
        <v>52.951999999999998</v>
      </c>
      <c r="D398">
        <v>942.94799999999998</v>
      </c>
      <c r="E398">
        <v>2.7949999999999999</v>
      </c>
      <c r="F398">
        <v>0</v>
      </c>
      <c r="G398" s="26">
        <f t="shared" si="48"/>
        <v>8.8129188983351892</v>
      </c>
      <c r="H398" s="26">
        <f t="shared" si="55"/>
        <v>-0.77999999999999403</v>
      </c>
      <c r="I398" s="26">
        <f t="shared" si="49"/>
        <v>15.798</v>
      </c>
      <c r="J398" t="str">
        <f t="shared" si="50"/>
        <v>Cooling</v>
      </c>
      <c r="K398" s="26">
        <f t="shared" si="51"/>
        <v>15.798</v>
      </c>
      <c r="L398" s="26">
        <f t="shared" si="52"/>
        <v>-0.77999999999999403</v>
      </c>
      <c r="N398">
        <f t="shared" si="53"/>
        <v>15.798</v>
      </c>
      <c r="O398">
        <f t="shared" si="54"/>
        <v>-0.77999999999999403</v>
      </c>
    </row>
    <row r="399" spans="1:15">
      <c r="A399" s="25">
        <v>46299.25277777778</v>
      </c>
      <c r="B399">
        <v>18.577999999999999</v>
      </c>
      <c r="C399">
        <v>52.787999999999997</v>
      </c>
      <c r="D399">
        <v>942.93299999999999</v>
      </c>
      <c r="E399">
        <v>2.7930000000000001</v>
      </c>
      <c r="F399">
        <v>0</v>
      </c>
      <c r="G399" s="26">
        <f t="shared" si="48"/>
        <v>8.7531000794647227</v>
      </c>
      <c r="H399" s="26">
        <f t="shared" si="55"/>
        <v>-0.62999999999997058</v>
      </c>
      <c r="I399" s="26">
        <f t="shared" si="49"/>
        <v>15.785</v>
      </c>
      <c r="J399" t="str">
        <f t="shared" si="50"/>
        <v>Cooling</v>
      </c>
      <c r="K399" s="26">
        <f t="shared" si="51"/>
        <v>15.785</v>
      </c>
      <c r="L399" s="26">
        <f t="shared" si="52"/>
        <v>-0.62999999999997058</v>
      </c>
      <c r="N399">
        <f t="shared" si="53"/>
        <v>15.785</v>
      </c>
      <c r="O399">
        <f t="shared" si="54"/>
        <v>-0.62999999999997058</v>
      </c>
    </row>
    <row r="400" spans="1:15">
      <c r="A400" s="25">
        <v>46299.253472222219</v>
      </c>
      <c r="B400">
        <v>18.568000000000001</v>
      </c>
      <c r="C400">
        <v>52.945</v>
      </c>
      <c r="D400">
        <v>942.94299999999998</v>
      </c>
      <c r="E400">
        <v>2.7919999999999998</v>
      </c>
      <c r="F400">
        <v>0</v>
      </c>
      <c r="G400" s="26">
        <f t="shared" si="48"/>
        <v>8.7877956694923327</v>
      </c>
      <c r="H400" s="26">
        <f t="shared" si="55"/>
        <v>-0.49500000000001876</v>
      </c>
      <c r="I400" s="26">
        <f t="shared" si="49"/>
        <v>15.776000000000002</v>
      </c>
      <c r="J400" t="str">
        <f t="shared" si="50"/>
        <v>Cooling</v>
      </c>
      <c r="K400" s="26">
        <f t="shared" si="51"/>
        <v>15.776000000000002</v>
      </c>
      <c r="L400" s="26">
        <f t="shared" si="52"/>
        <v>-0.49500000000001876</v>
      </c>
      <c r="N400">
        <f t="shared" si="53"/>
        <v>15.776000000000002</v>
      </c>
      <c r="O400">
        <f t="shared" si="54"/>
        <v>-0.49500000000001876</v>
      </c>
    </row>
    <row r="401" spans="1:15">
      <c r="A401" s="25">
        <v>46299.254166666673</v>
      </c>
      <c r="B401">
        <v>18.565000000000001</v>
      </c>
      <c r="C401">
        <v>52.887999999999998</v>
      </c>
      <c r="D401">
        <v>942.94299999999998</v>
      </c>
      <c r="E401">
        <v>2.79</v>
      </c>
      <c r="F401">
        <v>0</v>
      </c>
      <c r="G401" s="26">
        <f t="shared" si="48"/>
        <v>8.7690699546639941</v>
      </c>
      <c r="H401" s="26">
        <f t="shared" si="55"/>
        <v>-0.38999999999999702</v>
      </c>
      <c r="I401" s="26">
        <f t="shared" si="49"/>
        <v>15.775000000000002</v>
      </c>
      <c r="J401" t="str">
        <f t="shared" si="50"/>
        <v>Cooling</v>
      </c>
      <c r="K401" s="26">
        <f t="shared" si="51"/>
        <v>15.775000000000002</v>
      </c>
      <c r="L401" s="26">
        <f t="shared" si="52"/>
        <v>-0.38999999999999702</v>
      </c>
      <c r="N401">
        <f t="shared" si="53"/>
        <v>15.775000000000002</v>
      </c>
      <c r="O401">
        <f t="shared" si="54"/>
        <v>-0.38999999999999702</v>
      </c>
    </row>
    <row r="402" spans="1:15">
      <c r="A402" s="25">
        <v>46299.254861111112</v>
      </c>
      <c r="B402">
        <v>18.559999999999999</v>
      </c>
      <c r="C402">
        <v>52.808</v>
      </c>
      <c r="D402">
        <v>942.95699999999999</v>
      </c>
      <c r="E402">
        <v>2.7879999999999998</v>
      </c>
      <c r="F402">
        <v>0</v>
      </c>
      <c r="G402" s="26">
        <f t="shared" si="48"/>
        <v>8.7420325091547699</v>
      </c>
      <c r="H402" s="26">
        <f t="shared" si="55"/>
        <v>-0.24000000000002686</v>
      </c>
      <c r="I402" s="26">
        <f t="shared" si="49"/>
        <v>15.771999999999998</v>
      </c>
      <c r="J402" t="str">
        <f t="shared" si="50"/>
        <v>Cooling</v>
      </c>
      <c r="K402" s="26">
        <f t="shared" si="51"/>
        <v>15.771999999999998</v>
      </c>
      <c r="L402" s="26">
        <f t="shared" si="52"/>
        <v>-0.24000000000002686</v>
      </c>
      <c r="N402">
        <f t="shared" si="53"/>
        <v>15.771999999999998</v>
      </c>
      <c r="O402">
        <f t="shared" si="54"/>
        <v>-0.24000000000002686</v>
      </c>
    </row>
    <row r="403" spans="1:15">
      <c r="A403" s="25">
        <v>46299.255555555559</v>
      </c>
      <c r="B403">
        <v>18.552</v>
      </c>
      <c r="C403">
        <v>53.036999999999999</v>
      </c>
      <c r="D403">
        <v>942.94799999999998</v>
      </c>
      <c r="E403">
        <v>2.7869999999999999</v>
      </c>
      <c r="F403">
        <v>0</v>
      </c>
      <c r="G403" s="26">
        <f t="shared" si="48"/>
        <v>8.7986723339924247</v>
      </c>
      <c r="H403" s="26">
        <f t="shared" si="55"/>
        <v>-0.37500000000003197</v>
      </c>
      <c r="I403" s="26">
        <f t="shared" si="49"/>
        <v>15.765000000000001</v>
      </c>
      <c r="J403" t="str">
        <f t="shared" si="50"/>
        <v>Cooling</v>
      </c>
      <c r="K403" s="26">
        <f t="shared" si="51"/>
        <v>15.765000000000001</v>
      </c>
      <c r="L403" s="26">
        <f t="shared" si="52"/>
        <v>-0.37500000000003197</v>
      </c>
      <c r="N403">
        <f t="shared" si="53"/>
        <v>15.765000000000001</v>
      </c>
      <c r="O403">
        <f t="shared" si="54"/>
        <v>-0.37500000000003197</v>
      </c>
    </row>
    <row r="404" spans="1:15">
      <c r="A404" s="25">
        <v>46299.256249999999</v>
      </c>
      <c r="B404">
        <v>18.552</v>
      </c>
      <c r="C404">
        <v>52.965000000000003</v>
      </c>
      <c r="D404">
        <v>942.92499999999995</v>
      </c>
      <c r="E404">
        <v>2.7850000000000001</v>
      </c>
      <c r="F404">
        <v>0</v>
      </c>
      <c r="G404" s="26">
        <f t="shared" si="48"/>
        <v>8.7785604953781995</v>
      </c>
      <c r="H404" s="26">
        <f t="shared" si="55"/>
        <v>-0.5549999999999855</v>
      </c>
      <c r="I404" s="26">
        <f t="shared" si="49"/>
        <v>15.766999999999999</v>
      </c>
      <c r="J404" t="str">
        <f t="shared" si="50"/>
        <v>Cooling</v>
      </c>
      <c r="K404" s="26">
        <f t="shared" si="51"/>
        <v>15.766999999999999</v>
      </c>
      <c r="L404" s="26">
        <f t="shared" si="52"/>
        <v>-0.5549999999999855</v>
      </c>
      <c r="N404">
        <f t="shared" si="53"/>
        <v>15.766999999999999</v>
      </c>
      <c r="O404">
        <f t="shared" si="54"/>
        <v>-0.5549999999999855</v>
      </c>
    </row>
    <row r="405" spans="1:15">
      <c r="A405" s="25">
        <v>46299.256944444453</v>
      </c>
      <c r="B405">
        <v>18.54</v>
      </c>
      <c r="C405">
        <v>52.927999999999997</v>
      </c>
      <c r="D405">
        <v>942.93499999999995</v>
      </c>
      <c r="E405">
        <v>2.7829999999999999</v>
      </c>
      <c r="F405">
        <v>0</v>
      </c>
      <c r="G405" s="26">
        <f t="shared" si="48"/>
        <v>8.7570966761413107</v>
      </c>
      <c r="H405" s="26">
        <f t="shared" si="55"/>
        <v>-0.2549999999999919</v>
      </c>
      <c r="I405" s="26">
        <f t="shared" si="49"/>
        <v>15.757</v>
      </c>
      <c r="J405" t="str">
        <f t="shared" si="50"/>
        <v>Cooling</v>
      </c>
      <c r="K405" s="26">
        <f t="shared" si="51"/>
        <v>15.757</v>
      </c>
      <c r="L405" s="26">
        <f t="shared" si="52"/>
        <v>-0.2549999999999919</v>
      </c>
      <c r="N405">
        <f t="shared" si="53"/>
        <v>15.757</v>
      </c>
      <c r="O405">
        <f t="shared" si="54"/>
        <v>-0.2549999999999919</v>
      </c>
    </row>
    <row r="406" spans="1:15">
      <c r="A406" s="25">
        <v>46299.257638888892</v>
      </c>
      <c r="B406">
        <v>18.523</v>
      </c>
      <c r="C406">
        <v>52.902999999999999</v>
      </c>
      <c r="D406">
        <v>942.92</v>
      </c>
      <c r="E406">
        <v>2.782</v>
      </c>
      <c r="F406">
        <v>0</v>
      </c>
      <c r="G406" s="26">
        <f t="shared" si="48"/>
        <v>8.7343526953792825</v>
      </c>
      <c r="H406" s="26">
        <f t="shared" si="55"/>
        <v>-0.40500000000001535</v>
      </c>
      <c r="I406" s="26">
        <f t="shared" si="49"/>
        <v>15.741</v>
      </c>
      <c r="J406" t="str">
        <f t="shared" si="50"/>
        <v>Cooling</v>
      </c>
      <c r="K406" s="26">
        <f t="shared" si="51"/>
        <v>15.741</v>
      </c>
      <c r="L406" s="26">
        <f t="shared" si="52"/>
        <v>-0.40500000000001535</v>
      </c>
      <c r="N406">
        <f t="shared" si="53"/>
        <v>15.741</v>
      </c>
      <c r="O406">
        <f t="shared" si="54"/>
        <v>-0.40500000000001535</v>
      </c>
    </row>
    <row r="407" spans="1:15">
      <c r="A407" s="25">
        <v>46299.258333333331</v>
      </c>
      <c r="B407">
        <v>18.535</v>
      </c>
      <c r="C407">
        <v>53.112000000000002</v>
      </c>
      <c r="D407">
        <v>942.89300000000003</v>
      </c>
      <c r="E407">
        <v>2.78</v>
      </c>
      <c r="F407">
        <v>0</v>
      </c>
      <c r="G407" s="26">
        <f t="shared" si="48"/>
        <v>8.8038379475036272</v>
      </c>
      <c r="H407" s="26">
        <f t="shared" si="55"/>
        <v>-0.32999999999997698</v>
      </c>
      <c r="I407" s="26">
        <f t="shared" si="49"/>
        <v>15.755000000000001</v>
      </c>
      <c r="J407" t="str">
        <f t="shared" si="50"/>
        <v>Cooling</v>
      </c>
      <c r="K407" s="26">
        <f t="shared" si="51"/>
        <v>15.755000000000001</v>
      </c>
      <c r="L407" s="26">
        <f t="shared" si="52"/>
        <v>-0.32999999999997698</v>
      </c>
      <c r="N407">
        <f t="shared" si="53"/>
        <v>15.755000000000001</v>
      </c>
      <c r="O407">
        <f t="shared" si="54"/>
        <v>-0.32999999999997698</v>
      </c>
    </row>
    <row r="408" spans="1:15">
      <c r="A408" s="25">
        <v>46299.259027777778</v>
      </c>
      <c r="B408">
        <v>18.524999999999999</v>
      </c>
      <c r="C408">
        <v>53.012999999999998</v>
      </c>
      <c r="D408">
        <v>942.91</v>
      </c>
      <c r="E408">
        <v>2.778</v>
      </c>
      <c r="F408">
        <v>0</v>
      </c>
      <c r="G408" s="26">
        <f t="shared" si="48"/>
        <v>8.7669481310718371</v>
      </c>
      <c r="H408" s="26">
        <f t="shared" si="55"/>
        <v>-0.29999999999999361</v>
      </c>
      <c r="I408" s="26">
        <f t="shared" si="49"/>
        <v>15.746999999999998</v>
      </c>
      <c r="J408" t="str">
        <f t="shared" si="50"/>
        <v>Cooling</v>
      </c>
      <c r="K408" s="26">
        <f t="shared" si="51"/>
        <v>15.746999999999998</v>
      </c>
      <c r="L408" s="26">
        <f t="shared" si="52"/>
        <v>-0.29999999999999361</v>
      </c>
      <c r="N408">
        <f t="shared" si="53"/>
        <v>15.746999999999998</v>
      </c>
      <c r="O408">
        <f t="shared" si="54"/>
        <v>-0.29999999999999361</v>
      </c>
    </row>
    <row r="409" spans="1:15">
      <c r="A409" s="25">
        <v>46299.259722222218</v>
      </c>
      <c r="B409">
        <v>18.518000000000001</v>
      </c>
      <c r="C409">
        <v>52.993000000000002</v>
      </c>
      <c r="D409">
        <v>942.89499999999998</v>
      </c>
      <c r="E409">
        <v>2.7770000000000001</v>
      </c>
      <c r="F409">
        <v>0</v>
      </c>
      <c r="G409" s="26">
        <f t="shared" si="48"/>
        <v>8.7548756347363099</v>
      </c>
      <c r="H409" s="26">
        <f t="shared" si="55"/>
        <v>-0.63000000000002387</v>
      </c>
      <c r="I409" s="26">
        <f t="shared" si="49"/>
        <v>15.741</v>
      </c>
      <c r="J409" t="str">
        <f t="shared" si="50"/>
        <v>Cooling</v>
      </c>
      <c r="K409" s="26">
        <f t="shared" si="51"/>
        <v>15.741</v>
      </c>
      <c r="L409" s="26">
        <f t="shared" si="52"/>
        <v>-0.63000000000002387</v>
      </c>
      <c r="N409">
        <f t="shared" si="53"/>
        <v>15.741</v>
      </c>
      <c r="O409">
        <f t="shared" si="54"/>
        <v>-0.63000000000002387</v>
      </c>
    </row>
    <row r="410" spans="1:15">
      <c r="A410" s="25">
        <v>46299.260416666657</v>
      </c>
      <c r="B410">
        <v>18.503</v>
      </c>
      <c r="C410">
        <v>53.034999999999997</v>
      </c>
      <c r="D410">
        <v>942.93700000000001</v>
      </c>
      <c r="E410">
        <v>2.7749999999999999</v>
      </c>
      <c r="F410">
        <v>0</v>
      </c>
      <c r="G410" s="26">
        <f t="shared" si="48"/>
        <v>8.7526996461068212</v>
      </c>
      <c r="H410" s="26">
        <f t="shared" si="55"/>
        <v>-0.49499999999996547</v>
      </c>
      <c r="I410" s="26">
        <f t="shared" si="49"/>
        <v>15.728</v>
      </c>
      <c r="J410" t="str">
        <f t="shared" si="50"/>
        <v>Cooling</v>
      </c>
      <c r="K410" s="26">
        <f t="shared" si="51"/>
        <v>15.728</v>
      </c>
      <c r="L410" s="26">
        <f t="shared" si="52"/>
        <v>-0.49499999999996547</v>
      </c>
      <c r="N410">
        <f t="shared" si="53"/>
        <v>15.728</v>
      </c>
      <c r="O410">
        <f t="shared" si="54"/>
        <v>-0.49499999999996547</v>
      </c>
    </row>
    <row r="411" spans="1:15">
      <c r="A411" s="25">
        <v>46299.261111111111</v>
      </c>
      <c r="B411">
        <v>18.492999999999999</v>
      </c>
      <c r="C411">
        <v>53.216999999999999</v>
      </c>
      <c r="D411">
        <v>942.92200000000003</v>
      </c>
      <c r="E411">
        <v>2.7730000000000001</v>
      </c>
      <c r="F411">
        <v>0</v>
      </c>
      <c r="G411" s="26">
        <f t="shared" si="48"/>
        <v>8.7941420289860162</v>
      </c>
      <c r="H411" s="26">
        <f t="shared" si="55"/>
        <v>-0.37500000000003197</v>
      </c>
      <c r="I411" s="26">
        <f t="shared" si="49"/>
        <v>15.719999999999999</v>
      </c>
      <c r="J411" t="str">
        <f t="shared" si="50"/>
        <v>Cooling</v>
      </c>
      <c r="K411" s="26">
        <f t="shared" si="51"/>
        <v>15.719999999999999</v>
      </c>
      <c r="L411" s="26">
        <f t="shared" si="52"/>
        <v>-0.37500000000003197</v>
      </c>
      <c r="N411">
        <f t="shared" si="53"/>
        <v>15.719999999999999</v>
      </c>
      <c r="O411">
        <f t="shared" si="54"/>
        <v>-0.37500000000003197</v>
      </c>
    </row>
    <row r="412" spans="1:15">
      <c r="A412" s="25">
        <v>46299.261805555558</v>
      </c>
      <c r="B412">
        <v>18.492000000000001</v>
      </c>
      <c r="C412">
        <v>53.097999999999999</v>
      </c>
      <c r="D412">
        <v>942.95500000000004</v>
      </c>
      <c r="E412">
        <v>2.7719999999999998</v>
      </c>
      <c r="F412">
        <v>0</v>
      </c>
      <c r="G412" s="26">
        <f t="shared" si="48"/>
        <v>8.760075427672545</v>
      </c>
      <c r="H412" s="26">
        <f t="shared" si="55"/>
        <v>-0.31500000000001194</v>
      </c>
      <c r="I412" s="26">
        <f t="shared" si="49"/>
        <v>15.72</v>
      </c>
      <c r="J412" t="str">
        <f t="shared" si="50"/>
        <v>Cooling</v>
      </c>
      <c r="K412" s="26">
        <f t="shared" si="51"/>
        <v>15.72</v>
      </c>
      <c r="L412" s="26">
        <f t="shared" si="52"/>
        <v>-0.31500000000001194</v>
      </c>
      <c r="N412">
        <f t="shared" si="53"/>
        <v>15.72</v>
      </c>
      <c r="O412">
        <f t="shared" si="54"/>
        <v>-0.31500000000001194</v>
      </c>
    </row>
    <row r="413" spans="1:15">
      <c r="A413" s="25">
        <v>46299.262499999997</v>
      </c>
      <c r="B413">
        <v>18.492999999999999</v>
      </c>
      <c r="C413">
        <v>53.21</v>
      </c>
      <c r="D413">
        <v>942.947</v>
      </c>
      <c r="E413">
        <v>2.77</v>
      </c>
      <c r="F413">
        <v>0</v>
      </c>
      <c r="G413" s="26">
        <f t="shared" si="48"/>
        <v>8.7921944494960691</v>
      </c>
      <c r="H413" s="26">
        <f t="shared" si="55"/>
        <v>-0.34499999999999531</v>
      </c>
      <c r="I413" s="26">
        <f t="shared" si="49"/>
        <v>15.722999999999999</v>
      </c>
      <c r="J413" t="str">
        <f t="shared" si="50"/>
        <v>Cooling</v>
      </c>
      <c r="K413" s="26">
        <f t="shared" si="51"/>
        <v>15.722999999999999</v>
      </c>
      <c r="L413" s="26">
        <f t="shared" si="52"/>
        <v>-0.34499999999999531</v>
      </c>
      <c r="N413">
        <f t="shared" si="53"/>
        <v>15.722999999999999</v>
      </c>
      <c r="O413">
        <f t="shared" si="54"/>
        <v>-0.34499999999999531</v>
      </c>
    </row>
    <row r="414" spans="1:15">
      <c r="A414" s="25">
        <v>46299.263194444437</v>
      </c>
      <c r="B414">
        <v>18.481999999999999</v>
      </c>
      <c r="C414">
        <v>53.091999999999999</v>
      </c>
      <c r="D414">
        <v>943.01499999999999</v>
      </c>
      <c r="E414">
        <v>2.7679999999999998</v>
      </c>
      <c r="F414">
        <v>0</v>
      </c>
      <c r="G414" s="26">
        <f t="shared" si="48"/>
        <v>8.7491332864665399</v>
      </c>
      <c r="H414" s="26">
        <f t="shared" si="55"/>
        <v>-0.51000000000003709</v>
      </c>
      <c r="I414" s="26">
        <f t="shared" si="49"/>
        <v>15.713999999999999</v>
      </c>
      <c r="J414" t="str">
        <f t="shared" si="50"/>
        <v>Cooling</v>
      </c>
      <c r="K414" s="26">
        <f t="shared" si="51"/>
        <v>15.713999999999999</v>
      </c>
      <c r="L414" s="26">
        <f t="shared" si="52"/>
        <v>-0.51000000000003709</v>
      </c>
      <c r="N414">
        <f t="shared" si="53"/>
        <v>15.713999999999999</v>
      </c>
      <c r="O414">
        <f t="shared" si="54"/>
        <v>-0.51000000000003709</v>
      </c>
    </row>
    <row r="415" spans="1:15">
      <c r="A415" s="25">
        <v>46299.263888888891</v>
      </c>
      <c r="B415">
        <v>18.47</v>
      </c>
      <c r="C415">
        <v>53.317999999999998</v>
      </c>
      <c r="D415">
        <v>943.02800000000002</v>
      </c>
      <c r="E415">
        <v>2.7669999999999999</v>
      </c>
      <c r="F415">
        <v>0</v>
      </c>
      <c r="G415" s="26">
        <f t="shared" si="48"/>
        <v>8.8008871244238787</v>
      </c>
      <c r="H415" s="26">
        <f t="shared" si="55"/>
        <v>-0.67499999999997229</v>
      </c>
      <c r="I415" s="26">
        <f t="shared" si="49"/>
        <v>15.702999999999999</v>
      </c>
      <c r="J415" t="str">
        <f t="shared" si="50"/>
        <v>Cooling</v>
      </c>
      <c r="K415" s="26">
        <f t="shared" si="51"/>
        <v>15.702999999999999</v>
      </c>
      <c r="L415" s="26">
        <f t="shared" si="52"/>
        <v>-0.67499999999997229</v>
      </c>
      <c r="N415">
        <f t="shared" si="53"/>
        <v>15.702999999999999</v>
      </c>
      <c r="O415">
        <f t="shared" si="54"/>
        <v>-0.67499999999997229</v>
      </c>
    </row>
    <row r="416" spans="1:15">
      <c r="A416" s="25">
        <v>46299.26458333333</v>
      </c>
      <c r="B416">
        <v>18.457999999999998</v>
      </c>
      <c r="C416">
        <v>53.347000000000001</v>
      </c>
      <c r="D416">
        <v>943.02300000000002</v>
      </c>
      <c r="E416">
        <v>2.7650000000000001</v>
      </c>
      <c r="F416">
        <v>0</v>
      </c>
      <c r="G416" s="26">
        <f t="shared" si="48"/>
        <v>8.797808660241289</v>
      </c>
      <c r="H416" s="26">
        <f t="shared" si="55"/>
        <v>-0.62999999999997058</v>
      </c>
      <c r="I416" s="26">
        <f t="shared" si="49"/>
        <v>15.692999999999998</v>
      </c>
      <c r="J416" t="str">
        <f t="shared" si="50"/>
        <v>Cooling</v>
      </c>
      <c r="K416" s="26">
        <f t="shared" si="51"/>
        <v>15.692999999999998</v>
      </c>
      <c r="L416" s="26">
        <f t="shared" si="52"/>
        <v>-0.62999999999997058</v>
      </c>
      <c r="N416">
        <f t="shared" si="53"/>
        <v>15.692999999999998</v>
      </c>
      <c r="O416">
        <f t="shared" si="54"/>
        <v>-0.62999999999997058</v>
      </c>
    </row>
    <row r="417" spans="1:15">
      <c r="A417" s="25">
        <v>46299.265277777777</v>
      </c>
      <c r="B417">
        <v>18.448</v>
      </c>
      <c r="C417">
        <v>53.145000000000003</v>
      </c>
      <c r="D417">
        <v>943.03300000000002</v>
      </c>
      <c r="E417">
        <v>2.7629999999999999</v>
      </c>
      <c r="F417">
        <v>0</v>
      </c>
      <c r="G417" s="26">
        <f t="shared" si="48"/>
        <v>8.7323810831704662</v>
      </c>
      <c r="H417" s="26">
        <f t="shared" si="55"/>
        <v>-0.44999999999996376</v>
      </c>
      <c r="I417" s="26">
        <f t="shared" si="49"/>
        <v>15.685</v>
      </c>
      <c r="J417" t="str">
        <f t="shared" si="50"/>
        <v>Cooling</v>
      </c>
      <c r="K417" s="26">
        <f t="shared" si="51"/>
        <v>15.685</v>
      </c>
      <c r="L417" s="26">
        <f t="shared" si="52"/>
        <v>-0.44999999999996376</v>
      </c>
      <c r="N417">
        <f t="shared" si="53"/>
        <v>15.685</v>
      </c>
      <c r="O417">
        <f t="shared" si="54"/>
        <v>-0.44999999999996376</v>
      </c>
    </row>
    <row r="418" spans="1:15">
      <c r="A418" s="25">
        <v>46299.265972222223</v>
      </c>
      <c r="B418">
        <v>18.440000000000001</v>
      </c>
      <c r="C418">
        <v>53.273000000000003</v>
      </c>
      <c r="D418">
        <v>943.02499999999998</v>
      </c>
      <c r="E418">
        <v>2.762</v>
      </c>
      <c r="F418">
        <v>0</v>
      </c>
      <c r="G418" s="26">
        <f t="shared" si="48"/>
        <v>8.76056616840083</v>
      </c>
      <c r="H418" s="26">
        <f t="shared" si="55"/>
        <v>-0.52500000000000213</v>
      </c>
      <c r="I418" s="26">
        <f t="shared" si="49"/>
        <v>15.678000000000001</v>
      </c>
      <c r="J418" t="str">
        <f t="shared" si="50"/>
        <v>Cooling</v>
      </c>
      <c r="K418" s="26">
        <f t="shared" si="51"/>
        <v>15.678000000000001</v>
      </c>
      <c r="L418" s="26">
        <f t="shared" si="52"/>
        <v>-0.52500000000000213</v>
      </c>
      <c r="N418">
        <f t="shared" si="53"/>
        <v>15.678000000000001</v>
      </c>
      <c r="O418">
        <f t="shared" si="54"/>
        <v>-0.52500000000000213</v>
      </c>
    </row>
    <row r="419" spans="1:15">
      <c r="A419" s="25">
        <v>46299.26666666667</v>
      </c>
      <c r="B419">
        <v>18.440000000000001</v>
      </c>
      <c r="C419">
        <v>53.171999999999997</v>
      </c>
      <c r="D419">
        <v>943.00300000000004</v>
      </c>
      <c r="E419">
        <v>2.76</v>
      </c>
      <c r="F419">
        <v>0</v>
      </c>
      <c r="G419" s="26">
        <f t="shared" si="48"/>
        <v>8.7324805292101679</v>
      </c>
      <c r="H419" s="26">
        <f t="shared" si="55"/>
        <v>-0.41999999999998039</v>
      </c>
      <c r="I419" s="26">
        <f t="shared" si="49"/>
        <v>15.680000000000001</v>
      </c>
      <c r="J419" t="str">
        <f t="shared" si="50"/>
        <v>Cooling</v>
      </c>
      <c r="K419" s="26">
        <f t="shared" si="51"/>
        <v>15.680000000000001</v>
      </c>
      <c r="L419" s="26">
        <f t="shared" si="52"/>
        <v>-0.41999999999998039</v>
      </c>
      <c r="N419">
        <f t="shared" si="53"/>
        <v>15.680000000000001</v>
      </c>
      <c r="O419">
        <f t="shared" si="54"/>
        <v>-0.41999999999998039</v>
      </c>
    </row>
    <row r="420" spans="1:15">
      <c r="A420" s="25">
        <v>46299.267361111109</v>
      </c>
      <c r="B420">
        <v>18.422999999999998</v>
      </c>
      <c r="C420">
        <v>53.16</v>
      </c>
      <c r="D420">
        <v>943.01800000000003</v>
      </c>
      <c r="E420">
        <v>2.758</v>
      </c>
      <c r="F420">
        <v>0</v>
      </c>
      <c r="G420" s="26">
        <f t="shared" si="48"/>
        <v>8.7133797022395534</v>
      </c>
      <c r="H420" s="26">
        <f t="shared" si="55"/>
        <v>-0.42000000000003368</v>
      </c>
      <c r="I420" s="26">
        <f t="shared" si="49"/>
        <v>15.664999999999999</v>
      </c>
      <c r="J420" t="str">
        <f t="shared" si="50"/>
        <v>Cooling</v>
      </c>
      <c r="K420" s="26">
        <f t="shared" si="51"/>
        <v>15.664999999999999</v>
      </c>
      <c r="L420" s="26">
        <f t="shared" si="52"/>
        <v>-0.42000000000003368</v>
      </c>
      <c r="N420">
        <f t="shared" si="53"/>
        <v>15.664999999999999</v>
      </c>
      <c r="O420">
        <f t="shared" si="54"/>
        <v>-0.42000000000003368</v>
      </c>
    </row>
    <row r="421" spans="1:15">
      <c r="A421" s="25">
        <v>46299.268055555563</v>
      </c>
      <c r="B421">
        <v>18.420000000000002</v>
      </c>
      <c r="C421">
        <v>53.247</v>
      </c>
      <c r="D421">
        <v>943.005</v>
      </c>
      <c r="E421">
        <v>2.7570000000000001</v>
      </c>
      <c r="F421">
        <v>0</v>
      </c>
      <c r="G421" s="26">
        <f t="shared" si="48"/>
        <v>8.7347950162250196</v>
      </c>
      <c r="H421" s="26">
        <f t="shared" si="55"/>
        <v>-0.64500000000004221</v>
      </c>
      <c r="I421" s="26">
        <f t="shared" si="49"/>
        <v>15.663000000000002</v>
      </c>
      <c r="J421" t="str">
        <f t="shared" si="50"/>
        <v>Cooling</v>
      </c>
      <c r="K421" s="26">
        <f t="shared" si="51"/>
        <v>15.663000000000002</v>
      </c>
      <c r="L421" s="26">
        <f t="shared" si="52"/>
        <v>-0.64500000000004221</v>
      </c>
      <c r="N421">
        <f t="shared" si="53"/>
        <v>15.663000000000002</v>
      </c>
      <c r="O421">
        <f t="shared" si="54"/>
        <v>-0.64500000000004221</v>
      </c>
    </row>
    <row r="422" spans="1:15">
      <c r="A422" s="25">
        <v>46299.268750000003</v>
      </c>
      <c r="B422">
        <v>18.411999999999999</v>
      </c>
      <c r="C422">
        <v>53.22</v>
      </c>
      <c r="D422">
        <v>943.00199999999995</v>
      </c>
      <c r="E422">
        <v>2.7549999999999999</v>
      </c>
      <c r="F422">
        <v>0</v>
      </c>
      <c r="G422" s="26">
        <f t="shared" si="48"/>
        <v>8.7198715916096035</v>
      </c>
      <c r="H422" s="26">
        <f t="shared" si="55"/>
        <v>-0.46499999999998209</v>
      </c>
      <c r="I422" s="26">
        <f t="shared" si="49"/>
        <v>15.657</v>
      </c>
      <c r="J422" t="str">
        <f t="shared" si="50"/>
        <v>Cooling</v>
      </c>
      <c r="K422" s="26">
        <f t="shared" si="51"/>
        <v>15.657</v>
      </c>
      <c r="L422" s="26">
        <f t="shared" si="52"/>
        <v>-0.46499999999998209</v>
      </c>
      <c r="N422">
        <f t="shared" si="53"/>
        <v>15.657</v>
      </c>
      <c r="O422">
        <f t="shared" si="54"/>
        <v>-0.46499999999998209</v>
      </c>
    </row>
    <row r="423" spans="1:15">
      <c r="A423" s="25">
        <v>46299.269444444442</v>
      </c>
      <c r="B423">
        <v>18.396999999999998</v>
      </c>
      <c r="C423">
        <v>53.414999999999999</v>
      </c>
      <c r="D423">
        <v>943.01199999999994</v>
      </c>
      <c r="E423">
        <v>2.7530000000000001</v>
      </c>
      <c r="F423">
        <v>0</v>
      </c>
      <c r="G423" s="26">
        <f t="shared" si="48"/>
        <v>8.7600854328373359</v>
      </c>
      <c r="H423" s="26">
        <f t="shared" si="55"/>
        <v>-0.37500000000003197</v>
      </c>
      <c r="I423" s="26">
        <f t="shared" si="49"/>
        <v>15.643999999999998</v>
      </c>
      <c r="J423" t="str">
        <f t="shared" si="50"/>
        <v>Cooling</v>
      </c>
      <c r="K423" s="26">
        <f t="shared" si="51"/>
        <v>15.643999999999998</v>
      </c>
      <c r="L423" s="26">
        <f t="shared" si="52"/>
        <v>-0.37500000000003197</v>
      </c>
      <c r="N423">
        <f t="shared" si="53"/>
        <v>15.643999999999998</v>
      </c>
      <c r="O423">
        <f t="shared" si="54"/>
        <v>-0.37500000000003197</v>
      </c>
    </row>
    <row r="424" spans="1:15">
      <c r="A424" s="25">
        <v>46299.270138888889</v>
      </c>
      <c r="B424">
        <v>18.391999999999999</v>
      </c>
      <c r="C424">
        <v>53.247999999999998</v>
      </c>
      <c r="D424">
        <v>942.98800000000006</v>
      </c>
      <c r="E424">
        <v>2.7519999999999998</v>
      </c>
      <c r="F424">
        <v>0</v>
      </c>
      <c r="G424" s="26">
        <f t="shared" si="48"/>
        <v>8.709108750249662</v>
      </c>
      <c r="H424" s="26">
        <f t="shared" si="55"/>
        <v>-0.32999999999997698</v>
      </c>
      <c r="I424" s="26">
        <f t="shared" si="49"/>
        <v>15.64</v>
      </c>
      <c r="J424" t="str">
        <f t="shared" si="50"/>
        <v>Cooling</v>
      </c>
      <c r="K424" s="26">
        <f t="shared" si="51"/>
        <v>15.64</v>
      </c>
      <c r="L424" s="26">
        <f t="shared" si="52"/>
        <v>-0.32999999999997698</v>
      </c>
      <c r="N424">
        <f t="shared" si="53"/>
        <v>15.64</v>
      </c>
      <c r="O424">
        <f t="shared" si="54"/>
        <v>-0.32999999999997698</v>
      </c>
    </row>
    <row r="425" spans="1:15">
      <c r="A425" s="25">
        <v>46299.270833333343</v>
      </c>
      <c r="B425">
        <v>18.395</v>
      </c>
      <c r="C425">
        <v>53.347000000000001</v>
      </c>
      <c r="D425">
        <v>942.96</v>
      </c>
      <c r="E425">
        <v>2.75</v>
      </c>
      <c r="F425">
        <v>0</v>
      </c>
      <c r="G425" s="26">
        <f t="shared" si="48"/>
        <v>8.739376823931746</v>
      </c>
      <c r="H425" s="26">
        <f t="shared" si="55"/>
        <v>0.69000000000004391</v>
      </c>
      <c r="I425" s="26">
        <f t="shared" si="49"/>
        <v>15.645</v>
      </c>
      <c r="J425" t="str">
        <f t="shared" si="50"/>
        <v>Heating</v>
      </c>
      <c r="K425" s="26" t="str">
        <f t="shared" si="51"/>
        <v/>
      </c>
      <c r="L425" s="26" t="str">
        <f t="shared" si="52"/>
        <v/>
      </c>
      <c r="N425" t="e">
        <f t="shared" si="53"/>
        <v>#N/A</v>
      </c>
      <c r="O425" t="e">
        <f t="shared" si="54"/>
        <v>#N/A</v>
      </c>
    </row>
    <row r="426" spans="1:15">
      <c r="A426" s="25">
        <v>46299.271527777782</v>
      </c>
      <c r="B426">
        <v>18.39</v>
      </c>
      <c r="C426">
        <v>53.43</v>
      </c>
      <c r="D426">
        <v>942.98699999999997</v>
      </c>
      <c r="E426">
        <v>2.7480000000000002</v>
      </c>
      <c r="F426">
        <v>0</v>
      </c>
      <c r="G426" s="26">
        <f t="shared" si="48"/>
        <v>8.7577477932909762</v>
      </c>
      <c r="H426" s="26">
        <f t="shared" si="55"/>
        <v>1.8150000000000333</v>
      </c>
      <c r="I426" s="26">
        <f t="shared" si="49"/>
        <v>15.641999999999999</v>
      </c>
      <c r="J426" t="str">
        <f t="shared" si="50"/>
        <v>Heating</v>
      </c>
      <c r="K426" s="26" t="str">
        <f t="shared" si="51"/>
        <v/>
      </c>
      <c r="L426" s="26" t="str">
        <f t="shared" si="52"/>
        <v/>
      </c>
      <c r="N426" t="e">
        <f t="shared" si="53"/>
        <v>#N/A</v>
      </c>
      <c r="O426" t="e">
        <f t="shared" si="54"/>
        <v>#N/A</v>
      </c>
    </row>
    <row r="427" spans="1:15">
      <c r="A427" s="25">
        <v>46299.272222222222</v>
      </c>
      <c r="B427">
        <v>18.443000000000001</v>
      </c>
      <c r="C427">
        <v>52.612000000000002</v>
      </c>
      <c r="D427">
        <v>942.99699999999996</v>
      </c>
      <c r="E427">
        <v>2.7469999999999999</v>
      </c>
      <c r="F427">
        <v>0</v>
      </c>
      <c r="G427" s="26">
        <f t="shared" si="48"/>
        <v>8.5786765556436411</v>
      </c>
      <c r="H427" s="26">
        <f t="shared" si="55"/>
        <v>4.0200000000000102</v>
      </c>
      <c r="I427" s="26">
        <f t="shared" si="49"/>
        <v>15.696000000000002</v>
      </c>
      <c r="J427" t="str">
        <f t="shared" si="50"/>
        <v>Heating</v>
      </c>
      <c r="K427" s="26" t="str">
        <f t="shared" si="51"/>
        <v/>
      </c>
      <c r="L427" s="26" t="str">
        <f t="shared" si="52"/>
        <v/>
      </c>
      <c r="N427" t="e">
        <f t="shared" si="53"/>
        <v>#N/A</v>
      </c>
      <c r="O427" t="e">
        <f t="shared" si="54"/>
        <v>#N/A</v>
      </c>
    </row>
    <row r="428" spans="1:15">
      <c r="A428" s="25">
        <v>46299.272916666669</v>
      </c>
      <c r="B428">
        <v>18.513000000000002</v>
      </c>
      <c r="C428">
        <v>52.58</v>
      </c>
      <c r="D428">
        <v>942.96799999999996</v>
      </c>
      <c r="E428">
        <v>2.7450000000000001</v>
      </c>
      <c r="F428">
        <v>0</v>
      </c>
      <c r="G428" s="26">
        <f t="shared" si="48"/>
        <v>8.6344973638229288</v>
      </c>
      <c r="H428" s="26">
        <f t="shared" si="55"/>
        <v>6.5550000000000175</v>
      </c>
      <c r="I428" s="26">
        <f t="shared" si="49"/>
        <v>15.768000000000001</v>
      </c>
      <c r="J428" t="str">
        <f t="shared" si="50"/>
        <v>Heating</v>
      </c>
      <c r="K428" s="26" t="str">
        <f t="shared" si="51"/>
        <v/>
      </c>
      <c r="L428" s="26" t="str">
        <f t="shared" si="52"/>
        <v/>
      </c>
      <c r="N428" t="e">
        <f t="shared" si="53"/>
        <v>#N/A</v>
      </c>
      <c r="O428" t="e">
        <f t="shared" si="54"/>
        <v>#N/A</v>
      </c>
    </row>
    <row r="429" spans="1:15">
      <c r="A429" s="25">
        <v>46299.273611111108</v>
      </c>
      <c r="B429">
        <v>18.663</v>
      </c>
      <c r="C429">
        <v>52.024999999999999</v>
      </c>
      <c r="D429">
        <v>942.96</v>
      </c>
      <c r="E429">
        <v>2.7429999999999999</v>
      </c>
      <c r="F429">
        <v>0</v>
      </c>
      <c r="G429" s="26">
        <f t="shared" si="48"/>
        <v>8.6163940559613312</v>
      </c>
      <c r="H429" s="26">
        <f t="shared" si="55"/>
        <v>8.0099999999999838</v>
      </c>
      <c r="I429" s="26">
        <f t="shared" si="49"/>
        <v>15.92</v>
      </c>
      <c r="J429" t="str">
        <f t="shared" si="50"/>
        <v>Heating</v>
      </c>
      <c r="K429" s="26" t="str">
        <f t="shared" si="51"/>
        <v/>
      </c>
      <c r="L429" s="26" t="str">
        <f t="shared" si="52"/>
        <v/>
      </c>
      <c r="N429" t="e">
        <f t="shared" si="53"/>
        <v>#N/A</v>
      </c>
      <c r="O429" t="e">
        <f t="shared" si="54"/>
        <v>#N/A</v>
      </c>
    </row>
    <row r="430" spans="1:15">
      <c r="A430" s="25">
        <v>46299.274305555547</v>
      </c>
      <c r="B430">
        <v>18.827000000000002</v>
      </c>
      <c r="C430">
        <v>51.491999999999997</v>
      </c>
      <c r="D430">
        <v>942.95299999999997</v>
      </c>
      <c r="E430">
        <v>2.742</v>
      </c>
      <c r="F430">
        <v>0</v>
      </c>
      <c r="G430" s="26">
        <f t="shared" si="48"/>
        <v>8.6156986803575126</v>
      </c>
      <c r="H430" s="26">
        <f t="shared" si="55"/>
        <v>7.4849999999999817</v>
      </c>
      <c r="I430" s="26">
        <f t="shared" si="49"/>
        <v>16.085000000000001</v>
      </c>
      <c r="J430" t="str">
        <f t="shared" si="50"/>
        <v>Heating</v>
      </c>
      <c r="K430" s="26" t="str">
        <f t="shared" si="51"/>
        <v/>
      </c>
      <c r="L430" s="26" t="str">
        <f t="shared" si="52"/>
        <v/>
      </c>
      <c r="N430" t="e">
        <f t="shared" si="53"/>
        <v>#N/A</v>
      </c>
      <c r="O430" t="e">
        <f t="shared" si="54"/>
        <v>#N/A</v>
      </c>
    </row>
    <row r="431" spans="1:15">
      <c r="A431" s="25">
        <v>46299.275000000001</v>
      </c>
      <c r="B431">
        <v>18.977</v>
      </c>
      <c r="C431">
        <v>50.881999999999998</v>
      </c>
      <c r="D431">
        <v>942.96</v>
      </c>
      <c r="E431">
        <v>2.74</v>
      </c>
      <c r="F431">
        <v>0</v>
      </c>
      <c r="G431" s="26">
        <f t="shared" si="48"/>
        <v>8.5779645641127491</v>
      </c>
      <c r="H431" s="26">
        <f t="shared" si="55"/>
        <v>4.9800000000000111</v>
      </c>
      <c r="I431" s="26">
        <f t="shared" si="49"/>
        <v>16.237000000000002</v>
      </c>
      <c r="J431" t="str">
        <f t="shared" si="50"/>
        <v>Heating</v>
      </c>
      <c r="K431" s="26" t="str">
        <f t="shared" si="51"/>
        <v/>
      </c>
      <c r="L431" s="26" t="str">
        <f t="shared" si="52"/>
        <v/>
      </c>
      <c r="N431" t="e">
        <f t="shared" si="53"/>
        <v>#N/A</v>
      </c>
      <c r="O431" t="e">
        <f t="shared" si="54"/>
        <v>#N/A</v>
      </c>
    </row>
    <row r="432" spans="1:15">
      <c r="A432" s="25">
        <v>46299.275694444441</v>
      </c>
      <c r="B432">
        <v>19.012</v>
      </c>
      <c r="C432">
        <v>51.106999999999999</v>
      </c>
      <c r="D432">
        <v>942.95799999999997</v>
      </c>
      <c r="E432">
        <v>2.738</v>
      </c>
      <c r="F432">
        <v>0</v>
      </c>
      <c r="G432" s="26">
        <f t="shared" si="48"/>
        <v>8.6754882975870125</v>
      </c>
      <c r="H432" s="26">
        <f t="shared" si="55"/>
        <v>1.6949999999999932</v>
      </c>
      <c r="I432" s="26">
        <f t="shared" si="49"/>
        <v>16.274000000000001</v>
      </c>
      <c r="J432" t="str">
        <f t="shared" si="50"/>
        <v>Heating</v>
      </c>
      <c r="K432" s="26" t="str">
        <f t="shared" si="51"/>
        <v/>
      </c>
      <c r="L432" s="26" t="str">
        <f t="shared" si="52"/>
        <v/>
      </c>
      <c r="N432" t="e">
        <f t="shared" si="53"/>
        <v>#N/A</v>
      </c>
      <c r="O432" t="e">
        <f t="shared" si="54"/>
        <v>#N/A</v>
      </c>
    </row>
    <row r="433" spans="1:15">
      <c r="A433" s="25">
        <v>46299.276388888888</v>
      </c>
      <c r="B433">
        <v>18.995000000000001</v>
      </c>
      <c r="C433">
        <v>51.387999999999998</v>
      </c>
      <c r="D433">
        <v>942.98</v>
      </c>
      <c r="E433">
        <v>2.7370000000000001</v>
      </c>
      <c r="F433">
        <v>0</v>
      </c>
      <c r="G433" s="26">
        <f t="shared" si="48"/>
        <v>8.7409239665486993</v>
      </c>
      <c r="H433" s="26">
        <f t="shared" si="55"/>
        <v>-1.1850000000000094</v>
      </c>
      <c r="I433" s="26">
        <f t="shared" si="49"/>
        <v>16.258000000000003</v>
      </c>
      <c r="J433" t="str">
        <f t="shared" si="50"/>
        <v>Cooling</v>
      </c>
      <c r="K433" s="26">
        <f t="shared" si="51"/>
        <v>16.258000000000003</v>
      </c>
      <c r="L433" s="26">
        <f t="shared" si="52"/>
        <v>-1.1850000000000094</v>
      </c>
      <c r="N433">
        <f t="shared" si="53"/>
        <v>16.258000000000003</v>
      </c>
      <c r="O433">
        <f t="shared" si="54"/>
        <v>-1.1850000000000094</v>
      </c>
    </row>
    <row r="434" spans="1:15">
      <c r="A434" s="25">
        <v>46299.277083333327</v>
      </c>
      <c r="B434">
        <v>18.940000000000001</v>
      </c>
      <c r="C434">
        <v>51.402000000000001</v>
      </c>
      <c r="D434">
        <v>942.96799999999996</v>
      </c>
      <c r="E434">
        <v>2.7349999999999999</v>
      </c>
      <c r="F434">
        <v>0</v>
      </c>
      <c r="G434" s="26">
        <f t="shared" si="48"/>
        <v>8.6941736427166525</v>
      </c>
      <c r="H434" s="26">
        <f t="shared" si="55"/>
        <v>-2.4600000000000222</v>
      </c>
      <c r="I434" s="26">
        <f t="shared" si="49"/>
        <v>16.205000000000002</v>
      </c>
      <c r="J434" t="str">
        <f t="shared" si="50"/>
        <v>Cooling</v>
      </c>
      <c r="K434" s="26">
        <f t="shared" si="51"/>
        <v>16.205000000000002</v>
      </c>
      <c r="L434" s="26">
        <f t="shared" si="52"/>
        <v>-2.4600000000000222</v>
      </c>
      <c r="N434">
        <f t="shared" si="53"/>
        <v>16.205000000000002</v>
      </c>
      <c r="O434">
        <f t="shared" si="54"/>
        <v>-2.4600000000000222</v>
      </c>
    </row>
    <row r="435" spans="1:15">
      <c r="A435" s="25">
        <v>46299.277777777781</v>
      </c>
      <c r="B435">
        <v>18.898</v>
      </c>
      <c r="C435">
        <v>51.563000000000002</v>
      </c>
      <c r="D435">
        <v>942.93700000000001</v>
      </c>
      <c r="E435">
        <v>2.7330000000000001</v>
      </c>
      <c r="F435">
        <v>0</v>
      </c>
      <c r="G435" s="26">
        <f t="shared" si="48"/>
        <v>8.7016526740541877</v>
      </c>
      <c r="H435" s="26">
        <f t="shared" si="55"/>
        <v>-2.9250000000000043</v>
      </c>
      <c r="I435" s="26">
        <f t="shared" si="49"/>
        <v>16.164999999999999</v>
      </c>
      <c r="J435" t="str">
        <f t="shared" si="50"/>
        <v>Cooling</v>
      </c>
      <c r="K435" s="26">
        <f t="shared" si="51"/>
        <v>16.164999999999999</v>
      </c>
      <c r="L435" s="26">
        <f t="shared" si="52"/>
        <v>-2.9250000000000043</v>
      </c>
      <c r="N435">
        <f t="shared" si="53"/>
        <v>16.164999999999999</v>
      </c>
      <c r="O435">
        <f t="shared" si="54"/>
        <v>-2.9250000000000043</v>
      </c>
    </row>
    <row r="436" spans="1:15">
      <c r="A436" s="25">
        <v>46299.27847222222</v>
      </c>
      <c r="B436">
        <v>18.847999999999999</v>
      </c>
      <c r="C436">
        <v>51.674999999999997</v>
      </c>
      <c r="D436">
        <v>942.92700000000002</v>
      </c>
      <c r="E436">
        <v>2.7320000000000002</v>
      </c>
      <c r="F436">
        <v>0</v>
      </c>
      <c r="G436" s="26">
        <f t="shared" si="48"/>
        <v>8.6875620446278639</v>
      </c>
      <c r="H436" s="26">
        <f t="shared" si="55"/>
        <v>-2.5950000000000273</v>
      </c>
      <c r="I436" s="26">
        <f t="shared" si="49"/>
        <v>16.116</v>
      </c>
      <c r="J436" t="str">
        <f t="shared" si="50"/>
        <v>Cooling</v>
      </c>
      <c r="K436" s="26">
        <f t="shared" si="51"/>
        <v>16.116</v>
      </c>
      <c r="L436" s="26">
        <f t="shared" si="52"/>
        <v>-2.5950000000000273</v>
      </c>
      <c r="N436">
        <f t="shared" si="53"/>
        <v>16.116</v>
      </c>
      <c r="O436">
        <f t="shared" si="54"/>
        <v>-2.5950000000000273</v>
      </c>
    </row>
    <row r="437" spans="1:15">
      <c r="A437" s="25">
        <v>46299.279166666667</v>
      </c>
      <c r="B437">
        <v>18.8</v>
      </c>
      <c r="C437">
        <v>51.924999999999997</v>
      </c>
      <c r="D437">
        <v>942.93</v>
      </c>
      <c r="E437">
        <v>2.73</v>
      </c>
      <c r="F437">
        <v>0</v>
      </c>
      <c r="G437" s="26">
        <f t="shared" si="48"/>
        <v>8.7146037339237985</v>
      </c>
      <c r="H437" s="26">
        <f t="shared" si="55"/>
        <v>-2.7749999999999808</v>
      </c>
      <c r="I437" s="26">
        <f t="shared" si="49"/>
        <v>16.07</v>
      </c>
      <c r="J437" t="str">
        <f t="shared" si="50"/>
        <v>Cooling</v>
      </c>
      <c r="K437" s="26">
        <f t="shared" si="51"/>
        <v>16.07</v>
      </c>
      <c r="L437" s="26">
        <f t="shared" si="52"/>
        <v>-2.7749999999999808</v>
      </c>
      <c r="N437">
        <f t="shared" si="53"/>
        <v>16.07</v>
      </c>
      <c r="O437">
        <f t="shared" si="54"/>
        <v>-2.7749999999999808</v>
      </c>
    </row>
    <row r="438" spans="1:15">
      <c r="A438" s="25">
        <v>46299.279861111107</v>
      </c>
      <c r="B438">
        <v>18.766999999999999</v>
      </c>
      <c r="C438">
        <v>52.04</v>
      </c>
      <c r="D438">
        <v>942.91300000000001</v>
      </c>
      <c r="E438">
        <v>2.7280000000000002</v>
      </c>
      <c r="F438">
        <v>0</v>
      </c>
      <c r="G438" s="26">
        <f t="shared" si="48"/>
        <v>8.7168263247055435</v>
      </c>
      <c r="H438" s="26">
        <f t="shared" si="55"/>
        <v>-2.5199999999999889</v>
      </c>
      <c r="I438" s="26">
        <f t="shared" si="49"/>
        <v>16.038999999999998</v>
      </c>
      <c r="J438" t="str">
        <f t="shared" si="50"/>
        <v>Cooling</v>
      </c>
      <c r="K438" s="26">
        <f t="shared" si="51"/>
        <v>16.038999999999998</v>
      </c>
      <c r="L438" s="26">
        <f t="shared" si="52"/>
        <v>-2.5199999999999889</v>
      </c>
      <c r="N438">
        <f t="shared" si="53"/>
        <v>16.038999999999998</v>
      </c>
      <c r="O438">
        <f t="shared" si="54"/>
        <v>-2.5199999999999889</v>
      </c>
    </row>
    <row r="439" spans="1:15">
      <c r="A439" s="25">
        <v>46299.280555555553</v>
      </c>
      <c r="B439">
        <v>18.713000000000001</v>
      </c>
      <c r="C439">
        <v>52.231999999999999</v>
      </c>
      <c r="D439">
        <v>942.93</v>
      </c>
      <c r="E439">
        <v>2.7269999999999999</v>
      </c>
      <c r="F439">
        <v>0</v>
      </c>
      <c r="G439" s="26">
        <f t="shared" si="48"/>
        <v>8.7213727591047476</v>
      </c>
      <c r="H439" s="26">
        <f t="shared" si="55"/>
        <v>-2.3700000000000188</v>
      </c>
      <c r="I439" s="26">
        <f t="shared" si="49"/>
        <v>15.986000000000001</v>
      </c>
      <c r="J439" t="str">
        <f t="shared" si="50"/>
        <v>Cooling</v>
      </c>
      <c r="K439" s="26">
        <f t="shared" si="51"/>
        <v>15.986000000000001</v>
      </c>
      <c r="L439" s="26">
        <f t="shared" si="52"/>
        <v>-2.3700000000000188</v>
      </c>
      <c r="N439">
        <f t="shared" si="53"/>
        <v>15.986000000000001</v>
      </c>
      <c r="O439">
        <f t="shared" si="54"/>
        <v>-2.3700000000000188</v>
      </c>
    </row>
    <row r="440" spans="1:15">
      <c r="A440" s="25">
        <v>46299.28125</v>
      </c>
      <c r="B440">
        <v>18.68</v>
      </c>
      <c r="C440">
        <v>52.247999999999998</v>
      </c>
      <c r="D440">
        <v>942.947</v>
      </c>
      <c r="E440">
        <v>2.7250000000000001</v>
      </c>
      <c r="F440">
        <v>0</v>
      </c>
      <c r="G440" s="26">
        <f t="shared" si="48"/>
        <v>8.6953748418717485</v>
      </c>
      <c r="H440" s="26">
        <f t="shared" si="55"/>
        <v>-2.2499999999999787</v>
      </c>
      <c r="I440" s="26">
        <f t="shared" si="49"/>
        <v>15.955</v>
      </c>
      <c r="J440" t="str">
        <f t="shared" si="50"/>
        <v>Cooling</v>
      </c>
      <c r="K440" s="26">
        <f t="shared" si="51"/>
        <v>15.955</v>
      </c>
      <c r="L440" s="26">
        <f t="shared" si="52"/>
        <v>-2.2499999999999787</v>
      </c>
      <c r="N440">
        <f t="shared" si="53"/>
        <v>15.955</v>
      </c>
      <c r="O440">
        <f t="shared" si="54"/>
        <v>-2.2499999999999787</v>
      </c>
    </row>
    <row r="441" spans="1:15">
      <c r="A441" s="25">
        <v>46299.281944444447</v>
      </c>
      <c r="B441">
        <v>18.641999999999999</v>
      </c>
      <c r="C441">
        <v>52.542000000000002</v>
      </c>
      <c r="D441">
        <v>942.91499999999996</v>
      </c>
      <c r="E441">
        <v>2.7229999999999999</v>
      </c>
      <c r="F441">
        <v>0</v>
      </c>
      <c r="G441" s="26">
        <f t="shared" si="48"/>
        <v>8.743234808299805</v>
      </c>
      <c r="H441" s="26">
        <f t="shared" si="55"/>
        <v>-1.8450000000000166</v>
      </c>
      <c r="I441" s="26">
        <f t="shared" si="49"/>
        <v>15.919</v>
      </c>
      <c r="J441" t="str">
        <f t="shared" si="50"/>
        <v>Cooling</v>
      </c>
      <c r="K441" s="26">
        <f t="shared" si="51"/>
        <v>15.919</v>
      </c>
      <c r="L441" s="26">
        <f t="shared" si="52"/>
        <v>-1.8450000000000166</v>
      </c>
      <c r="N441">
        <f t="shared" si="53"/>
        <v>15.919</v>
      </c>
      <c r="O441">
        <f t="shared" si="54"/>
        <v>-1.8450000000000166</v>
      </c>
    </row>
    <row r="442" spans="1:15">
      <c r="A442" s="25">
        <v>46299.282638888893</v>
      </c>
      <c r="B442">
        <v>18.617000000000001</v>
      </c>
      <c r="C442">
        <v>52.58</v>
      </c>
      <c r="D442">
        <v>942.92</v>
      </c>
      <c r="E442">
        <v>2.722</v>
      </c>
      <c r="F442">
        <v>0</v>
      </c>
      <c r="G442" s="26">
        <f t="shared" si="48"/>
        <v>8.7307883923480656</v>
      </c>
      <c r="H442" s="26">
        <f t="shared" si="55"/>
        <v>-1.6049999999999898</v>
      </c>
      <c r="I442" s="26">
        <f t="shared" si="49"/>
        <v>15.895000000000001</v>
      </c>
      <c r="J442" t="str">
        <f t="shared" si="50"/>
        <v>Cooling</v>
      </c>
      <c r="K442" s="26">
        <f t="shared" si="51"/>
        <v>15.895000000000001</v>
      </c>
      <c r="L442" s="26">
        <f t="shared" si="52"/>
        <v>-1.6049999999999898</v>
      </c>
      <c r="N442">
        <f t="shared" si="53"/>
        <v>15.895000000000001</v>
      </c>
      <c r="O442">
        <f t="shared" si="54"/>
        <v>-1.6049999999999898</v>
      </c>
    </row>
    <row r="443" spans="1:15">
      <c r="A443" s="25">
        <v>46299.283333333333</v>
      </c>
      <c r="B443">
        <v>18.59</v>
      </c>
      <c r="C443">
        <v>52.56</v>
      </c>
      <c r="D443">
        <v>942.90800000000002</v>
      </c>
      <c r="E443">
        <v>2.72</v>
      </c>
      <c r="F443">
        <v>0</v>
      </c>
      <c r="G443" s="26">
        <f t="shared" si="48"/>
        <v>8.7001614446586775</v>
      </c>
      <c r="H443" s="26">
        <f t="shared" si="55"/>
        <v>-1.3349999999999795</v>
      </c>
      <c r="I443" s="26">
        <f t="shared" si="49"/>
        <v>15.87</v>
      </c>
      <c r="J443" t="str">
        <f t="shared" si="50"/>
        <v>Cooling</v>
      </c>
      <c r="K443" s="26">
        <f t="shared" si="51"/>
        <v>15.87</v>
      </c>
      <c r="L443" s="26">
        <f t="shared" si="52"/>
        <v>-1.3349999999999795</v>
      </c>
      <c r="N443">
        <f t="shared" si="53"/>
        <v>15.87</v>
      </c>
      <c r="O443">
        <f t="shared" si="54"/>
        <v>-1.3349999999999795</v>
      </c>
    </row>
    <row r="444" spans="1:15">
      <c r="A444" s="25">
        <v>46299.28402777778</v>
      </c>
      <c r="B444">
        <v>18.573</v>
      </c>
      <c r="C444">
        <v>52.536999999999999</v>
      </c>
      <c r="D444">
        <v>942.875</v>
      </c>
      <c r="E444">
        <v>2.718</v>
      </c>
      <c r="F444">
        <v>0</v>
      </c>
      <c r="G444" s="26">
        <f t="shared" si="48"/>
        <v>8.6779479341787074</v>
      </c>
      <c r="H444" s="26">
        <f t="shared" si="55"/>
        <v>-1.0799999999999876</v>
      </c>
      <c r="I444" s="26">
        <f t="shared" si="49"/>
        <v>15.855</v>
      </c>
      <c r="J444" t="str">
        <f t="shared" si="50"/>
        <v>Cooling</v>
      </c>
      <c r="K444" s="26">
        <f t="shared" si="51"/>
        <v>15.855</v>
      </c>
      <c r="L444" s="26">
        <f t="shared" si="52"/>
        <v>-1.0799999999999876</v>
      </c>
      <c r="N444">
        <f t="shared" si="53"/>
        <v>15.855</v>
      </c>
      <c r="O444">
        <f t="shared" si="54"/>
        <v>-1.0799999999999876</v>
      </c>
    </row>
    <row r="445" spans="1:15">
      <c r="A445" s="25">
        <v>46299.284722222219</v>
      </c>
      <c r="B445">
        <v>18.553000000000001</v>
      </c>
      <c r="C445">
        <v>52.777000000000001</v>
      </c>
      <c r="D445">
        <v>942.88499999999999</v>
      </c>
      <c r="E445">
        <v>2.7170000000000001</v>
      </c>
      <c r="F445">
        <v>0</v>
      </c>
      <c r="G445" s="26">
        <f t="shared" si="48"/>
        <v>8.7268585709116415</v>
      </c>
      <c r="H445" s="26">
        <f t="shared" si="55"/>
        <v>-0.94499999999998252</v>
      </c>
      <c r="I445" s="26">
        <f t="shared" si="49"/>
        <v>15.836</v>
      </c>
      <c r="J445" t="str">
        <f t="shared" si="50"/>
        <v>Cooling</v>
      </c>
      <c r="K445" s="26">
        <f t="shared" si="51"/>
        <v>15.836</v>
      </c>
      <c r="L445" s="26">
        <f t="shared" si="52"/>
        <v>-0.94499999999998252</v>
      </c>
      <c r="N445">
        <f t="shared" si="53"/>
        <v>15.836</v>
      </c>
      <c r="O445">
        <f t="shared" si="54"/>
        <v>-0.94499999999998252</v>
      </c>
    </row>
    <row r="446" spans="1:15">
      <c r="A446" s="25">
        <v>46299.285416666673</v>
      </c>
      <c r="B446">
        <v>18.545000000000002</v>
      </c>
      <c r="C446">
        <v>52.866999999999997</v>
      </c>
      <c r="D446">
        <v>942.85500000000002</v>
      </c>
      <c r="E446">
        <v>2.7149999999999999</v>
      </c>
      <c r="F446">
        <v>0</v>
      </c>
      <c r="G446" s="26">
        <f t="shared" si="48"/>
        <v>8.7446619408506727</v>
      </c>
      <c r="H446" s="26">
        <f t="shared" si="55"/>
        <v>-0.72000000000002728</v>
      </c>
      <c r="I446" s="26">
        <f t="shared" si="49"/>
        <v>15.830000000000002</v>
      </c>
      <c r="J446" t="str">
        <f t="shared" si="50"/>
        <v>Cooling</v>
      </c>
      <c r="K446" s="26">
        <f t="shared" si="51"/>
        <v>15.830000000000002</v>
      </c>
      <c r="L446" s="26">
        <f t="shared" si="52"/>
        <v>-0.72000000000002728</v>
      </c>
      <c r="N446">
        <f t="shared" si="53"/>
        <v>15.830000000000002</v>
      </c>
      <c r="O446">
        <f t="shared" si="54"/>
        <v>-0.72000000000002728</v>
      </c>
    </row>
    <row r="447" spans="1:15">
      <c r="A447" s="25">
        <v>46299.286111111112</v>
      </c>
      <c r="B447">
        <v>18.527000000000001</v>
      </c>
      <c r="C447">
        <v>52.796999999999997</v>
      </c>
      <c r="D447">
        <v>942.88199999999995</v>
      </c>
      <c r="E447">
        <v>2.7130000000000001</v>
      </c>
      <c r="F447">
        <v>0</v>
      </c>
      <c r="G447" s="26">
        <f t="shared" si="48"/>
        <v>8.7083806276788387</v>
      </c>
      <c r="H447" s="26">
        <f t="shared" si="55"/>
        <v>-0.42000000000003368</v>
      </c>
      <c r="I447" s="26">
        <f t="shared" si="49"/>
        <v>15.814</v>
      </c>
      <c r="J447" t="str">
        <f t="shared" si="50"/>
        <v>Cooling</v>
      </c>
      <c r="K447" s="26">
        <f t="shared" si="51"/>
        <v>15.814</v>
      </c>
      <c r="L447" s="26">
        <f t="shared" si="52"/>
        <v>-0.42000000000003368</v>
      </c>
      <c r="N447">
        <f t="shared" si="53"/>
        <v>15.814</v>
      </c>
      <c r="O447">
        <f t="shared" si="54"/>
        <v>-0.42000000000003368</v>
      </c>
    </row>
    <row r="448" spans="1:15">
      <c r="A448" s="25">
        <v>46299.286805555559</v>
      </c>
      <c r="B448">
        <v>18.524999999999999</v>
      </c>
      <c r="C448">
        <v>52.822000000000003</v>
      </c>
      <c r="D448">
        <v>942.88199999999995</v>
      </c>
      <c r="E448">
        <v>2.7120000000000002</v>
      </c>
      <c r="F448">
        <v>0</v>
      </c>
      <c r="G448" s="26">
        <f t="shared" si="48"/>
        <v>8.7135321855730048</v>
      </c>
      <c r="H448" s="26">
        <f t="shared" si="55"/>
        <v>-0.33000000000003027</v>
      </c>
      <c r="I448" s="26">
        <f t="shared" si="49"/>
        <v>15.812999999999999</v>
      </c>
      <c r="J448" t="str">
        <f t="shared" si="50"/>
        <v>Cooling</v>
      </c>
      <c r="K448" s="26">
        <f t="shared" si="51"/>
        <v>15.812999999999999</v>
      </c>
      <c r="L448" s="26">
        <f t="shared" si="52"/>
        <v>-0.33000000000003027</v>
      </c>
      <c r="N448">
        <f t="shared" si="53"/>
        <v>15.812999999999999</v>
      </c>
      <c r="O448">
        <f t="shared" si="54"/>
        <v>-0.33000000000003027</v>
      </c>
    </row>
    <row r="449" spans="1:15">
      <c r="A449" s="25">
        <v>46299.287499999999</v>
      </c>
      <c r="B449">
        <v>18.524999999999999</v>
      </c>
      <c r="C449">
        <v>52.905000000000001</v>
      </c>
      <c r="D449">
        <v>942.84</v>
      </c>
      <c r="E449">
        <v>2.71</v>
      </c>
      <c r="F449">
        <v>0</v>
      </c>
      <c r="G449" s="26">
        <f t="shared" si="48"/>
        <v>8.7367652559469953</v>
      </c>
      <c r="H449" s="26">
        <f t="shared" si="55"/>
        <v>-0.37500000000003197</v>
      </c>
      <c r="I449" s="26">
        <f t="shared" si="49"/>
        <v>15.814999999999998</v>
      </c>
      <c r="J449" t="str">
        <f t="shared" si="50"/>
        <v>Cooling</v>
      </c>
      <c r="K449" s="26">
        <f t="shared" si="51"/>
        <v>15.814999999999998</v>
      </c>
      <c r="L449" s="26">
        <f t="shared" si="52"/>
        <v>-0.37500000000003197</v>
      </c>
      <c r="N449">
        <f t="shared" si="53"/>
        <v>15.814999999999998</v>
      </c>
      <c r="O449">
        <f t="shared" si="54"/>
        <v>-0.37500000000003197</v>
      </c>
    </row>
    <row r="450" spans="1:15">
      <c r="A450" s="25">
        <v>46299.288194444453</v>
      </c>
      <c r="B450">
        <v>18.523</v>
      </c>
      <c r="C450">
        <v>52.758000000000003</v>
      </c>
      <c r="D450">
        <v>942.85</v>
      </c>
      <c r="E450">
        <v>2.7080000000000002</v>
      </c>
      <c r="F450">
        <v>0</v>
      </c>
      <c r="G450" s="26">
        <f t="shared" ref="G450:G513" si="56">243.04*(LN(C450/100)+17.625*B450/(243.04+B450))/(17.625-LN(C450/100)-17.625*B450/(243.04+B450))</f>
        <v>8.6937430129629778</v>
      </c>
      <c r="H450" s="26">
        <f t="shared" si="55"/>
        <v>-0.48000000000000043</v>
      </c>
      <c r="I450" s="26">
        <f t="shared" ref="I450:I513" si="57">B450-E450</f>
        <v>15.815</v>
      </c>
      <c r="J450" t="str">
        <f t="shared" ref="J450:J513" si="58">IF(H450="","",IF(H450&gt;0.6,"Heating",IF(H450&lt;-0.2,"Cooling","Steady")))</f>
        <v>Cooling</v>
      </c>
      <c r="K450" s="26">
        <f t="shared" ref="K450:K513" si="59">IF(J450="Cooling",I450,"")</f>
        <v>15.815</v>
      </c>
      <c r="L450" s="26">
        <f t="shared" ref="L450:L513" si="60">IF(J450="Cooling",H450,"")</f>
        <v>-0.48000000000000043</v>
      </c>
      <c r="N450">
        <f t="shared" ref="N450:N513" si="61">IF(K450="",NA(),K450)</f>
        <v>15.815</v>
      </c>
      <c r="O450">
        <f t="shared" ref="O450:O513" si="62">IF(L450="",NA(),L450)</f>
        <v>-0.48000000000000043</v>
      </c>
    </row>
    <row r="451" spans="1:15">
      <c r="A451" s="25">
        <v>46299.288888888892</v>
      </c>
      <c r="B451">
        <v>18.501999999999999</v>
      </c>
      <c r="C451">
        <v>52.752000000000002</v>
      </c>
      <c r="D451">
        <v>942.85299999999995</v>
      </c>
      <c r="E451">
        <v>2.7069999999999999</v>
      </c>
      <c r="F451">
        <v>0</v>
      </c>
      <c r="G451" s="26">
        <f t="shared" si="56"/>
        <v>8.6726093517202454</v>
      </c>
      <c r="H451" s="26">
        <f t="shared" si="55"/>
        <v>-0.59999999999998721</v>
      </c>
      <c r="I451" s="26">
        <f t="shared" si="57"/>
        <v>15.794999999999998</v>
      </c>
      <c r="J451" t="str">
        <f t="shared" si="58"/>
        <v>Cooling</v>
      </c>
      <c r="K451" s="26">
        <f t="shared" si="59"/>
        <v>15.794999999999998</v>
      </c>
      <c r="L451" s="26">
        <f t="shared" si="60"/>
        <v>-0.59999999999998721</v>
      </c>
      <c r="N451">
        <f t="shared" si="61"/>
        <v>15.794999999999998</v>
      </c>
      <c r="O451">
        <f t="shared" si="62"/>
        <v>-0.59999999999998721</v>
      </c>
    </row>
    <row r="452" spans="1:15">
      <c r="A452" s="25">
        <v>46299.289583333331</v>
      </c>
      <c r="B452">
        <v>18.492999999999999</v>
      </c>
      <c r="C452">
        <v>52.947000000000003</v>
      </c>
      <c r="D452">
        <v>942.84</v>
      </c>
      <c r="E452">
        <v>2.7050000000000001</v>
      </c>
      <c r="F452">
        <v>0</v>
      </c>
      <c r="G452" s="26">
        <f t="shared" si="56"/>
        <v>8.7188567772276624</v>
      </c>
      <c r="H452" s="26">
        <f t="shared" ref="H452:H515" si="63">(B454-B450)/4*60</f>
        <v>-0.64499999999998892</v>
      </c>
      <c r="I452" s="26">
        <f t="shared" si="57"/>
        <v>15.787999999999998</v>
      </c>
      <c r="J452" t="str">
        <f t="shared" si="58"/>
        <v>Cooling</v>
      </c>
      <c r="K452" s="26">
        <f t="shared" si="59"/>
        <v>15.787999999999998</v>
      </c>
      <c r="L452" s="26">
        <f t="shared" si="60"/>
        <v>-0.64499999999998892</v>
      </c>
      <c r="N452">
        <f t="shared" si="61"/>
        <v>15.787999999999998</v>
      </c>
      <c r="O452">
        <f t="shared" si="62"/>
        <v>-0.64499999999998892</v>
      </c>
    </row>
    <row r="453" spans="1:15">
      <c r="A453" s="25">
        <v>46299.290277777778</v>
      </c>
      <c r="B453">
        <v>18.484999999999999</v>
      </c>
      <c r="C453">
        <v>53.106999999999999</v>
      </c>
      <c r="D453">
        <v>942.83799999999997</v>
      </c>
      <c r="E453">
        <v>2.7029999999999998</v>
      </c>
      <c r="F453">
        <v>0</v>
      </c>
      <c r="G453" s="26">
        <f t="shared" si="56"/>
        <v>8.756095186769695</v>
      </c>
      <c r="H453" s="26">
        <f t="shared" si="63"/>
        <v>-0.5099999999999838</v>
      </c>
      <c r="I453" s="26">
        <f t="shared" si="57"/>
        <v>15.782</v>
      </c>
      <c r="J453" t="str">
        <f t="shared" si="58"/>
        <v>Cooling</v>
      </c>
      <c r="K453" s="26">
        <f t="shared" si="59"/>
        <v>15.782</v>
      </c>
      <c r="L453" s="26">
        <f t="shared" si="60"/>
        <v>-0.5099999999999838</v>
      </c>
      <c r="N453">
        <f t="shared" si="61"/>
        <v>15.782</v>
      </c>
      <c r="O453">
        <f t="shared" si="62"/>
        <v>-0.5099999999999838</v>
      </c>
    </row>
    <row r="454" spans="1:15">
      <c r="A454" s="25">
        <v>46299.290972222218</v>
      </c>
      <c r="B454">
        <v>18.48</v>
      </c>
      <c r="C454">
        <v>52.921999999999997</v>
      </c>
      <c r="D454">
        <v>942.81200000000001</v>
      </c>
      <c r="E454">
        <v>2.702</v>
      </c>
      <c r="F454">
        <v>0</v>
      </c>
      <c r="G454" s="26">
        <f t="shared" si="56"/>
        <v>8.6998229694874958</v>
      </c>
      <c r="H454" s="26">
        <f t="shared" si="63"/>
        <v>-0.53999999999996717</v>
      </c>
      <c r="I454" s="26">
        <f t="shared" si="57"/>
        <v>15.778</v>
      </c>
      <c r="J454" t="str">
        <f t="shared" si="58"/>
        <v>Cooling</v>
      </c>
      <c r="K454" s="26">
        <f t="shared" si="59"/>
        <v>15.778</v>
      </c>
      <c r="L454" s="26">
        <f t="shared" si="60"/>
        <v>-0.53999999999996717</v>
      </c>
      <c r="N454">
        <f t="shared" si="61"/>
        <v>15.778</v>
      </c>
      <c r="O454">
        <f t="shared" si="62"/>
        <v>-0.53999999999996717</v>
      </c>
    </row>
    <row r="455" spans="1:15">
      <c r="A455" s="25">
        <v>46299.291666666657</v>
      </c>
      <c r="B455">
        <v>18.468</v>
      </c>
      <c r="C455">
        <v>52.954999999999998</v>
      </c>
      <c r="D455">
        <v>942.78300000000002</v>
      </c>
      <c r="E455">
        <v>2.7</v>
      </c>
      <c r="F455">
        <v>0</v>
      </c>
      <c r="G455" s="26">
        <f t="shared" si="56"/>
        <v>8.6979255299988836</v>
      </c>
      <c r="H455" s="26">
        <f t="shared" si="63"/>
        <v>-0.62999999999997058</v>
      </c>
      <c r="I455" s="26">
        <f t="shared" si="57"/>
        <v>15.768000000000001</v>
      </c>
      <c r="J455" t="str">
        <f t="shared" si="58"/>
        <v>Cooling</v>
      </c>
      <c r="K455" s="26">
        <f t="shared" si="59"/>
        <v>15.768000000000001</v>
      </c>
      <c r="L455" s="26">
        <f t="shared" si="60"/>
        <v>-0.62999999999997058</v>
      </c>
      <c r="N455">
        <f t="shared" si="61"/>
        <v>15.768000000000001</v>
      </c>
      <c r="O455">
        <f t="shared" si="62"/>
        <v>-0.62999999999997058</v>
      </c>
    </row>
    <row r="456" spans="1:15">
      <c r="A456" s="25">
        <v>46299.292361111111</v>
      </c>
      <c r="B456">
        <v>18.457000000000001</v>
      </c>
      <c r="C456">
        <v>53.131999999999998</v>
      </c>
      <c r="D456">
        <v>942.755</v>
      </c>
      <c r="E456">
        <v>2.7050000000000001</v>
      </c>
      <c r="F456">
        <v>3.3000000000000002E-2</v>
      </c>
      <c r="G456" s="26">
        <f t="shared" si="56"/>
        <v>8.7371042269569354</v>
      </c>
      <c r="H456" s="26">
        <f t="shared" si="63"/>
        <v>-0.41999999999998039</v>
      </c>
      <c r="I456" s="26">
        <f t="shared" si="57"/>
        <v>15.752000000000001</v>
      </c>
      <c r="J456" t="str">
        <f t="shared" si="58"/>
        <v>Cooling</v>
      </c>
      <c r="K456" s="26">
        <f t="shared" si="59"/>
        <v>15.752000000000001</v>
      </c>
      <c r="L456" s="26">
        <f t="shared" si="60"/>
        <v>-0.41999999999998039</v>
      </c>
      <c r="N456">
        <f t="shared" si="61"/>
        <v>15.752000000000001</v>
      </c>
      <c r="O456">
        <f t="shared" si="62"/>
        <v>-0.41999999999998039</v>
      </c>
    </row>
    <row r="457" spans="1:15">
      <c r="A457" s="25">
        <v>46299.293055555558</v>
      </c>
      <c r="B457">
        <v>18.443000000000001</v>
      </c>
      <c r="C457">
        <v>53.07</v>
      </c>
      <c r="D457">
        <v>942.73800000000006</v>
      </c>
      <c r="E457">
        <v>2.71</v>
      </c>
      <c r="F457">
        <v>6.7000000000000004E-2</v>
      </c>
      <c r="G457" s="26">
        <f t="shared" si="56"/>
        <v>8.7068497491865795</v>
      </c>
      <c r="H457" s="26">
        <f t="shared" si="63"/>
        <v>-0.34499999999999531</v>
      </c>
      <c r="I457" s="26">
        <f t="shared" si="57"/>
        <v>15.733000000000001</v>
      </c>
      <c r="J457" t="str">
        <f t="shared" si="58"/>
        <v>Cooling</v>
      </c>
      <c r="K457" s="26">
        <f t="shared" si="59"/>
        <v>15.733000000000001</v>
      </c>
      <c r="L457" s="26">
        <f t="shared" si="60"/>
        <v>-0.34499999999999531</v>
      </c>
      <c r="N457">
        <f t="shared" si="61"/>
        <v>15.733000000000001</v>
      </c>
      <c r="O457">
        <f t="shared" si="62"/>
        <v>-0.34499999999999531</v>
      </c>
    </row>
    <row r="458" spans="1:15">
      <c r="A458" s="25">
        <v>46299.293749999997</v>
      </c>
      <c r="B458">
        <v>18.452000000000002</v>
      </c>
      <c r="C458">
        <v>53.094999999999999</v>
      </c>
      <c r="D458">
        <v>942.71699999999998</v>
      </c>
      <c r="E458">
        <v>2.7149999999999999</v>
      </c>
      <c r="F458">
        <v>0.1</v>
      </c>
      <c r="G458" s="26">
        <f t="shared" si="56"/>
        <v>8.7221606799148468</v>
      </c>
      <c r="H458" s="26">
        <f t="shared" si="63"/>
        <v>-0.13500000000000512</v>
      </c>
      <c r="I458" s="26">
        <f t="shared" si="57"/>
        <v>15.737000000000002</v>
      </c>
      <c r="J458" t="str">
        <f t="shared" si="58"/>
        <v>Steady</v>
      </c>
      <c r="K458" s="26" t="str">
        <f t="shared" si="59"/>
        <v/>
      </c>
      <c r="L458" s="26" t="str">
        <f t="shared" si="60"/>
        <v/>
      </c>
      <c r="N458" t="e">
        <f t="shared" si="61"/>
        <v>#N/A</v>
      </c>
      <c r="O458" t="e">
        <f t="shared" si="62"/>
        <v>#N/A</v>
      </c>
    </row>
    <row r="459" spans="1:15">
      <c r="A459" s="25">
        <v>46299.294444444437</v>
      </c>
      <c r="B459">
        <v>18.445</v>
      </c>
      <c r="C459">
        <v>53.143000000000001</v>
      </c>
      <c r="D459">
        <v>942.68499999999995</v>
      </c>
      <c r="E459">
        <v>2.72</v>
      </c>
      <c r="F459">
        <v>0.13300000000000001</v>
      </c>
      <c r="G459" s="26">
        <f t="shared" si="56"/>
        <v>8.7290429747102571</v>
      </c>
      <c r="H459" s="26">
        <f t="shared" si="63"/>
        <v>-9.0000000000003411E-2</v>
      </c>
      <c r="I459" s="26">
        <f t="shared" si="57"/>
        <v>15.725</v>
      </c>
      <c r="J459" t="str">
        <f t="shared" si="58"/>
        <v>Steady</v>
      </c>
      <c r="K459" s="26" t="str">
        <f t="shared" si="59"/>
        <v/>
      </c>
      <c r="L459" s="26" t="str">
        <f t="shared" si="60"/>
        <v/>
      </c>
      <c r="N459" t="e">
        <f t="shared" si="61"/>
        <v>#N/A</v>
      </c>
      <c r="O459" t="e">
        <f t="shared" si="62"/>
        <v>#N/A</v>
      </c>
    </row>
    <row r="460" spans="1:15">
      <c r="A460" s="25">
        <v>46299.295138888891</v>
      </c>
      <c r="B460">
        <v>18.448</v>
      </c>
      <c r="C460">
        <v>52.883000000000003</v>
      </c>
      <c r="D460">
        <v>942.66200000000003</v>
      </c>
      <c r="E460">
        <v>2.7250000000000001</v>
      </c>
      <c r="F460">
        <v>0.16700000000000001</v>
      </c>
      <c r="G460" s="26">
        <f t="shared" si="56"/>
        <v>8.6592680571242528</v>
      </c>
      <c r="H460" s="26">
        <f t="shared" si="63"/>
        <v>-0.37500000000003197</v>
      </c>
      <c r="I460" s="26">
        <f t="shared" si="57"/>
        <v>15.723000000000001</v>
      </c>
      <c r="J460" t="str">
        <f t="shared" si="58"/>
        <v>Cooling</v>
      </c>
      <c r="K460" s="26">
        <f t="shared" si="59"/>
        <v>15.723000000000001</v>
      </c>
      <c r="L460" s="26">
        <f t="shared" si="60"/>
        <v>-0.37500000000003197</v>
      </c>
      <c r="N460">
        <f t="shared" si="61"/>
        <v>15.723000000000001</v>
      </c>
      <c r="O460">
        <f t="shared" si="62"/>
        <v>-0.37500000000003197</v>
      </c>
    </row>
    <row r="461" spans="1:15">
      <c r="A461" s="25">
        <v>46299.29583333333</v>
      </c>
      <c r="B461">
        <v>18.437000000000001</v>
      </c>
      <c r="C461">
        <v>53.137</v>
      </c>
      <c r="D461">
        <v>942.69</v>
      </c>
      <c r="E461">
        <v>2.73</v>
      </c>
      <c r="F461">
        <v>0.2</v>
      </c>
      <c r="G461" s="26">
        <f t="shared" si="56"/>
        <v>8.7199557286570659</v>
      </c>
      <c r="H461" s="26">
        <f t="shared" si="63"/>
        <v>-0.2549999999999919</v>
      </c>
      <c r="I461" s="26">
        <f t="shared" si="57"/>
        <v>15.707000000000001</v>
      </c>
      <c r="J461" t="str">
        <f t="shared" si="58"/>
        <v>Cooling</v>
      </c>
      <c r="K461" s="26">
        <f t="shared" si="59"/>
        <v>15.707000000000001</v>
      </c>
      <c r="L461" s="26">
        <f t="shared" si="60"/>
        <v>-0.2549999999999919</v>
      </c>
      <c r="N461">
        <f t="shared" si="61"/>
        <v>15.707000000000001</v>
      </c>
      <c r="O461">
        <f t="shared" si="62"/>
        <v>-0.2549999999999919</v>
      </c>
    </row>
    <row r="462" spans="1:15">
      <c r="A462" s="25">
        <v>46299.296527777777</v>
      </c>
      <c r="B462">
        <v>18.427</v>
      </c>
      <c r="C462">
        <v>53.076999999999998</v>
      </c>
      <c r="D462">
        <v>942.68499999999995</v>
      </c>
      <c r="E462">
        <v>2.7349999999999999</v>
      </c>
      <c r="F462">
        <v>0.23300000000000001</v>
      </c>
      <c r="G462" s="26">
        <f t="shared" si="56"/>
        <v>8.6939701960609312</v>
      </c>
      <c r="H462" s="26">
        <f t="shared" si="63"/>
        <v>-0.37500000000003197</v>
      </c>
      <c r="I462" s="26">
        <f t="shared" si="57"/>
        <v>15.692</v>
      </c>
      <c r="J462" t="str">
        <f t="shared" si="58"/>
        <v>Cooling</v>
      </c>
      <c r="K462" s="26">
        <f t="shared" si="59"/>
        <v>15.692</v>
      </c>
      <c r="L462" s="26">
        <f t="shared" si="60"/>
        <v>-0.37500000000003197</v>
      </c>
      <c r="N462">
        <f t="shared" si="61"/>
        <v>15.692</v>
      </c>
      <c r="O462">
        <f t="shared" si="62"/>
        <v>-0.37500000000003197</v>
      </c>
    </row>
    <row r="463" spans="1:15">
      <c r="A463" s="25">
        <v>46299.297222222223</v>
      </c>
      <c r="B463">
        <v>18.428000000000001</v>
      </c>
      <c r="C463">
        <v>53.162999999999997</v>
      </c>
      <c r="D463">
        <v>942.66700000000003</v>
      </c>
      <c r="E463">
        <v>2.74</v>
      </c>
      <c r="F463">
        <v>0.26700000000000002</v>
      </c>
      <c r="G463" s="26">
        <f t="shared" si="56"/>
        <v>8.7188502344711889</v>
      </c>
      <c r="H463" s="26">
        <f t="shared" si="63"/>
        <v>-0.52500000000000213</v>
      </c>
      <c r="I463" s="26">
        <f t="shared" si="57"/>
        <v>15.688000000000001</v>
      </c>
      <c r="J463" t="str">
        <f t="shared" si="58"/>
        <v>Cooling</v>
      </c>
      <c r="K463" s="26">
        <f t="shared" si="59"/>
        <v>15.688000000000001</v>
      </c>
      <c r="L463" s="26">
        <f t="shared" si="60"/>
        <v>-0.52500000000000213</v>
      </c>
      <c r="N463">
        <f t="shared" si="61"/>
        <v>15.688000000000001</v>
      </c>
      <c r="O463">
        <f t="shared" si="62"/>
        <v>-0.52500000000000213</v>
      </c>
    </row>
    <row r="464" spans="1:15">
      <c r="A464" s="25">
        <v>46299.29791666667</v>
      </c>
      <c r="B464">
        <v>18.422999999999998</v>
      </c>
      <c r="C464">
        <v>53.216999999999999</v>
      </c>
      <c r="D464">
        <v>942.65200000000004</v>
      </c>
      <c r="E464">
        <v>2.7450000000000001</v>
      </c>
      <c r="F464">
        <v>0.3</v>
      </c>
      <c r="G464" s="26">
        <f t="shared" si="56"/>
        <v>8.7292369658360602</v>
      </c>
      <c r="H464" s="26">
        <f t="shared" si="63"/>
        <v>-0.48000000000000043</v>
      </c>
      <c r="I464" s="26">
        <f t="shared" si="57"/>
        <v>15.677999999999997</v>
      </c>
      <c r="J464" t="str">
        <f t="shared" si="58"/>
        <v>Cooling</v>
      </c>
      <c r="K464" s="26">
        <f t="shared" si="59"/>
        <v>15.677999999999997</v>
      </c>
      <c r="L464" s="26">
        <f t="shared" si="60"/>
        <v>-0.48000000000000043</v>
      </c>
      <c r="N464">
        <f t="shared" si="61"/>
        <v>15.677999999999997</v>
      </c>
      <c r="O464">
        <f t="shared" si="62"/>
        <v>-0.48000000000000043</v>
      </c>
    </row>
    <row r="465" spans="1:15">
      <c r="A465" s="25">
        <v>46299.298611111109</v>
      </c>
      <c r="B465">
        <v>18.402000000000001</v>
      </c>
      <c r="C465">
        <v>53.112000000000002</v>
      </c>
      <c r="D465">
        <v>942.63699999999994</v>
      </c>
      <c r="E465">
        <v>2.75</v>
      </c>
      <c r="F465">
        <v>0.33300000000000002</v>
      </c>
      <c r="G465" s="26">
        <f t="shared" si="56"/>
        <v>8.6805473247361373</v>
      </c>
      <c r="H465" s="26">
        <f t="shared" si="63"/>
        <v>-0.49500000000001876</v>
      </c>
      <c r="I465" s="26">
        <f t="shared" si="57"/>
        <v>15.652000000000001</v>
      </c>
      <c r="J465" t="str">
        <f t="shared" si="58"/>
        <v>Cooling</v>
      </c>
      <c r="K465" s="26">
        <f t="shared" si="59"/>
        <v>15.652000000000001</v>
      </c>
      <c r="L465" s="26">
        <f t="shared" si="60"/>
        <v>-0.49500000000001876</v>
      </c>
      <c r="N465">
        <f t="shared" si="61"/>
        <v>15.652000000000001</v>
      </c>
      <c r="O465">
        <f t="shared" si="62"/>
        <v>-0.49500000000001876</v>
      </c>
    </row>
    <row r="466" spans="1:15">
      <c r="A466" s="25">
        <v>46299.299305555563</v>
      </c>
      <c r="B466">
        <v>18.395</v>
      </c>
      <c r="C466">
        <v>53.167000000000002</v>
      </c>
      <c r="D466">
        <v>942.62300000000005</v>
      </c>
      <c r="E466">
        <v>2.7549999999999999</v>
      </c>
      <c r="F466">
        <v>0.36699999999999999</v>
      </c>
      <c r="G466" s="26">
        <f t="shared" si="56"/>
        <v>8.6893683757592779</v>
      </c>
      <c r="H466" s="26">
        <f t="shared" si="63"/>
        <v>-0.64499999999998892</v>
      </c>
      <c r="I466" s="26">
        <f t="shared" si="57"/>
        <v>15.64</v>
      </c>
      <c r="J466" t="str">
        <f t="shared" si="58"/>
        <v>Cooling</v>
      </c>
      <c r="K466" s="26">
        <f t="shared" si="59"/>
        <v>15.64</v>
      </c>
      <c r="L466" s="26">
        <f t="shared" si="60"/>
        <v>-0.64499999999998892</v>
      </c>
      <c r="N466">
        <f t="shared" si="61"/>
        <v>15.64</v>
      </c>
      <c r="O466">
        <f t="shared" si="62"/>
        <v>-0.64499999999998892</v>
      </c>
    </row>
    <row r="467" spans="1:15">
      <c r="A467" s="25">
        <v>46299.3</v>
      </c>
      <c r="B467">
        <v>18.395</v>
      </c>
      <c r="C467">
        <v>53.232999999999997</v>
      </c>
      <c r="D467">
        <v>942.61300000000006</v>
      </c>
      <c r="E467">
        <v>2.76</v>
      </c>
      <c r="F467">
        <v>0.4</v>
      </c>
      <c r="G467" s="26">
        <f t="shared" si="56"/>
        <v>8.7077221300159486</v>
      </c>
      <c r="H467" s="26">
        <f t="shared" si="63"/>
        <v>-0.52500000000000213</v>
      </c>
      <c r="I467" s="26">
        <f t="shared" si="57"/>
        <v>15.635</v>
      </c>
      <c r="J467" t="str">
        <f t="shared" si="58"/>
        <v>Cooling</v>
      </c>
      <c r="K467" s="26">
        <f t="shared" si="59"/>
        <v>15.635</v>
      </c>
      <c r="L467" s="26">
        <f t="shared" si="60"/>
        <v>-0.52500000000000213</v>
      </c>
      <c r="N467">
        <f t="shared" si="61"/>
        <v>15.635</v>
      </c>
      <c r="O467">
        <f t="shared" si="62"/>
        <v>-0.52500000000000213</v>
      </c>
    </row>
    <row r="468" spans="1:15">
      <c r="A468" s="25">
        <v>46299.300694444442</v>
      </c>
      <c r="B468">
        <v>18.38</v>
      </c>
      <c r="C468">
        <v>53.234999999999999</v>
      </c>
      <c r="D468">
        <v>942.60199999999998</v>
      </c>
      <c r="E468">
        <v>2.7650000000000001</v>
      </c>
      <c r="F468">
        <v>0.433</v>
      </c>
      <c r="G468" s="26">
        <f t="shared" si="56"/>
        <v>8.6943689320951592</v>
      </c>
      <c r="H468" s="26">
        <f t="shared" si="63"/>
        <v>-0.49500000000001876</v>
      </c>
      <c r="I468" s="26">
        <f t="shared" si="57"/>
        <v>15.614999999999998</v>
      </c>
      <c r="J468" t="str">
        <f t="shared" si="58"/>
        <v>Cooling</v>
      </c>
      <c r="K468" s="26">
        <f t="shared" si="59"/>
        <v>15.614999999999998</v>
      </c>
      <c r="L468" s="26">
        <f t="shared" si="60"/>
        <v>-0.49500000000001876</v>
      </c>
      <c r="N468">
        <f t="shared" si="61"/>
        <v>15.614999999999998</v>
      </c>
      <c r="O468">
        <f t="shared" si="62"/>
        <v>-0.49500000000001876</v>
      </c>
    </row>
    <row r="469" spans="1:15">
      <c r="A469" s="25">
        <v>46299.301388888889</v>
      </c>
      <c r="B469">
        <v>18.367000000000001</v>
      </c>
      <c r="C469">
        <v>53.317</v>
      </c>
      <c r="D469">
        <v>942.59</v>
      </c>
      <c r="E469">
        <v>2.77</v>
      </c>
      <c r="F469">
        <v>0.46700000000000003</v>
      </c>
      <c r="G469" s="26">
        <f t="shared" si="56"/>
        <v>8.7050841113354522</v>
      </c>
      <c r="H469" s="26">
        <f t="shared" si="63"/>
        <v>-0.37499999999997868</v>
      </c>
      <c r="I469" s="26">
        <f t="shared" si="57"/>
        <v>15.597000000000001</v>
      </c>
      <c r="J469" t="str">
        <f t="shared" si="58"/>
        <v>Cooling</v>
      </c>
      <c r="K469" s="26">
        <f t="shared" si="59"/>
        <v>15.597000000000001</v>
      </c>
      <c r="L469" s="26">
        <f t="shared" si="60"/>
        <v>-0.37499999999997868</v>
      </c>
      <c r="N469">
        <f t="shared" si="61"/>
        <v>15.597000000000001</v>
      </c>
      <c r="O469">
        <f t="shared" si="62"/>
        <v>-0.37499999999997868</v>
      </c>
    </row>
    <row r="470" spans="1:15">
      <c r="A470" s="25">
        <v>46299.302083333343</v>
      </c>
      <c r="B470">
        <v>18.361999999999998</v>
      </c>
      <c r="C470">
        <v>53.1</v>
      </c>
      <c r="D470">
        <v>942.56299999999999</v>
      </c>
      <c r="E470">
        <v>2.7749999999999999</v>
      </c>
      <c r="F470">
        <v>0.5</v>
      </c>
      <c r="G470" s="26">
        <f t="shared" si="56"/>
        <v>8.640125080321889</v>
      </c>
      <c r="H470" s="26">
        <f t="shared" si="63"/>
        <v>0.75000000000001066</v>
      </c>
      <c r="I470" s="26">
        <f t="shared" si="57"/>
        <v>15.586999999999998</v>
      </c>
      <c r="J470" t="str">
        <f t="shared" si="58"/>
        <v>Heating</v>
      </c>
      <c r="K470" s="26" t="str">
        <f t="shared" si="59"/>
        <v/>
      </c>
      <c r="L470" s="26" t="str">
        <f t="shared" si="60"/>
        <v/>
      </c>
      <c r="N470" t="e">
        <f t="shared" si="61"/>
        <v>#N/A</v>
      </c>
      <c r="O470" t="e">
        <f t="shared" si="62"/>
        <v>#N/A</v>
      </c>
    </row>
    <row r="471" spans="1:15">
      <c r="A471" s="25">
        <v>46299.302777777782</v>
      </c>
      <c r="B471">
        <v>18.37</v>
      </c>
      <c r="C471">
        <v>53.765000000000001</v>
      </c>
      <c r="D471">
        <v>942.58299999999997</v>
      </c>
      <c r="E471">
        <v>2.78</v>
      </c>
      <c r="F471">
        <v>0.53300000000000003</v>
      </c>
      <c r="G471" s="26">
        <f t="shared" si="56"/>
        <v>8.8317268206612987</v>
      </c>
      <c r="H471" s="26">
        <f t="shared" si="63"/>
        <v>2.2949999999999804</v>
      </c>
      <c r="I471" s="26">
        <f t="shared" si="57"/>
        <v>15.590000000000002</v>
      </c>
      <c r="J471" t="str">
        <f t="shared" si="58"/>
        <v>Heating</v>
      </c>
      <c r="K471" s="26" t="str">
        <f t="shared" si="59"/>
        <v/>
      </c>
      <c r="L471" s="26" t="str">
        <f t="shared" si="60"/>
        <v/>
      </c>
      <c r="N471" t="e">
        <f t="shared" si="61"/>
        <v>#N/A</v>
      </c>
      <c r="O471" t="e">
        <f t="shared" si="62"/>
        <v>#N/A</v>
      </c>
    </row>
    <row r="472" spans="1:15">
      <c r="A472" s="25">
        <v>46299.303472222222</v>
      </c>
      <c r="B472">
        <v>18.43</v>
      </c>
      <c r="C472">
        <v>53.142000000000003</v>
      </c>
      <c r="D472">
        <v>942.56</v>
      </c>
      <c r="E472">
        <v>2.7850000000000001</v>
      </c>
      <c r="F472">
        <v>0.56699999999999995</v>
      </c>
      <c r="G472" s="26">
        <f t="shared" si="56"/>
        <v>8.7148585164583476</v>
      </c>
      <c r="H472" s="26">
        <f t="shared" si="63"/>
        <v>4.5900000000000141</v>
      </c>
      <c r="I472" s="26">
        <f t="shared" si="57"/>
        <v>15.645</v>
      </c>
      <c r="J472" t="str">
        <f t="shared" si="58"/>
        <v>Heating</v>
      </c>
      <c r="K472" s="26" t="str">
        <f t="shared" si="59"/>
        <v/>
      </c>
      <c r="L472" s="26" t="str">
        <f t="shared" si="60"/>
        <v/>
      </c>
      <c r="N472" t="e">
        <f t="shared" si="61"/>
        <v>#N/A</v>
      </c>
      <c r="O472" t="e">
        <f t="shared" si="62"/>
        <v>#N/A</v>
      </c>
    </row>
    <row r="473" spans="1:15">
      <c r="A473" s="25">
        <v>46299.304166666669</v>
      </c>
      <c r="B473">
        <v>18.52</v>
      </c>
      <c r="C473">
        <v>52.606999999999999</v>
      </c>
      <c r="D473">
        <v>942.52</v>
      </c>
      <c r="E473">
        <v>2.79</v>
      </c>
      <c r="F473">
        <v>0.6</v>
      </c>
      <c r="G473" s="26">
        <f t="shared" si="56"/>
        <v>8.6485702757213456</v>
      </c>
      <c r="H473" s="26">
        <f t="shared" si="63"/>
        <v>6.720000000000006</v>
      </c>
      <c r="I473" s="26">
        <f t="shared" si="57"/>
        <v>15.73</v>
      </c>
      <c r="J473" t="str">
        <f t="shared" si="58"/>
        <v>Heating</v>
      </c>
      <c r="K473" s="26" t="str">
        <f t="shared" si="59"/>
        <v/>
      </c>
      <c r="L473" s="26" t="str">
        <f t="shared" si="60"/>
        <v/>
      </c>
      <c r="N473" t="e">
        <f t="shared" si="61"/>
        <v>#N/A</v>
      </c>
      <c r="O473" t="e">
        <f t="shared" si="62"/>
        <v>#N/A</v>
      </c>
    </row>
    <row r="474" spans="1:15">
      <c r="A474" s="25">
        <v>46299.304861111108</v>
      </c>
      <c r="B474">
        <v>18.667999999999999</v>
      </c>
      <c r="C474">
        <v>52.161999999999999</v>
      </c>
      <c r="D474">
        <v>942.46299999999997</v>
      </c>
      <c r="E474">
        <v>2.7949999999999999</v>
      </c>
      <c r="F474">
        <v>0.63300000000000001</v>
      </c>
      <c r="G474" s="26">
        <f t="shared" si="56"/>
        <v>8.6599067629277453</v>
      </c>
      <c r="H474" s="26">
        <f t="shared" si="63"/>
        <v>7.3500000000000298</v>
      </c>
      <c r="I474" s="26">
        <f t="shared" si="57"/>
        <v>15.872999999999999</v>
      </c>
      <c r="J474" t="str">
        <f t="shared" si="58"/>
        <v>Heating</v>
      </c>
      <c r="K474" s="26" t="str">
        <f t="shared" si="59"/>
        <v/>
      </c>
      <c r="L474" s="26" t="str">
        <f t="shared" si="60"/>
        <v/>
      </c>
      <c r="N474" t="e">
        <f t="shared" si="61"/>
        <v>#N/A</v>
      </c>
      <c r="O474" t="e">
        <f t="shared" si="62"/>
        <v>#N/A</v>
      </c>
    </row>
    <row r="475" spans="1:15">
      <c r="A475" s="25">
        <v>46299.305555555547</v>
      </c>
      <c r="B475">
        <v>18.818000000000001</v>
      </c>
      <c r="C475">
        <v>51.631999999999998</v>
      </c>
      <c r="D475">
        <v>942.47199999999998</v>
      </c>
      <c r="E475">
        <v>2.8</v>
      </c>
      <c r="F475">
        <v>0.66700000000000004</v>
      </c>
      <c r="G475" s="26">
        <f t="shared" si="56"/>
        <v>8.6475332052675231</v>
      </c>
      <c r="H475" s="26">
        <f t="shared" si="63"/>
        <v>7.0499999999999829</v>
      </c>
      <c r="I475" s="26">
        <f t="shared" si="57"/>
        <v>16.018000000000001</v>
      </c>
      <c r="J475" t="str">
        <f t="shared" si="58"/>
        <v>Heating</v>
      </c>
      <c r="K475" s="26" t="str">
        <f t="shared" si="59"/>
        <v/>
      </c>
      <c r="L475" s="26" t="str">
        <f t="shared" si="60"/>
        <v/>
      </c>
      <c r="N475" t="e">
        <f t="shared" si="61"/>
        <v>#N/A</v>
      </c>
      <c r="O475" t="e">
        <f t="shared" si="62"/>
        <v>#N/A</v>
      </c>
    </row>
    <row r="476" spans="1:15">
      <c r="A476" s="25">
        <v>46299.306250000001</v>
      </c>
      <c r="B476">
        <v>18.920000000000002</v>
      </c>
      <c r="C476">
        <v>51.387999999999998</v>
      </c>
      <c r="D476">
        <v>942.42700000000002</v>
      </c>
      <c r="E476">
        <v>2.8050000000000002</v>
      </c>
      <c r="F476">
        <v>0.7</v>
      </c>
      <c r="G476" s="26">
        <f t="shared" si="56"/>
        <v>8.6716782097841225</v>
      </c>
      <c r="H476" s="26">
        <f t="shared" si="63"/>
        <v>4.7849999999999859</v>
      </c>
      <c r="I476" s="26">
        <f t="shared" si="57"/>
        <v>16.115000000000002</v>
      </c>
      <c r="J476" t="str">
        <f t="shared" si="58"/>
        <v>Heating</v>
      </c>
      <c r="K476" s="26" t="str">
        <f t="shared" si="59"/>
        <v/>
      </c>
      <c r="L476" s="26" t="str">
        <f t="shared" si="60"/>
        <v/>
      </c>
      <c r="N476" t="e">
        <f t="shared" si="61"/>
        <v>#N/A</v>
      </c>
      <c r="O476" t="e">
        <f t="shared" si="62"/>
        <v>#N/A</v>
      </c>
    </row>
    <row r="477" spans="1:15">
      <c r="A477" s="25">
        <v>46299.306944444441</v>
      </c>
      <c r="B477">
        <v>18.989999999999998</v>
      </c>
      <c r="C477">
        <v>51.356999999999999</v>
      </c>
      <c r="D477">
        <v>942.38199999999995</v>
      </c>
      <c r="E477">
        <v>2.81</v>
      </c>
      <c r="F477">
        <v>0.73299999999999998</v>
      </c>
      <c r="G477" s="26">
        <f t="shared" si="56"/>
        <v>8.7273778986930282</v>
      </c>
      <c r="H477" s="26">
        <f t="shared" si="63"/>
        <v>1.8599999999999817</v>
      </c>
      <c r="I477" s="26">
        <f t="shared" si="57"/>
        <v>16.18</v>
      </c>
      <c r="J477" t="str">
        <f t="shared" si="58"/>
        <v>Heating</v>
      </c>
      <c r="K477" s="26" t="str">
        <f t="shared" si="59"/>
        <v/>
      </c>
      <c r="L477" s="26" t="str">
        <f t="shared" si="60"/>
        <v/>
      </c>
      <c r="N477" t="e">
        <f t="shared" si="61"/>
        <v>#N/A</v>
      </c>
      <c r="O477" t="e">
        <f t="shared" si="62"/>
        <v>#N/A</v>
      </c>
    </row>
    <row r="478" spans="1:15">
      <c r="A478" s="25">
        <v>46299.307638888888</v>
      </c>
      <c r="B478">
        <v>18.986999999999998</v>
      </c>
      <c r="C478">
        <v>51.656999999999996</v>
      </c>
      <c r="D478">
        <v>942.34199999999998</v>
      </c>
      <c r="E478">
        <v>2.8149999999999999</v>
      </c>
      <c r="F478">
        <v>0.76700000000000002</v>
      </c>
      <c r="G478" s="26">
        <f t="shared" si="56"/>
        <v>8.8108241974005033</v>
      </c>
      <c r="H478" s="26">
        <f t="shared" si="63"/>
        <v>-0.12000000000004007</v>
      </c>
      <c r="I478" s="26">
        <f t="shared" si="57"/>
        <v>16.171999999999997</v>
      </c>
      <c r="J478" t="str">
        <f t="shared" si="58"/>
        <v>Steady</v>
      </c>
      <c r="K478" s="26" t="str">
        <f t="shared" si="59"/>
        <v/>
      </c>
      <c r="L478" s="26" t="str">
        <f t="shared" si="60"/>
        <v/>
      </c>
      <c r="N478" t="e">
        <f t="shared" si="61"/>
        <v>#N/A</v>
      </c>
      <c r="O478" t="e">
        <f t="shared" si="62"/>
        <v>#N/A</v>
      </c>
    </row>
    <row r="479" spans="1:15">
      <c r="A479" s="25">
        <v>46299.308333333327</v>
      </c>
      <c r="B479">
        <v>18.942</v>
      </c>
      <c r="C479">
        <v>51.545000000000002</v>
      </c>
      <c r="D479">
        <v>942.32799999999997</v>
      </c>
      <c r="E479">
        <v>2.82</v>
      </c>
      <c r="F479">
        <v>0.8</v>
      </c>
      <c r="G479" s="26">
        <f t="shared" si="56"/>
        <v>8.737126468121426</v>
      </c>
      <c r="H479" s="26">
        <f t="shared" si="63"/>
        <v>-2.1299999999999919</v>
      </c>
      <c r="I479" s="26">
        <f t="shared" si="57"/>
        <v>16.122</v>
      </c>
      <c r="J479" t="str">
        <f t="shared" si="58"/>
        <v>Cooling</v>
      </c>
      <c r="K479" s="26">
        <f t="shared" si="59"/>
        <v>16.122</v>
      </c>
      <c r="L479" s="26">
        <f t="shared" si="60"/>
        <v>-2.1299999999999919</v>
      </c>
      <c r="N479">
        <f t="shared" si="61"/>
        <v>16.122</v>
      </c>
      <c r="O479">
        <f t="shared" si="62"/>
        <v>-2.1299999999999919</v>
      </c>
    </row>
    <row r="480" spans="1:15">
      <c r="A480" s="25">
        <v>46299.309027777781</v>
      </c>
      <c r="B480">
        <v>18.911999999999999</v>
      </c>
      <c r="C480">
        <v>51.89</v>
      </c>
      <c r="D480">
        <v>942.26499999999999</v>
      </c>
      <c r="E480">
        <v>2.8250000000000002</v>
      </c>
      <c r="F480">
        <v>0.83299999999999996</v>
      </c>
      <c r="G480" s="26">
        <f t="shared" si="56"/>
        <v>8.8081558036125305</v>
      </c>
      <c r="H480" s="26">
        <f t="shared" si="63"/>
        <v>-3.0299999999999727</v>
      </c>
      <c r="I480" s="26">
        <f t="shared" si="57"/>
        <v>16.087</v>
      </c>
      <c r="J480" t="str">
        <f t="shared" si="58"/>
        <v>Cooling</v>
      </c>
      <c r="K480" s="26">
        <f t="shared" si="59"/>
        <v>16.087</v>
      </c>
      <c r="L480" s="26">
        <f t="shared" si="60"/>
        <v>-3.0299999999999727</v>
      </c>
      <c r="N480">
        <f t="shared" si="61"/>
        <v>16.087</v>
      </c>
      <c r="O480">
        <f t="shared" si="62"/>
        <v>-3.0299999999999727</v>
      </c>
    </row>
    <row r="481" spans="1:15">
      <c r="A481" s="25">
        <v>46299.30972222222</v>
      </c>
      <c r="B481">
        <v>18.847999999999999</v>
      </c>
      <c r="C481">
        <v>52.133000000000003</v>
      </c>
      <c r="D481">
        <v>942.29200000000003</v>
      </c>
      <c r="E481">
        <v>2.83</v>
      </c>
      <c r="F481">
        <v>0.86699999999999999</v>
      </c>
      <c r="G481" s="26">
        <f t="shared" si="56"/>
        <v>8.8181633107480657</v>
      </c>
      <c r="H481" s="26">
        <f t="shared" si="63"/>
        <v>-2.7600000000000158</v>
      </c>
      <c r="I481" s="26">
        <f t="shared" si="57"/>
        <v>16.018000000000001</v>
      </c>
      <c r="J481" t="str">
        <f t="shared" si="58"/>
        <v>Cooling</v>
      </c>
      <c r="K481" s="26">
        <f t="shared" si="59"/>
        <v>16.018000000000001</v>
      </c>
      <c r="L481" s="26">
        <f t="shared" si="60"/>
        <v>-2.7600000000000158</v>
      </c>
      <c r="N481">
        <f t="shared" si="61"/>
        <v>16.018000000000001</v>
      </c>
      <c r="O481">
        <f t="shared" si="62"/>
        <v>-2.7600000000000158</v>
      </c>
    </row>
    <row r="482" spans="1:15">
      <c r="A482" s="25">
        <v>46299.310416666667</v>
      </c>
      <c r="B482">
        <v>18.785</v>
      </c>
      <c r="C482">
        <v>52.133000000000003</v>
      </c>
      <c r="D482">
        <v>942.28200000000004</v>
      </c>
      <c r="E482">
        <v>2.835</v>
      </c>
      <c r="F482">
        <v>0.9</v>
      </c>
      <c r="G482" s="26">
        <f t="shared" si="56"/>
        <v>8.7598959406744576</v>
      </c>
      <c r="H482" s="26">
        <f t="shared" si="63"/>
        <v>-3.0749999999999744</v>
      </c>
      <c r="I482" s="26">
        <f t="shared" si="57"/>
        <v>15.95</v>
      </c>
      <c r="J482" t="str">
        <f t="shared" si="58"/>
        <v>Cooling</v>
      </c>
      <c r="K482" s="26">
        <f t="shared" si="59"/>
        <v>15.95</v>
      </c>
      <c r="L482" s="26">
        <f t="shared" si="60"/>
        <v>-3.0749999999999744</v>
      </c>
      <c r="N482">
        <f t="shared" si="61"/>
        <v>15.95</v>
      </c>
      <c r="O482">
        <f t="shared" si="62"/>
        <v>-3.0749999999999744</v>
      </c>
    </row>
    <row r="483" spans="1:15">
      <c r="A483" s="25">
        <v>46299.311111111107</v>
      </c>
      <c r="B483">
        <v>18.757999999999999</v>
      </c>
      <c r="C483">
        <v>52.271999999999998</v>
      </c>
      <c r="D483">
        <v>942.30499999999995</v>
      </c>
      <c r="E483">
        <v>2.84</v>
      </c>
      <c r="F483">
        <v>0.93300000000000005</v>
      </c>
      <c r="G483" s="26">
        <f t="shared" si="56"/>
        <v>8.7743341868038733</v>
      </c>
      <c r="H483" s="26">
        <f t="shared" si="63"/>
        <v>-2.7899999999999991</v>
      </c>
      <c r="I483" s="26">
        <f t="shared" si="57"/>
        <v>15.917999999999999</v>
      </c>
      <c r="J483" t="str">
        <f t="shared" si="58"/>
        <v>Cooling</v>
      </c>
      <c r="K483" s="26">
        <f t="shared" si="59"/>
        <v>15.917999999999999</v>
      </c>
      <c r="L483" s="26">
        <f t="shared" si="60"/>
        <v>-2.7899999999999991</v>
      </c>
      <c r="N483">
        <f t="shared" si="61"/>
        <v>15.917999999999999</v>
      </c>
      <c r="O483">
        <f t="shared" si="62"/>
        <v>-2.7899999999999991</v>
      </c>
    </row>
    <row r="484" spans="1:15">
      <c r="A484" s="25">
        <v>46299.311805555553</v>
      </c>
      <c r="B484">
        <v>18.707000000000001</v>
      </c>
      <c r="C484">
        <v>52.582000000000001</v>
      </c>
      <c r="D484">
        <v>942.298</v>
      </c>
      <c r="E484">
        <v>2.8450000000000002</v>
      </c>
      <c r="F484">
        <v>0.96699999999999997</v>
      </c>
      <c r="G484" s="26">
        <f t="shared" si="56"/>
        <v>8.8146780725476752</v>
      </c>
      <c r="H484" s="26">
        <f t="shared" si="63"/>
        <v>-2.2800000000000153</v>
      </c>
      <c r="I484" s="26">
        <f t="shared" si="57"/>
        <v>15.862</v>
      </c>
      <c r="J484" t="str">
        <f t="shared" si="58"/>
        <v>Cooling</v>
      </c>
      <c r="K484" s="26">
        <f t="shared" si="59"/>
        <v>15.862</v>
      </c>
      <c r="L484" s="26">
        <f t="shared" si="60"/>
        <v>-2.2800000000000153</v>
      </c>
      <c r="N484">
        <f t="shared" si="61"/>
        <v>15.862</v>
      </c>
      <c r="O484">
        <f t="shared" si="62"/>
        <v>-2.2800000000000153</v>
      </c>
    </row>
    <row r="485" spans="1:15">
      <c r="A485" s="25">
        <v>46299.3125</v>
      </c>
      <c r="B485">
        <v>18.661999999999999</v>
      </c>
      <c r="C485">
        <v>52.82</v>
      </c>
      <c r="D485">
        <v>942.31799999999998</v>
      </c>
      <c r="E485">
        <v>2.85</v>
      </c>
      <c r="F485">
        <v>1</v>
      </c>
      <c r="G485" s="26">
        <f t="shared" si="56"/>
        <v>8.8398837497390517</v>
      </c>
      <c r="H485" s="26">
        <f t="shared" si="63"/>
        <v>-2.264999999999997</v>
      </c>
      <c r="I485" s="26">
        <f t="shared" si="57"/>
        <v>15.811999999999999</v>
      </c>
      <c r="J485" t="str">
        <f t="shared" si="58"/>
        <v>Cooling</v>
      </c>
      <c r="K485" s="26">
        <f t="shared" si="59"/>
        <v>15.811999999999999</v>
      </c>
      <c r="L485" s="26">
        <f t="shared" si="60"/>
        <v>-2.264999999999997</v>
      </c>
      <c r="N485">
        <f t="shared" si="61"/>
        <v>15.811999999999999</v>
      </c>
      <c r="O485">
        <f t="shared" si="62"/>
        <v>-2.264999999999997</v>
      </c>
    </row>
    <row r="486" spans="1:15">
      <c r="A486" s="25">
        <v>46299.313194444447</v>
      </c>
      <c r="B486">
        <v>18.632999999999999</v>
      </c>
      <c r="C486">
        <v>52.837000000000003</v>
      </c>
      <c r="D486">
        <v>942.31200000000001</v>
      </c>
      <c r="E486">
        <v>2.855</v>
      </c>
      <c r="F486">
        <v>1.0329999999999999</v>
      </c>
      <c r="G486" s="26">
        <f t="shared" si="56"/>
        <v>8.8177847724037299</v>
      </c>
      <c r="H486" s="26">
        <f t="shared" si="63"/>
        <v>-1.7100000000000115</v>
      </c>
      <c r="I486" s="26">
        <f t="shared" si="57"/>
        <v>15.777999999999999</v>
      </c>
      <c r="J486" t="str">
        <f t="shared" si="58"/>
        <v>Cooling</v>
      </c>
      <c r="K486" s="26">
        <f t="shared" si="59"/>
        <v>15.777999999999999</v>
      </c>
      <c r="L486" s="26">
        <f t="shared" si="60"/>
        <v>-1.7100000000000115</v>
      </c>
      <c r="N486">
        <f t="shared" si="61"/>
        <v>15.777999999999999</v>
      </c>
      <c r="O486">
        <f t="shared" si="62"/>
        <v>-1.7100000000000115</v>
      </c>
    </row>
    <row r="487" spans="1:15">
      <c r="A487" s="25">
        <v>46299.313888888893</v>
      </c>
      <c r="B487">
        <v>18.606999999999999</v>
      </c>
      <c r="C487">
        <v>53.058</v>
      </c>
      <c r="D487">
        <v>942.30799999999999</v>
      </c>
      <c r="E487">
        <v>2.86</v>
      </c>
      <c r="F487">
        <v>1.0669999999999999</v>
      </c>
      <c r="G487" s="26">
        <f t="shared" si="56"/>
        <v>8.8555108842213617</v>
      </c>
      <c r="H487" s="26">
        <f t="shared" si="63"/>
        <v>-1.2300000000000111</v>
      </c>
      <c r="I487" s="26">
        <f t="shared" si="57"/>
        <v>15.747</v>
      </c>
      <c r="J487" t="str">
        <f t="shared" si="58"/>
        <v>Cooling</v>
      </c>
      <c r="K487" s="26">
        <f t="shared" si="59"/>
        <v>15.747</v>
      </c>
      <c r="L487" s="26">
        <f t="shared" si="60"/>
        <v>-1.2300000000000111</v>
      </c>
      <c r="N487">
        <f t="shared" si="61"/>
        <v>15.747</v>
      </c>
      <c r="O487">
        <f t="shared" si="62"/>
        <v>-1.2300000000000111</v>
      </c>
    </row>
    <row r="488" spans="1:15">
      <c r="A488" s="25">
        <v>46299.314583333333</v>
      </c>
      <c r="B488">
        <v>18.593</v>
      </c>
      <c r="C488">
        <v>52.963000000000001</v>
      </c>
      <c r="D488">
        <v>942.34500000000003</v>
      </c>
      <c r="E488">
        <v>2.8650000000000002</v>
      </c>
      <c r="F488">
        <v>1.1000000000000001</v>
      </c>
      <c r="G488" s="26">
        <f t="shared" si="56"/>
        <v>8.8159946949218195</v>
      </c>
      <c r="H488" s="26">
        <f t="shared" si="63"/>
        <v>-1.1249999999999893</v>
      </c>
      <c r="I488" s="26">
        <f t="shared" si="57"/>
        <v>15.728</v>
      </c>
      <c r="J488" t="str">
        <f t="shared" si="58"/>
        <v>Cooling</v>
      </c>
      <c r="K488" s="26">
        <f t="shared" si="59"/>
        <v>15.728</v>
      </c>
      <c r="L488" s="26">
        <f t="shared" si="60"/>
        <v>-1.1249999999999893</v>
      </c>
      <c r="N488">
        <f t="shared" si="61"/>
        <v>15.728</v>
      </c>
      <c r="O488">
        <f t="shared" si="62"/>
        <v>-1.1249999999999893</v>
      </c>
    </row>
    <row r="489" spans="1:15">
      <c r="A489" s="25">
        <v>46299.31527777778</v>
      </c>
      <c r="B489">
        <v>18.579999999999998</v>
      </c>
      <c r="C489">
        <v>53.057000000000002</v>
      </c>
      <c r="D489">
        <v>942.35199999999998</v>
      </c>
      <c r="E489">
        <v>2.87</v>
      </c>
      <c r="F489">
        <v>1.133</v>
      </c>
      <c r="G489" s="26">
        <f t="shared" si="56"/>
        <v>8.8302067186787099</v>
      </c>
      <c r="H489" s="26">
        <f t="shared" si="63"/>
        <v>-0.96000000000000085</v>
      </c>
      <c r="I489" s="26">
        <f t="shared" si="57"/>
        <v>15.709999999999997</v>
      </c>
      <c r="J489" t="str">
        <f t="shared" si="58"/>
        <v>Cooling</v>
      </c>
      <c r="K489" s="26">
        <f t="shared" si="59"/>
        <v>15.709999999999997</v>
      </c>
      <c r="L489" s="26">
        <f t="shared" si="60"/>
        <v>-0.96000000000000085</v>
      </c>
      <c r="N489">
        <f t="shared" si="61"/>
        <v>15.709999999999997</v>
      </c>
      <c r="O489">
        <f t="shared" si="62"/>
        <v>-0.96000000000000085</v>
      </c>
    </row>
    <row r="490" spans="1:15">
      <c r="A490" s="25">
        <v>46299.315972222219</v>
      </c>
      <c r="B490">
        <v>18.558</v>
      </c>
      <c r="C490">
        <v>53.093000000000004</v>
      </c>
      <c r="D490">
        <v>942.34</v>
      </c>
      <c r="E490">
        <v>2.875</v>
      </c>
      <c r="F490">
        <v>1.167</v>
      </c>
      <c r="G490" s="26">
        <f t="shared" si="56"/>
        <v>8.8198598376287638</v>
      </c>
      <c r="H490" s="26">
        <f t="shared" si="63"/>
        <v>-0.86999999999999744</v>
      </c>
      <c r="I490" s="26">
        <f t="shared" si="57"/>
        <v>15.683</v>
      </c>
      <c r="J490" t="str">
        <f t="shared" si="58"/>
        <v>Cooling</v>
      </c>
      <c r="K490" s="26">
        <f t="shared" si="59"/>
        <v>15.683</v>
      </c>
      <c r="L490" s="26">
        <f t="shared" si="60"/>
        <v>-0.86999999999999744</v>
      </c>
      <c r="N490">
        <f t="shared" si="61"/>
        <v>15.683</v>
      </c>
      <c r="O490">
        <f t="shared" si="62"/>
        <v>-0.86999999999999744</v>
      </c>
    </row>
    <row r="491" spans="1:15">
      <c r="A491" s="25">
        <v>46299.316666666673</v>
      </c>
      <c r="B491">
        <v>18.542999999999999</v>
      </c>
      <c r="C491">
        <v>52.978000000000002</v>
      </c>
      <c r="D491">
        <v>942.32</v>
      </c>
      <c r="E491">
        <v>2.88</v>
      </c>
      <c r="F491">
        <v>1.2</v>
      </c>
      <c r="G491" s="26">
        <f t="shared" si="56"/>
        <v>8.7738532742830735</v>
      </c>
      <c r="H491" s="26">
        <f t="shared" si="63"/>
        <v>-0.71999999999997399</v>
      </c>
      <c r="I491" s="26">
        <f t="shared" si="57"/>
        <v>15.663</v>
      </c>
      <c r="J491" t="str">
        <f t="shared" si="58"/>
        <v>Cooling</v>
      </c>
      <c r="K491" s="26">
        <f t="shared" si="59"/>
        <v>15.663</v>
      </c>
      <c r="L491" s="26">
        <f t="shared" si="60"/>
        <v>-0.71999999999997399</v>
      </c>
      <c r="N491">
        <f t="shared" si="61"/>
        <v>15.663</v>
      </c>
      <c r="O491">
        <f t="shared" si="62"/>
        <v>-0.71999999999997399</v>
      </c>
    </row>
    <row r="492" spans="1:15">
      <c r="A492" s="25">
        <v>46299.317361111112</v>
      </c>
      <c r="B492">
        <v>18.535</v>
      </c>
      <c r="C492">
        <v>53.222999999999999</v>
      </c>
      <c r="D492">
        <v>942.36</v>
      </c>
      <c r="E492">
        <v>2.8849999999999998</v>
      </c>
      <c r="F492">
        <v>1.2330000000000001</v>
      </c>
      <c r="G492" s="26">
        <f t="shared" si="56"/>
        <v>8.8347541386159296</v>
      </c>
      <c r="H492" s="26">
        <f t="shared" si="63"/>
        <v>-0.64499999999998892</v>
      </c>
      <c r="I492" s="26">
        <f t="shared" si="57"/>
        <v>15.65</v>
      </c>
      <c r="J492" t="str">
        <f t="shared" si="58"/>
        <v>Cooling</v>
      </c>
      <c r="K492" s="26">
        <f t="shared" si="59"/>
        <v>15.65</v>
      </c>
      <c r="L492" s="26">
        <f t="shared" si="60"/>
        <v>-0.64499999999998892</v>
      </c>
      <c r="N492">
        <f t="shared" si="61"/>
        <v>15.65</v>
      </c>
      <c r="O492">
        <f t="shared" si="62"/>
        <v>-0.64499999999998892</v>
      </c>
    </row>
    <row r="493" spans="1:15">
      <c r="A493" s="25">
        <v>46299.318055555559</v>
      </c>
      <c r="B493">
        <v>18.532</v>
      </c>
      <c r="C493">
        <v>53.234999999999999</v>
      </c>
      <c r="D493">
        <v>942.298</v>
      </c>
      <c r="E493">
        <v>2.89</v>
      </c>
      <c r="F493">
        <v>1.2669999999999999</v>
      </c>
      <c r="G493" s="26">
        <f t="shared" si="56"/>
        <v>8.8353113241672059</v>
      </c>
      <c r="H493" s="26">
        <f t="shared" si="63"/>
        <v>-0.41999999999998039</v>
      </c>
      <c r="I493" s="26">
        <f t="shared" si="57"/>
        <v>15.641999999999999</v>
      </c>
      <c r="J493" t="str">
        <f t="shared" si="58"/>
        <v>Cooling</v>
      </c>
      <c r="K493" s="26">
        <f t="shared" si="59"/>
        <v>15.641999999999999</v>
      </c>
      <c r="L493" s="26">
        <f t="shared" si="60"/>
        <v>-0.41999999999998039</v>
      </c>
      <c r="N493">
        <f t="shared" si="61"/>
        <v>15.641999999999999</v>
      </c>
      <c r="O493">
        <f t="shared" si="62"/>
        <v>-0.41999999999998039</v>
      </c>
    </row>
    <row r="494" spans="1:15">
      <c r="A494" s="25">
        <v>46299.318749999999</v>
      </c>
      <c r="B494">
        <v>18.515000000000001</v>
      </c>
      <c r="C494">
        <v>53.326999999999998</v>
      </c>
      <c r="D494">
        <v>942.27800000000002</v>
      </c>
      <c r="E494">
        <v>2.895</v>
      </c>
      <c r="F494">
        <v>1.3</v>
      </c>
      <c r="G494" s="26">
        <f t="shared" si="56"/>
        <v>8.8451206218352354</v>
      </c>
      <c r="H494" s="26">
        <f t="shared" si="63"/>
        <v>-0.63000000000002387</v>
      </c>
      <c r="I494" s="26">
        <f t="shared" si="57"/>
        <v>15.620000000000001</v>
      </c>
      <c r="J494" t="str">
        <f t="shared" si="58"/>
        <v>Cooling</v>
      </c>
      <c r="K494" s="26">
        <f t="shared" si="59"/>
        <v>15.620000000000001</v>
      </c>
      <c r="L494" s="26">
        <f t="shared" si="60"/>
        <v>-0.63000000000002387</v>
      </c>
      <c r="N494">
        <f t="shared" si="61"/>
        <v>15.620000000000001</v>
      </c>
      <c r="O494">
        <f t="shared" si="62"/>
        <v>-0.63000000000002387</v>
      </c>
    </row>
    <row r="495" spans="1:15">
      <c r="A495" s="25">
        <v>46299.319444444453</v>
      </c>
      <c r="B495">
        <v>18.515000000000001</v>
      </c>
      <c r="C495">
        <v>53.362000000000002</v>
      </c>
      <c r="D495">
        <v>942.23699999999997</v>
      </c>
      <c r="E495">
        <v>2.9</v>
      </c>
      <c r="F495">
        <v>1.333</v>
      </c>
      <c r="G495" s="26">
        <f t="shared" si="56"/>
        <v>8.8548389892022357</v>
      </c>
      <c r="H495" s="26">
        <f t="shared" si="63"/>
        <v>-0.59999999999998721</v>
      </c>
      <c r="I495" s="26">
        <f t="shared" si="57"/>
        <v>15.615</v>
      </c>
      <c r="J495" t="str">
        <f t="shared" si="58"/>
        <v>Cooling</v>
      </c>
      <c r="K495" s="26">
        <f t="shared" si="59"/>
        <v>15.615</v>
      </c>
      <c r="L495" s="26">
        <f t="shared" si="60"/>
        <v>-0.59999999999998721</v>
      </c>
      <c r="N495">
        <f t="shared" si="61"/>
        <v>15.615</v>
      </c>
      <c r="O495">
        <f t="shared" si="62"/>
        <v>-0.59999999999998721</v>
      </c>
    </row>
    <row r="496" spans="1:15">
      <c r="A496" s="25">
        <v>46299.320138888892</v>
      </c>
      <c r="B496">
        <v>18.492999999999999</v>
      </c>
      <c r="C496">
        <v>53.32</v>
      </c>
      <c r="D496">
        <v>942.22299999999996</v>
      </c>
      <c r="E496">
        <v>2.9049999999999998</v>
      </c>
      <c r="F496">
        <v>1.367</v>
      </c>
      <c r="G496" s="26">
        <f t="shared" si="56"/>
        <v>8.8227731662947733</v>
      </c>
      <c r="H496" s="26">
        <f t="shared" si="63"/>
        <v>-0.40500000000001535</v>
      </c>
      <c r="I496" s="26">
        <f t="shared" si="57"/>
        <v>15.587999999999999</v>
      </c>
      <c r="J496" t="str">
        <f t="shared" si="58"/>
        <v>Cooling</v>
      </c>
      <c r="K496" s="26">
        <f t="shared" si="59"/>
        <v>15.587999999999999</v>
      </c>
      <c r="L496" s="26">
        <f t="shared" si="60"/>
        <v>-0.40500000000001535</v>
      </c>
      <c r="N496">
        <f t="shared" si="61"/>
        <v>15.587999999999999</v>
      </c>
      <c r="O496">
        <f t="shared" si="62"/>
        <v>-0.40500000000001535</v>
      </c>
    </row>
    <row r="497" spans="1:15">
      <c r="A497" s="25">
        <v>46299.320833333331</v>
      </c>
      <c r="B497">
        <v>18.492000000000001</v>
      </c>
      <c r="C497">
        <v>53.292000000000002</v>
      </c>
      <c r="D497">
        <v>942.19500000000005</v>
      </c>
      <c r="E497">
        <v>2.91</v>
      </c>
      <c r="F497">
        <v>1.4</v>
      </c>
      <c r="G497" s="26">
        <f t="shared" si="56"/>
        <v>8.8140674184321899</v>
      </c>
      <c r="H497" s="26">
        <f t="shared" si="63"/>
        <v>-0.63000000000002387</v>
      </c>
      <c r="I497" s="26">
        <f t="shared" si="57"/>
        <v>15.582000000000001</v>
      </c>
      <c r="J497" t="str">
        <f t="shared" si="58"/>
        <v>Cooling</v>
      </c>
      <c r="K497" s="26">
        <f t="shared" si="59"/>
        <v>15.582000000000001</v>
      </c>
      <c r="L497" s="26">
        <f t="shared" si="60"/>
        <v>-0.63000000000002387</v>
      </c>
      <c r="N497">
        <f t="shared" si="61"/>
        <v>15.582000000000001</v>
      </c>
      <c r="O497">
        <f t="shared" si="62"/>
        <v>-0.63000000000002387</v>
      </c>
    </row>
    <row r="498" spans="1:15">
      <c r="A498" s="25">
        <v>46299.321527777778</v>
      </c>
      <c r="B498">
        <v>18.488</v>
      </c>
      <c r="C498">
        <v>53.417999999999999</v>
      </c>
      <c r="D498">
        <v>942.18</v>
      </c>
      <c r="E498">
        <v>2.915</v>
      </c>
      <c r="F498">
        <v>1.4330000000000001</v>
      </c>
      <c r="G498" s="26">
        <f t="shared" si="56"/>
        <v>8.8453310819268296</v>
      </c>
      <c r="H498" s="26">
        <f t="shared" si="63"/>
        <v>-0.53999999999996717</v>
      </c>
      <c r="I498" s="26">
        <f t="shared" si="57"/>
        <v>15.573</v>
      </c>
      <c r="J498" t="str">
        <f t="shared" si="58"/>
        <v>Cooling</v>
      </c>
      <c r="K498" s="26">
        <f t="shared" si="59"/>
        <v>15.573</v>
      </c>
      <c r="L498" s="26">
        <f t="shared" si="60"/>
        <v>-0.53999999999996717</v>
      </c>
      <c r="N498">
        <f t="shared" si="61"/>
        <v>15.573</v>
      </c>
      <c r="O498">
        <f t="shared" si="62"/>
        <v>-0.53999999999996717</v>
      </c>
    </row>
    <row r="499" spans="1:15">
      <c r="A499" s="25">
        <v>46299.322222222218</v>
      </c>
      <c r="B499">
        <v>18.472999999999999</v>
      </c>
      <c r="C499">
        <v>53.4</v>
      </c>
      <c r="D499">
        <v>942.18299999999999</v>
      </c>
      <c r="E499">
        <v>2.92</v>
      </c>
      <c r="F499">
        <v>1.4670000000000001</v>
      </c>
      <c r="G499" s="26">
        <f t="shared" si="56"/>
        <v>8.8264256292728067</v>
      </c>
      <c r="H499" s="26">
        <f t="shared" si="63"/>
        <v>-0.43499999999999872</v>
      </c>
      <c r="I499" s="26">
        <f t="shared" si="57"/>
        <v>15.552999999999999</v>
      </c>
      <c r="J499" t="str">
        <f t="shared" si="58"/>
        <v>Cooling</v>
      </c>
      <c r="K499" s="26">
        <f t="shared" si="59"/>
        <v>15.552999999999999</v>
      </c>
      <c r="L499" s="26">
        <f t="shared" si="60"/>
        <v>-0.43499999999999872</v>
      </c>
      <c r="N499">
        <f t="shared" si="61"/>
        <v>15.552999999999999</v>
      </c>
      <c r="O499">
        <f t="shared" si="62"/>
        <v>-0.43499999999999872</v>
      </c>
    </row>
    <row r="500" spans="1:15">
      <c r="A500" s="25">
        <v>46299.322916666657</v>
      </c>
      <c r="B500">
        <v>18.457000000000001</v>
      </c>
      <c r="C500">
        <v>53.39</v>
      </c>
      <c r="D500">
        <v>942.20299999999997</v>
      </c>
      <c r="E500">
        <v>2.9249999999999998</v>
      </c>
      <c r="F500">
        <v>1.5</v>
      </c>
      <c r="G500" s="26">
        <f t="shared" si="56"/>
        <v>8.8088110523731888</v>
      </c>
      <c r="H500" s="26">
        <f t="shared" si="63"/>
        <v>-0.49500000000001876</v>
      </c>
      <c r="I500" s="26">
        <f t="shared" si="57"/>
        <v>15.532</v>
      </c>
      <c r="J500" t="str">
        <f t="shared" si="58"/>
        <v>Cooling</v>
      </c>
      <c r="K500" s="26">
        <f t="shared" si="59"/>
        <v>15.532</v>
      </c>
      <c r="L500" s="26">
        <f t="shared" si="60"/>
        <v>-0.49500000000001876</v>
      </c>
      <c r="N500">
        <f t="shared" si="61"/>
        <v>15.532</v>
      </c>
      <c r="O500">
        <f t="shared" si="62"/>
        <v>-0.49500000000001876</v>
      </c>
    </row>
    <row r="501" spans="1:15">
      <c r="A501" s="25">
        <v>46299.323611111111</v>
      </c>
      <c r="B501">
        <v>18.463000000000001</v>
      </c>
      <c r="C501">
        <v>53.423000000000002</v>
      </c>
      <c r="D501">
        <v>942.18799999999999</v>
      </c>
      <c r="E501">
        <v>2.93</v>
      </c>
      <c r="F501">
        <v>1.5329999999999999</v>
      </c>
      <c r="G501" s="26">
        <f t="shared" si="56"/>
        <v>8.8235266036852433</v>
      </c>
      <c r="H501" s="26">
        <f t="shared" si="63"/>
        <v>-0.44999999999996376</v>
      </c>
      <c r="I501" s="26">
        <f t="shared" si="57"/>
        <v>15.533000000000001</v>
      </c>
      <c r="J501" t="str">
        <f t="shared" si="58"/>
        <v>Cooling</v>
      </c>
      <c r="K501" s="26">
        <f t="shared" si="59"/>
        <v>15.533000000000001</v>
      </c>
      <c r="L501" s="26">
        <f t="shared" si="60"/>
        <v>-0.44999999999996376</v>
      </c>
      <c r="N501">
        <f t="shared" si="61"/>
        <v>15.533000000000001</v>
      </c>
      <c r="O501">
        <f t="shared" si="62"/>
        <v>-0.44999999999996376</v>
      </c>
    </row>
    <row r="502" spans="1:15">
      <c r="A502" s="25">
        <v>46299.324305555558</v>
      </c>
      <c r="B502">
        <v>18.454999999999998</v>
      </c>
      <c r="C502">
        <v>53.466999999999999</v>
      </c>
      <c r="D502">
        <v>942.16</v>
      </c>
      <c r="E502">
        <v>2.9350000000000001</v>
      </c>
      <c r="F502">
        <v>1.5669999999999999</v>
      </c>
      <c r="G502" s="26">
        <f t="shared" si="56"/>
        <v>8.8282972268036168</v>
      </c>
      <c r="H502" s="26">
        <f t="shared" si="63"/>
        <v>-0.20999999999999019</v>
      </c>
      <c r="I502" s="26">
        <f t="shared" si="57"/>
        <v>15.519999999999998</v>
      </c>
      <c r="J502" t="str">
        <f t="shared" si="58"/>
        <v>Cooling</v>
      </c>
      <c r="K502" s="26">
        <f t="shared" si="59"/>
        <v>15.519999999999998</v>
      </c>
      <c r="L502" s="26">
        <f t="shared" si="60"/>
        <v>-0.20999999999999019</v>
      </c>
      <c r="N502">
        <f t="shared" si="61"/>
        <v>15.519999999999998</v>
      </c>
      <c r="O502">
        <f t="shared" si="62"/>
        <v>-0.20999999999999019</v>
      </c>
    </row>
    <row r="503" spans="1:15">
      <c r="A503" s="25">
        <v>46299.324999999997</v>
      </c>
      <c r="B503">
        <v>18.443000000000001</v>
      </c>
      <c r="C503">
        <v>53.472999999999999</v>
      </c>
      <c r="D503">
        <v>942.14800000000002</v>
      </c>
      <c r="E503">
        <v>2.94</v>
      </c>
      <c r="F503">
        <v>1.6</v>
      </c>
      <c r="G503" s="26">
        <f t="shared" si="56"/>
        <v>8.818826156438309</v>
      </c>
      <c r="H503" s="26">
        <f t="shared" si="63"/>
        <v>-0.34499999999999531</v>
      </c>
      <c r="I503" s="26">
        <f t="shared" si="57"/>
        <v>15.503000000000002</v>
      </c>
      <c r="J503" t="str">
        <f t="shared" si="58"/>
        <v>Cooling</v>
      </c>
      <c r="K503" s="26">
        <f t="shared" si="59"/>
        <v>15.503000000000002</v>
      </c>
      <c r="L503" s="26">
        <f t="shared" si="60"/>
        <v>-0.34499999999999531</v>
      </c>
      <c r="N503">
        <f t="shared" si="61"/>
        <v>15.503000000000002</v>
      </c>
      <c r="O503">
        <f t="shared" si="62"/>
        <v>-0.34499999999999531</v>
      </c>
    </row>
    <row r="504" spans="1:15">
      <c r="A504" s="25">
        <v>46299.325694444437</v>
      </c>
      <c r="B504">
        <v>18.443000000000001</v>
      </c>
      <c r="C504">
        <v>53.38</v>
      </c>
      <c r="D504">
        <v>942.13699999999994</v>
      </c>
      <c r="E504">
        <v>2.9449999999999998</v>
      </c>
      <c r="F504">
        <v>1.633</v>
      </c>
      <c r="G504" s="26">
        <f t="shared" si="56"/>
        <v>8.7930517095052654</v>
      </c>
      <c r="H504" s="26">
        <f t="shared" si="63"/>
        <v>-0.40499999999996206</v>
      </c>
      <c r="I504" s="26">
        <f t="shared" si="57"/>
        <v>15.498000000000001</v>
      </c>
      <c r="J504" t="str">
        <f t="shared" si="58"/>
        <v>Cooling</v>
      </c>
      <c r="K504" s="26">
        <f t="shared" si="59"/>
        <v>15.498000000000001</v>
      </c>
      <c r="L504" s="26">
        <f t="shared" si="60"/>
        <v>-0.40499999999996206</v>
      </c>
      <c r="N504">
        <f t="shared" si="61"/>
        <v>15.498000000000001</v>
      </c>
      <c r="O504">
        <f t="shared" si="62"/>
        <v>-0.40499999999996206</v>
      </c>
    </row>
    <row r="505" spans="1:15">
      <c r="A505" s="25">
        <v>46299.326388888891</v>
      </c>
      <c r="B505">
        <v>18.440000000000001</v>
      </c>
      <c r="C505">
        <v>53.38</v>
      </c>
      <c r="D505">
        <v>942.15300000000002</v>
      </c>
      <c r="E505">
        <v>2.95</v>
      </c>
      <c r="F505">
        <v>1.667</v>
      </c>
      <c r="G505" s="26">
        <f t="shared" si="56"/>
        <v>8.7902690505817311</v>
      </c>
      <c r="H505" s="26">
        <f t="shared" si="63"/>
        <v>-0.16500000000004178</v>
      </c>
      <c r="I505" s="26">
        <f t="shared" si="57"/>
        <v>15.490000000000002</v>
      </c>
      <c r="J505" t="str">
        <f t="shared" si="58"/>
        <v>Steady</v>
      </c>
      <c r="K505" s="26" t="str">
        <f t="shared" si="59"/>
        <v/>
      </c>
      <c r="L505" s="26" t="str">
        <f t="shared" si="60"/>
        <v/>
      </c>
      <c r="N505" t="e">
        <f t="shared" si="61"/>
        <v>#N/A</v>
      </c>
      <c r="O505" t="e">
        <f t="shared" si="62"/>
        <v>#N/A</v>
      </c>
    </row>
    <row r="506" spans="1:15">
      <c r="A506" s="25">
        <v>46299.32708333333</v>
      </c>
      <c r="B506">
        <v>18.428000000000001</v>
      </c>
      <c r="C506">
        <v>53.372999999999998</v>
      </c>
      <c r="D506">
        <v>942.10500000000002</v>
      </c>
      <c r="E506">
        <v>2.9550000000000001</v>
      </c>
      <c r="F506">
        <v>1.7</v>
      </c>
      <c r="G506" s="26">
        <f t="shared" si="56"/>
        <v>8.7771969906110368</v>
      </c>
      <c r="H506" s="26">
        <f t="shared" si="63"/>
        <v>-0.38999999999999702</v>
      </c>
      <c r="I506" s="26">
        <f t="shared" si="57"/>
        <v>15.473000000000001</v>
      </c>
      <c r="J506" t="str">
        <f t="shared" si="58"/>
        <v>Cooling</v>
      </c>
      <c r="K506" s="26">
        <f t="shared" si="59"/>
        <v>15.473000000000001</v>
      </c>
      <c r="L506" s="26">
        <f t="shared" si="60"/>
        <v>-0.38999999999999702</v>
      </c>
      <c r="N506">
        <f t="shared" si="61"/>
        <v>15.473000000000001</v>
      </c>
      <c r="O506">
        <f t="shared" si="62"/>
        <v>-0.38999999999999702</v>
      </c>
    </row>
    <row r="507" spans="1:15">
      <c r="A507" s="25">
        <v>46299.327777777777</v>
      </c>
      <c r="B507">
        <v>18.431999999999999</v>
      </c>
      <c r="C507">
        <v>53.502000000000002</v>
      </c>
      <c r="D507">
        <v>942.13300000000004</v>
      </c>
      <c r="E507">
        <v>2.96</v>
      </c>
      <c r="F507">
        <v>1.7330000000000001</v>
      </c>
      <c r="G507" s="26">
        <f t="shared" si="56"/>
        <v>8.8166494258044867</v>
      </c>
      <c r="H507" s="26">
        <f t="shared" si="63"/>
        <v>-0.34499999999999531</v>
      </c>
      <c r="I507" s="26">
        <f t="shared" si="57"/>
        <v>15.471999999999998</v>
      </c>
      <c r="J507" t="str">
        <f t="shared" si="58"/>
        <v>Cooling</v>
      </c>
      <c r="K507" s="26">
        <f t="shared" si="59"/>
        <v>15.471999999999998</v>
      </c>
      <c r="L507" s="26">
        <f t="shared" si="60"/>
        <v>-0.34499999999999531</v>
      </c>
      <c r="N507">
        <f t="shared" si="61"/>
        <v>15.471999999999998</v>
      </c>
      <c r="O507">
        <f t="shared" si="62"/>
        <v>-0.34499999999999531</v>
      </c>
    </row>
    <row r="508" spans="1:15">
      <c r="A508" s="25">
        <v>46299.328472222223</v>
      </c>
      <c r="B508">
        <v>18.417000000000002</v>
      </c>
      <c r="C508">
        <v>53.625</v>
      </c>
      <c r="D508">
        <v>942.06</v>
      </c>
      <c r="E508">
        <v>2.9649999999999999</v>
      </c>
      <c r="F508">
        <v>1.7669999999999999</v>
      </c>
      <c r="G508" s="26">
        <f t="shared" si="56"/>
        <v>8.8367376561998405</v>
      </c>
      <c r="H508" s="26">
        <f t="shared" si="63"/>
        <v>-0.15000000000002345</v>
      </c>
      <c r="I508" s="26">
        <f t="shared" si="57"/>
        <v>15.452000000000002</v>
      </c>
      <c r="J508" t="str">
        <f t="shared" si="58"/>
        <v>Steady</v>
      </c>
      <c r="K508" s="26" t="str">
        <f t="shared" si="59"/>
        <v/>
      </c>
      <c r="L508" s="26" t="str">
        <f t="shared" si="60"/>
        <v/>
      </c>
      <c r="N508" t="e">
        <f t="shared" si="61"/>
        <v>#N/A</v>
      </c>
      <c r="O508" t="e">
        <f t="shared" si="62"/>
        <v>#N/A</v>
      </c>
    </row>
    <row r="509" spans="1:15">
      <c r="A509" s="25">
        <v>46299.32916666667</v>
      </c>
      <c r="B509">
        <v>18.417000000000002</v>
      </c>
      <c r="C509">
        <v>53.531999999999996</v>
      </c>
      <c r="D509">
        <v>942.06799999999998</v>
      </c>
      <c r="E509">
        <v>2.97</v>
      </c>
      <c r="F509">
        <v>1.8</v>
      </c>
      <c r="G509" s="26">
        <f t="shared" si="56"/>
        <v>8.811032667329032</v>
      </c>
      <c r="H509" s="26">
        <f t="shared" si="63"/>
        <v>-0.29999999999999361</v>
      </c>
      <c r="I509" s="26">
        <f t="shared" si="57"/>
        <v>15.447000000000001</v>
      </c>
      <c r="J509" t="str">
        <f t="shared" si="58"/>
        <v>Cooling</v>
      </c>
      <c r="K509" s="26">
        <f t="shared" si="59"/>
        <v>15.447000000000001</v>
      </c>
      <c r="L509" s="26">
        <f t="shared" si="60"/>
        <v>-0.29999999999999361</v>
      </c>
      <c r="N509">
        <f t="shared" si="61"/>
        <v>15.447000000000001</v>
      </c>
      <c r="O509">
        <f t="shared" si="62"/>
        <v>-0.29999999999999361</v>
      </c>
    </row>
    <row r="510" spans="1:15">
      <c r="A510" s="25">
        <v>46299.329861111109</v>
      </c>
      <c r="B510">
        <v>18.417999999999999</v>
      </c>
      <c r="C510">
        <v>53.573</v>
      </c>
      <c r="D510">
        <v>942.08699999999999</v>
      </c>
      <c r="E510">
        <v>2.9750000000000001</v>
      </c>
      <c r="F510">
        <v>1.833</v>
      </c>
      <c r="G510" s="26">
        <f t="shared" si="56"/>
        <v>8.8232977800666443</v>
      </c>
      <c r="H510" s="26">
        <f t="shared" si="63"/>
        <v>-0.22500000000000853</v>
      </c>
      <c r="I510" s="26">
        <f t="shared" si="57"/>
        <v>15.443</v>
      </c>
      <c r="J510" t="str">
        <f t="shared" si="58"/>
        <v>Cooling</v>
      </c>
      <c r="K510" s="26">
        <f t="shared" si="59"/>
        <v>15.443</v>
      </c>
      <c r="L510" s="26">
        <f t="shared" si="60"/>
        <v>-0.22500000000000853</v>
      </c>
      <c r="N510">
        <f t="shared" si="61"/>
        <v>15.443</v>
      </c>
      <c r="O510">
        <f t="shared" si="62"/>
        <v>-0.22500000000000853</v>
      </c>
    </row>
    <row r="511" spans="1:15">
      <c r="A511" s="25">
        <v>46299.330555555563</v>
      </c>
      <c r="B511">
        <v>18.411999999999999</v>
      </c>
      <c r="C511">
        <v>53.564999999999998</v>
      </c>
      <c r="D511">
        <v>942.06700000000001</v>
      </c>
      <c r="E511">
        <v>2.98</v>
      </c>
      <c r="F511">
        <v>1.867</v>
      </c>
      <c r="G511" s="26">
        <f t="shared" si="56"/>
        <v>8.8155186124694698</v>
      </c>
      <c r="H511" s="26">
        <f t="shared" si="63"/>
        <v>-0.28500000000002856</v>
      </c>
      <c r="I511" s="26">
        <f t="shared" si="57"/>
        <v>15.431999999999999</v>
      </c>
      <c r="J511" t="str">
        <f t="shared" si="58"/>
        <v>Cooling</v>
      </c>
      <c r="K511" s="26">
        <f t="shared" si="59"/>
        <v>15.431999999999999</v>
      </c>
      <c r="L511" s="26">
        <f t="shared" si="60"/>
        <v>-0.28500000000002856</v>
      </c>
      <c r="N511">
        <f t="shared" si="61"/>
        <v>15.431999999999999</v>
      </c>
      <c r="O511">
        <f t="shared" si="62"/>
        <v>-0.28500000000002856</v>
      </c>
    </row>
    <row r="512" spans="1:15">
      <c r="A512" s="25">
        <v>46299.331250000003</v>
      </c>
      <c r="B512">
        <v>18.402000000000001</v>
      </c>
      <c r="C512">
        <v>53.715000000000003</v>
      </c>
      <c r="D512">
        <v>942.077</v>
      </c>
      <c r="E512">
        <v>2.9849999999999999</v>
      </c>
      <c r="F512">
        <v>1.9</v>
      </c>
      <c r="G512" s="26">
        <f t="shared" si="56"/>
        <v>8.8476523659737687</v>
      </c>
      <c r="H512" s="26">
        <f t="shared" si="63"/>
        <v>-0.49499999999996547</v>
      </c>
      <c r="I512" s="26">
        <f t="shared" si="57"/>
        <v>15.417000000000002</v>
      </c>
      <c r="J512" t="str">
        <f t="shared" si="58"/>
        <v>Cooling</v>
      </c>
      <c r="K512" s="26">
        <f t="shared" si="59"/>
        <v>15.417000000000002</v>
      </c>
      <c r="L512" s="26">
        <f t="shared" si="60"/>
        <v>-0.49499999999996547</v>
      </c>
      <c r="N512">
        <f t="shared" si="61"/>
        <v>15.417000000000002</v>
      </c>
      <c r="O512">
        <f t="shared" si="62"/>
        <v>-0.49499999999996547</v>
      </c>
    </row>
    <row r="513" spans="1:15">
      <c r="A513" s="25">
        <v>46299.331944444442</v>
      </c>
      <c r="B513">
        <v>18.398</v>
      </c>
      <c r="C513">
        <v>53.857999999999997</v>
      </c>
      <c r="D513">
        <v>942.03499999999997</v>
      </c>
      <c r="E513">
        <v>2.99</v>
      </c>
      <c r="F513">
        <v>1.9330000000000001</v>
      </c>
      <c r="G513" s="26">
        <f t="shared" si="56"/>
        <v>8.8833238480409111</v>
      </c>
      <c r="H513" s="26">
        <f t="shared" si="63"/>
        <v>-0.37499999999997868</v>
      </c>
      <c r="I513" s="26">
        <f t="shared" si="57"/>
        <v>15.407999999999999</v>
      </c>
      <c r="J513" t="str">
        <f t="shared" si="58"/>
        <v>Cooling</v>
      </c>
      <c r="K513" s="26">
        <f t="shared" si="59"/>
        <v>15.407999999999999</v>
      </c>
      <c r="L513" s="26">
        <f t="shared" si="60"/>
        <v>-0.37499999999997868</v>
      </c>
      <c r="N513">
        <f t="shared" si="61"/>
        <v>15.407999999999999</v>
      </c>
      <c r="O513">
        <f t="shared" si="62"/>
        <v>-0.37499999999997868</v>
      </c>
    </row>
    <row r="514" spans="1:15">
      <c r="A514" s="25">
        <v>46299.332638888889</v>
      </c>
      <c r="B514">
        <v>18.385000000000002</v>
      </c>
      <c r="C514">
        <v>53.765000000000001</v>
      </c>
      <c r="D514">
        <v>942.00800000000004</v>
      </c>
      <c r="E514">
        <v>2.9950000000000001</v>
      </c>
      <c r="F514">
        <v>1.9670000000000001</v>
      </c>
      <c r="G514" s="26">
        <f t="shared" ref="G514:G577" si="64">243.04*(LN(C514/100)+17.625*B514/(243.04+B514))/(17.625-LN(C514/100)-17.625*B514/(243.04+B514))</f>
        <v>8.8456521281885259</v>
      </c>
      <c r="H514" s="26">
        <f t="shared" si="63"/>
        <v>-0.20999999999999019</v>
      </c>
      <c r="I514" s="26">
        <f t="shared" ref="I514:I577" si="65">B514-E514</f>
        <v>15.39</v>
      </c>
      <c r="J514" t="str">
        <f t="shared" ref="J514:J577" si="66">IF(H514="","",IF(H514&gt;0.6,"Heating",IF(H514&lt;-0.2,"Cooling","Steady")))</f>
        <v>Cooling</v>
      </c>
      <c r="K514" s="26">
        <f t="shared" ref="K514:K577" si="67">IF(J514="Cooling",I514,"")</f>
        <v>15.39</v>
      </c>
      <c r="L514" s="26">
        <f t="shared" ref="L514:L577" si="68">IF(J514="Cooling",H514,"")</f>
        <v>-0.20999999999999019</v>
      </c>
      <c r="N514">
        <f t="shared" ref="N514:N577" si="69">IF(K514="",NA(),K514)</f>
        <v>15.39</v>
      </c>
      <c r="O514">
        <f t="shared" ref="O514:O577" si="70">IF(L514="",NA(),L514)</f>
        <v>-0.20999999999999019</v>
      </c>
    </row>
    <row r="515" spans="1:15">
      <c r="A515" s="25">
        <v>46299.333333333343</v>
      </c>
      <c r="B515">
        <v>18.387</v>
      </c>
      <c r="C515">
        <v>53.81</v>
      </c>
      <c r="D515">
        <v>942.02200000000005</v>
      </c>
      <c r="E515">
        <v>3</v>
      </c>
      <c r="F515">
        <v>2</v>
      </c>
      <c r="G515" s="26">
        <f t="shared" si="64"/>
        <v>8.8599013314216162</v>
      </c>
      <c r="H515" s="26">
        <f t="shared" si="63"/>
        <v>-0.14999999999997016</v>
      </c>
      <c r="I515" s="26">
        <f t="shared" si="65"/>
        <v>15.387</v>
      </c>
      <c r="J515" t="str">
        <f t="shared" si="66"/>
        <v>Steady</v>
      </c>
      <c r="K515" s="26" t="str">
        <f t="shared" si="67"/>
        <v/>
      </c>
      <c r="L515" s="26" t="str">
        <f t="shared" si="68"/>
        <v/>
      </c>
      <c r="N515" t="e">
        <f t="shared" si="69"/>
        <v>#N/A</v>
      </c>
      <c r="O515" t="e">
        <f t="shared" si="70"/>
        <v>#N/A</v>
      </c>
    </row>
    <row r="516" spans="1:15">
      <c r="A516" s="25">
        <v>46299.334027777782</v>
      </c>
      <c r="B516">
        <v>18.388000000000002</v>
      </c>
      <c r="C516">
        <v>53.79</v>
      </c>
      <c r="D516">
        <v>942.01700000000005</v>
      </c>
      <c r="E516">
        <v>3.028</v>
      </c>
      <c r="F516">
        <v>3.1669999999999998</v>
      </c>
      <c r="G516" s="26">
        <f t="shared" si="64"/>
        <v>8.8553230850735893</v>
      </c>
      <c r="H516" s="26">
        <f t="shared" ref="H516:H579" si="71">(B518-B514)/4*60</f>
        <v>-0.15000000000002345</v>
      </c>
      <c r="I516" s="26">
        <f t="shared" si="65"/>
        <v>15.360000000000001</v>
      </c>
      <c r="J516" t="str">
        <f t="shared" si="66"/>
        <v>Steady</v>
      </c>
      <c r="K516" s="26" t="str">
        <f t="shared" si="67"/>
        <v/>
      </c>
      <c r="L516" s="26" t="str">
        <f t="shared" si="68"/>
        <v/>
      </c>
      <c r="N516" t="e">
        <f t="shared" si="69"/>
        <v>#N/A</v>
      </c>
      <c r="O516" t="e">
        <f t="shared" si="70"/>
        <v>#N/A</v>
      </c>
    </row>
    <row r="517" spans="1:15">
      <c r="A517" s="25">
        <v>46299.334722222222</v>
      </c>
      <c r="B517">
        <v>18.388000000000002</v>
      </c>
      <c r="C517">
        <v>53.892000000000003</v>
      </c>
      <c r="D517">
        <v>941.99699999999996</v>
      </c>
      <c r="E517">
        <v>3.0569999999999999</v>
      </c>
      <c r="F517">
        <v>4.3330000000000002</v>
      </c>
      <c r="G517" s="26">
        <f t="shared" si="64"/>
        <v>8.8833883337610811</v>
      </c>
      <c r="H517" s="26">
        <f t="shared" si="71"/>
        <v>-0.28500000000002856</v>
      </c>
      <c r="I517" s="26">
        <f t="shared" si="65"/>
        <v>15.331000000000001</v>
      </c>
      <c r="J517" t="str">
        <f t="shared" si="66"/>
        <v>Cooling</v>
      </c>
      <c r="K517" s="26">
        <f t="shared" si="67"/>
        <v>15.331000000000001</v>
      </c>
      <c r="L517" s="26">
        <f t="shared" si="68"/>
        <v>-0.28500000000002856</v>
      </c>
      <c r="N517">
        <f t="shared" si="69"/>
        <v>15.331000000000001</v>
      </c>
      <c r="O517">
        <f t="shared" si="70"/>
        <v>-0.28500000000002856</v>
      </c>
    </row>
    <row r="518" spans="1:15">
      <c r="A518" s="25">
        <v>46299.335416666669</v>
      </c>
      <c r="B518">
        <v>18.375</v>
      </c>
      <c r="C518">
        <v>53.881999999999998</v>
      </c>
      <c r="D518">
        <v>942.02200000000005</v>
      </c>
      <c r="E518">
        <v>3.085</v>
      </c>
      <c r="F518">
        <v>5.5</v>
      </c>
      <c r="G518" s="26">
        <f t="shared" si="64"/>
        <v>8.8685672398643547</v>
      </c>
      <c r="H518" s="26">
        <f t="shared" si="71"/>
        <v>-0.27000000000001023</v>
      </c>
      <c r="I518" s="26">
        <f t="shared" si="65"/>
        <v>15.29</v>
      </c>
      <c r="J518" t="str">
        <f t="shared" si="66"/>
        <v>Cooling</v>
      </c>
      <c r="K518" s="26">
        <f t="shared" si="67"/>
        <v>15.29</v>
      </c>
      <c r="L518" s="26">
        <f t="shared" si="68"/>
        <v>-0.27000000000001023</v>
      </c>
      <c r="N518">
        <f t="shared" si="69"/>
        <v>15.29</v>
      </c>
      <c r="O518">
        <f t="shared" si="70"/>
        <v>-0.27000000000001023</v>
      </c>
    </row>
    <row r="519" spans="1:15">
      <c r="A519" s="25">
        <v>46299.336111111108</v>
      </c>
      <c r="B519">
        <v>18.367999999999999</v>
      </c>
      <c r="C519">
        <v>53.826999999999998</v>
      </c>
      <c r="D519">
        <v>941.99199999999996</v>
      </c>
      <c r="E519">
        <v>3.113</v>
      </c>
      <c r="F519">
        <v>6.6669999999999998</v>
      </c>
      <c r="G519" s="26">
        <f t="shared" si="64"/>
        <v>8.8469394489441697</v>
      </c>
      <c r="H519" s="26">
        <f t="shared" si="71"/>
        <v>-0.39000000000005031</v>
      </c>
      <c r="I519" s="26">
        <f t="shared" si="65"/>
        <v>15.254999999999999</v>
      </c>
      <c r="J519" t="str">
        <f t="shared" si="66"/>
        <v>Cooling</v>
      </c>
      <c r="K519" s="26">
        <f t="shared" si="67"/>
        <v>15.254999999999999</v>
      </c>
      <c r="L519" s="26">
        <f t="shared" si="68"/>
        <v>-0.39000000000005031</v>
      </c>
      <c r="N519">
        <f t="shared" si="69"/>
        <v>15.254999999999999</v>
      </c>
      <c r="O519">
        <f t="shared" si="70"/>
        <v>-0.39000000000005031</v>
      </c>
    </row>
    <row r="520" spans="1:15">
      <c r="A520" s="25">
        <v>46299.336805555547</v>
      </c>
      <c r="B520">
        <v>18.37</v>
      </c>
      <c r="C520">
        <v>53.884999999999998</v>
      </c>
      <c r="D520">
        <v>942.02</v>
      </c>
      <c r="E520">
        <v>3.1419999999999999</v>
      </c>
      <c r="F520">
        <v>7.8330000000000002</v>
      </c>
      <c r="G520" s="26">
        <f t="shared" si="64"/>
        <v>8.8647490416983796</v>
      </c>
      <c r="H520" s="26">
        <f t="shared" si="71"/>
        <v>-4.5000000000001705E-2</v>
      </c>
      <c r="I520" s="26">
        <f t="shared" si="65"/>
        <v>15.228000000000002</v>
      </c>
      <c r="J520" t="str">
        <f t="shared" si="66"/>
        <v>Steady</v>
      </c>
      <c r="K520" s="26" t="str">
        <f t="shared" si="67"/>
        <v/>
      </c>
      <c r="L520" s="26" t="str">
        <f t="shared" si="68"/>
        <v/>
      </c>
      <c r="N520" t="e">
        <f t="shared" si="69"/>
        <v>#N/A</v>
      </c>
      <c r="O520" t="e">
        <f t="shared" si="70"/>
        <v>#N/A</v>
      </c>
    </row>
    <row r="521" spans="1:15">
      <c r="A521" s="25">
        <v>46299.337500000001</v>
      </c>
      <c r="B521">
        <v>18.361999999999998</v>
      </c>
      <c r="C521">
        <v>54.188000000000002</v>
      </c>
      <c r="D521">
        <v>942.00800000000004</v>
      </c>
      <c r="E521">
        <v>3.17</v>
      </c>
      <c r="F521">
        <v>9</v>
      </c>
      <c r="G521" s="26">
        <f t="shared" si="64"/>
        <v>8.9404085630821815</v>
      </c>
      <c r="H521" s="26">
        <f t="shared" si="71"/>
        <v>6.0000000000020037E-2</v>
      </c>
      <c r="I521" s="26">
        <f t="shared" si="65"/>
        <v>15.191999999999998</v>
      </c>
      <c r="J521" t="str">
        <f t="shared" si="66"/>
        <v>Steady</v>
      </c>
      <c r="K521" s="26" t="str">
        <f t="shared" si="67"/>
        <v/>
      </c>
      <c r="L521" s="26" t="str">
        <f t="shared" si="68"/>
        <v/>
      </c>
      <c r="N521" t="e">
        <f t="shared" si="69"/>
        <v>#N/A</v>
      </c>
      <c r="O521" t="e">
        <f t="shared" si="70"/>
        <v>#N/A</v>
      </c>
    </row>
    <row r="522" spans="1:15">
      <c r="A522" s="25">
        <v>46299.338194444441</v>
      </c>
      <c r="B522">
        <v>18.372</v>
      </c>
      <c r="C522">
        <v>54.018000000000001</v>
      </c>
      <c r="D522">
        <v>942.01300000000003</v>
      </c>
      <c r="E522">
        <v>3.198</v>
      </c>
      <c r="F522">
        <v>10.167</v>
      </c>
      <c r="G522" s="26">
        <f t="shared" si="64"/>
        <v>8.9031306769068301</v>
      </c>
      <c r="H522" s="26">
        <f t="shared" si="71"/>
        <v>-0.12000000000004007</v>
      </c>
      <c r="I522" s="26">
        <f t="shared" si="65"/>
        <v>15.173999999999999</v>
      </c>
      <c r="J522" t="str">
        <f t="shared" si="66"/>
        <v>Steady</v>
      </c>
      <c r="K522" s="26" t="str">
        <f t="shared" si="67"/>
        <v/>
      </c>
      <c r="L522" s="26" t="str">
        <f t="shared" si="68"/>
        <v/>
      </c>
      <c r="N522" t="e">
        <f t="shared" si="69"/>
        <v>#N/A</v>
      </c>
      <c r="O522" t="e">
        <f t="shared" si="70"/>
        <v>#N/A</v>
      </c>
    </row>
    <row r="523" spans="1:15">
      <c r="A523" s="25">
        <v>46299.338888888888</v>
      </c>
      <c r="B523">
        <v>18.372</v>
      </c>
      <c r="C523">
        <v>54.012</v>
      </c>
      <c r="D523">
        <v>942.04499999999996</v>
      </c>
      <c r="E523">
        <v>3.2269999999999999</v>
      </c>
      <c r="F523">
        <v>11.333</v>
      </c>
      <c r="G523" s="26">
        <f t="shared" si="64"/>
        <v>8.9014846679498341</v>
      </c>
      <c r="H523" s="26">
        <f t="shared" si="71"/>
        <v>-0.20999999999999019</v>
      </c>
      <c r="I523" s="26">
        <f t="shared" si="65"/>
        <v>15.145</v>
      </c>
      <c r="J523" t="str">
        <f t="shared" si="66"/>
        <v>Cooling</v>
      </c>
      <c r="K523" s="26">
        <f t="shared" si="67"/>
        <v>15.145</v>
      </c>
      <c r="L523" s="26">
        <f t="shared" si="68"/>
        <v>-0.20999999999999019</v>
      </c>
      <c r="N523">
        <f t="shared" si="69"/>
        <v>15.145</v>
      </c>
      <c r="O523">
        <f t="shared" si="70"/>
        <v>-0.20999999999999019</v>
      </c>
    </row>
    <row r="524" spans="1:15">
      <c r="A524" s="25">
        <v>46299.339583333327</v>
      </c>
      <c r="B524">
        <v>18.361999999999998</v>
      </c>
      <c r="C524">
        <v>54.127000000000002</v>
      </c>
      <c r="D524">
        <v>942.04499999999996</v>
      </c>
      <c r="E524">
        <v>3.2549999999999999</v>
      </c>
      <c r="F524">
        <v>12.5</v>
      </c>
      <c r="G524" s="26">
        <f t="shared" si="64"/>
        <v>8.9237142264012217</v>
      </c>
      <c r="H524" s="26">
        <f t="shared" si="71"/>
        <v>-0.43499999999999872</v>
      </c>
      <c r="I524" s="26">
        <f t="shared" si="65"/>
        <v>15.106999999999999</v>
      </c>
      <c r="J524" t="str">
        <f t="shared" si="66"/>
        <v>Cooling</v>
      </c>
      <c r="K524" s="26">
        <f t="shared" si="67"/>
        <v>15.106999999999999</v>
      </c>
      <c r="L524" s="26">
        <f t="shared" si="68"/>
        <v>-0.43499999999999872</v>
      </c>
      <c r="N524">
        <f t="shared" si="69"/>
        <v>15.106999999999999</v>
      </c>
      <c r="O524">
        <f t="shared" si="70"/>
        <v>-0.43499999999999872</v>
      </c>
    </row>
    <row r="525" spans="1:15">
      <c r="A525" s="25">
        <v>46299.340277777781</v>
      </c>
      <c r="B525">
        <v>18.347999999999999</v>
      </c>
      <c r="C525">
        <v>54.037999999999997</v>
      </c>
      <c r="D525">
        <v>942.03</v>
      </c>
      <c r="E525">
        <v>3.2829999999999999</v>
      </c>
      <c r="F525">
        <v>13.667</v>
      </c>
      <c r="G525" s="26">
        <f t="shared" si="64"/>
        <v>8.886322331590172</v>
      </c>
      <c r="H525" s="26">
        <f t="shared" si="71"/>
        <v>-0.5549999999999855</v>
      </c>
      <c r="I525" s="26">
        <f t="shared" si="65"/>
        <v>15.065</v>
      </c>
      <c r="J525" t="str">
        <f t="shared" si="66"/>
        <v>Cooling</v>
      </c>
      <c r="K525" s="26">
        <f t="shared" si="67"/>
        <v>15.065</v>
      </c>
      <c r="L525" s="26">
        <f t="shared" si="68"/>
        <v>-0.5549999999999855</v>
      </c>
      <c r="N525">
        <f t="shared" si="69"/>
        <v>15.065</v>
      </c>
      <c r="O525">
        <f t="shared" si="70"/>
        <v>-0.5549999999999855</v>
      </c>
    </row>
    <row r="526" spans="1:15">
      <c r="A526" s="25">
        <v>46299.34097222222</v>
      </c>
      <c r="B526">
        <v>18.343</v>
      </c>
      <c r="C526">
        <v>54.35</v>
      </c>
      <c r="D526">
        <v>942.01499999999999</v>
      </c>
      <c r="E526">
        <v>3.3119999999999998</v>
      </c>
      <c r="F526">
        <v>14.833</v>
      </c>
      <c r="G526" s="26">
        <f t="shared" si="64"/>
        <v>8.9670026680665824</v>
      </c>
      <c r="H526" s="26">
        <f t="shared" si="71"/>
        <v>-0.48000000000000043</v>
      </c>
      <c r="I526" s="26">
        <f t="shared" si="65"/>
        <v>15.031000000000001</v>
      </c>
      <c r="J526" t="str">
        <f t="shared" si="66"/>
        <v>Cooling</v>
      </c>
      <c r="K526" s="26">
        <f t="shared" si="67"/>
        <v>15.031000000000001</v>
      </c>
      <c r="L526" s="26">
        <f t="shared" si="68"/>
        <v>-0.48000000000000043</v>
      </c>
      <c r="N526">
        <f t="shared" si="69"/>
        <v>15.031000000000001</v>
      </c>
      <c r="O526">
        <f t="shared" si="70"/>
        <v>-0.48000000000000043</v>
      </c>
    </row>
    <row r="527" spans="1:15">
      <c r="A527" s="25">
        <v>46299.341666666667</v>
      </c>
      <c r="B527">
        <v>18.335000000000001</v>
      </c>
      <c r="C527">
        <v>54.185000000000002</v>
      </c>
      <c r="D527">
        <v>941.99699999999996</v>
      </c>
      <c r="E527">
        <v>3.34</v>
      </c>
      <c r="F527">
        <v>16</v>
      </c>
      <c r="G527" s="26">
        <f t="shared" si="64"/>
        <v>8.9144992102290654</v>
      </c>
      <c r="H527" s="26">
        <f t="shared" si="71"/>
        <v>-0.38999999999999702</v>
      </c>
      <c r="I527" s="26">
        <f t="shared" si="65"/>
        <v>14.995000000000001</v>
      </c>
      <c r="J527" t="str">
        <f t="shared" si="66"/>
        <v>Cooling</v>
      </c>
      <c r="K527" s="26">
        <f t="shared" si="67"/>
        <v>14.995000000000001</v>
      </c>
      <c r="L527" s="26">
        <f t="shared" si="68"/>
        <v>-0.38999999999999702</v>
      </c>
      <c r="N527">
        <f t="shared" si="69"/>
        <v>14.995000000000001</v>
      </c>
      <c r="O527">
        <f t="shared" si="70"/>
        <v>-0.38999999999999702</v>
      </c>
    </row>
    <row r="528" spans="1:15">
      <c r="A528" s="25">
        <v>46299.342361111107</v>
      </c>
      <c r="B528">
        <v>18.329999999999998</v>
      </c>
      <c r="C528">
        <v>54.277000000000001</v>
      </c>
      <c r="D528">
        <v>941.99</v>
      </c>
      <c r="E528">
        <v>3.3679999999999999</v>
      </c>
      <c r="F528">
        <v>17.167000000000002</v>
      </c>
      <c r="G528" s="26">
        <f t="shared" si="64"/>
        <v>8.9349954320511937</v>
      </c>
      <c r="H528" s="26">
        <f t="shared" si="71"/>
        <v>-0.45000000000001705</v>
      </c>
      <c r="I528" s="26">
        <f t="shared" si="65"/>
        <v>14.961999999999998</v>
      </c>
      <c r="J528" t="str">
        <f t="shared" si="66"/>
        <v>Cooling</v>
      </c>
      <c r="K528" s="26">
        <f t="shared" si="67"/>
        <v>14.961999999999998</v>
      </c>
      <c r="L528" s="26">
        <f t="shared" si="68"/>
        <v>-0.45000000000001705</v>
      </c>
      <c r="N528">
        <f t="shared" si="69"/>
        <v>14.961999999999998</v>
      </c>
      <c r="O528">
        <f t="shared" si="70"/>
        <v>-0.45000000000001705</v>
      </c>
    </row>
    <row r="529" spans="1:15">
      <c r="A529" s="25">
        <v>46299.343055555553</v>
      </c>
      <c r="B529">
        <v>18.321999999999999</v>
      </c>
      <c r="C529">
        <v>54.33</v>
      </c>
      <c r="D529">
        <v>941.96500000000003</v>
      </c>
      <c r="E529">
        <v>3.3969999999999998</v>
      </c>
      <c r="F529">
        <v>18.332999999999998</v>
      </c>
      <c r="G529" s="26">
        <f t="shared" si="64"/>
        <v>8.9420264420375251</v>
      </c>
      <c r="H529" s="26">
        <f t="shared" si="71"/>
        <v>-0.37500000000003197</v>
      </c>
      <c r="I529" s="26">
        <f t="shared" si="65"/>
        <v>14.924999999999999</v>
      </c>
      <c r="J529" t="str">
        <f t="shared" si="66"/>
        <v>Cooling</v>
      </c>
      <c r="K529" s="26">
        <f t="shared" si="67"/>
        <v>14.924999999999999</v>
      </c>
      <c r="L529" s="26">
        <f t="shared" si="68"/>
        <v>-0.37500000000003197</v>
      </c>
      <c r="N529">
        <f t="shared" si="69"/>
        <v>14.924999999999999</v>
      </c>
      <c r="O529">
        <f t="shared" si="70"/>
        <v>-0.37500000000003197</v>
      </c>
    </row>
    <row r="530" spans="1:15">
      <c r="A530" s="25">
        <v>46299.34375</v>
      </c>
      <c r="B530">
        <v>18.312999999999999</v>
      </c>
      <c r="C530">
        <v>54.46</v>
      </c>
      <c r="D530">
        <v>941.947</v>
      </c>
      <c r="E530">
        <v>3.4249999999999998</v>
      </c>
      <c r="F530">
        <v>19.5</v>
      </c>
      <c r="G530" s="26">
        <f t="shared" si="64"/>
        <v>8.969089034972038</v>
      </c>
      <c r="H530" s="26">
        <f t="shared" si="71"/>
        <v>-0.14999999999997016</v>
      </c>
      <c r="I530" s="26">
        <f t="shared" si="65"/>
        <v>14.887999999999998</v>
      </c>
      <c r="J530" t="str">
        <f t="shared" si="66"/>
        <v>Steady</v>
      </c>
      <c r="K530" s="26" t="str">
        <f t="shared" si="67"/>
        <v/>
      </c>
      <c r="L530" s="26" t="str">
        <f t="shared" si="68"/>
        <v/>
      </c>
      <c r="N530" t="e">
        <f t="shared" si="69"/>
        <v>#N/A</v>
      </c>
      <c r="O530" t="e">
        <f t="shared" si="70"/>
        <v>#N/A</v>
      </c>
    </row>
    <row r="531" spans="1:15">
      <c r="A531" s="25">
        <v>46299.344444444447</v>
      </c>
      <c r="B531">
        <v>18.309999999999999</v>
      </c>
      <c r="C531">
        <v>54.37</v>
      </c>
      <c r="D531">
        <v>941.94799999999998</v>
      </c>
      <c r="E531">
        <v>3.4529999999999998</v>
      </c>
      <c r="F531">
        <v>20.667000000000002</v>
      </c>
      <c r="G531" s="26">
        <f t="shared" si="64"/>
        <v>8.9417810008024272</v>
      </c>
      <c r="H531" s="26">
        <f t="shared" si="71"/>
        <v>-0.32999999999997698</v>
      </c>
      <c r="I531" s="26">
        <f t="shared" si="65"/>
        <v>14.856999999999999</v>
      </c>
      <c r="J531" t="str">
        <f t="shared" si="66"/>
        <v>Cooling</v>
      </c>
      <c r="K531" s="26">
        <f t="shared" si="67"/>
        <v>14.856999999999999</v>
      </c>
      <c r="L531" s="26">
        <f t="shared" si="68"/>
        <v>-0.32999999999997698</v>
      </c>
      <c r="N531">
        <f t="shared" si="69"/>
        <v>14.856999999999999</v>
      </c>
      <c r="O531">
        <f t="shared" si="70"/>
        <v>-0.32999999999997698</v>
      </c>
    </row>
    <row r="532" spans="1:15">
      <c r="A532" s="25">
        <v>46299.345138888893</v>
      </c>
      <c r="B532">
        <v>18.32</v>
      </c>
      <c r="C532">
        <v>54.557000000000002</v>
      </c>
      <c r="D532">
        <v>941.96199999999999</v>
      </c>
      <c r="E532">
        <v>3.4820000000000002</v>
      </c>
      <c r="F532">
        <v>21.832999999999998</v>
      </c>
      <c r="G532" s="26">
        <f t="shared" si="64"/>
        <v>9.0019851174311363</v>
      </c>
      <c r="H532" s="26">
        <f t="shared" si="71"/>
        <v>-0.14999999999997016</v>
      </c>
      <c r="I532" s="26">
        <f t="shared" si="65"/>
        <v>14.838000000000001</v>
      </c>
      <c r="J532" t="str">
        <f t="shared" si="66"/>
        <v>Steady</v>
      </c>
      <c r="K532" s="26" t="str">
        <f t="shared" si="67"/>
        <v/>
      </c>
      <c r="L532" s="26" t="str">
        <f t="shared" si="68"/>
        <v/>
      </c>
      <c r="N532" t="e">
        <f t="shared" si="69"/>
        <v>#N/A</v>
      </c>
      <c r="O532" t="e">
        <f t="shared" si="70"/>
        <v>#N/A</v>
      </c>
    </row>
    <row r="533" spans="1:15">
      <c r="A533" s="25">
        <v>46299.345833333333</v>
      </c>
      <c r="B533">
        <v>18.3</v>
      </c>
      <c r="C533">
        <v>54.524999999999999</v>
      </c>
      <c r="D533">
        <v>941.91700000000003</v>
      </c>
      <c r="E533">
        <v>3.51</v>
      </c>
      <c r="F533">
        <v>23</v>
      </c>
      <c r="G533" s="26">
        <f t="shared" si="64"/>
        <v>8.9746863785910183</v>
      </c>
      <c r="H533" s="26">
        <f t="shared" si="71"/>
        <v>0.64500000000004221</v>
      </c>
      <c r="I533" s="26">
        <f t="shared" si="65"/>
        <v>14.790000000000001</v>
      </c>
      <c r="J533" t="str">
        <f t="shared" si="66"/>
        <v>Heating</v>
      </c>
      <c r="K533" s="26" t="str">
        <f t="shared" si="67"/>
        <v/>
      </c>
      <c r="L533" s="26" t="str">
        <f t="shared" si="68"/>
        <v/>
      </c>
      <c r="N533" t="e">
        <f t="shared" si="69"/>
        <v>#N/A</v>
      </c>
      <c r="O533" t="e">
        <f t="shared" si="70"/>
        <v>#N/A</v>
      </c>
    </row>
    <row r="534" spans="1:15">
      <c r="A534" s="25">
        <v>46299.34652777778</v>
      </c>
      <c r="B534">
        <v>18.303000000000001</v>
      </c>
      <c r="C534">
        <v>54.567</v>
      </c>
      <c r="D534">
        <v>941.98199999999997</v>
      </c>
      <c r="E534">
        <v>3.5379999999999998</v>
      </c>
      <c r="F534">
        <v>24.167000000000002</v>
      </c>
      <c r="G534" s="26">
        <f t="shared" si="64"/>
        <v>8.9888933248230263</v>
      </c>
      <c r="H534" s="26">
        <f t="shared" si="71"/>
        <v>1.3949999999999996</v>
      </c>
      <c r="I534" s="26">
        <f t="shared" si="65"/>
        <v>14.765000000000001</v>
      </c>
      <c r="J534" t="str">
        <f t="shared" si="66"/>
        <v>Heating</v>
      </c>
      <c r="K534" s="26" t="str">
        <f t="shared" si="67"/>
        <v/>
      </c>
      <c r="L534" s="26" t="str">
        <f t="shared" si="68"/>
        <v/>
      </c>
      <c r="N534" t="e">
        <f t="shared" si="69"/>
        <v>#N/A</v>
      </c>
      <c r="O534" t="e">
        <f t="shared" si="70"/>
        <v>#N/A</v>
      </c>
    </row>
    <row r="535" spans="1:15">
      <c r="A535" s="25">
        <v>46299.347222222219</v>
      </c>
      <c r="B535">
        <v>18.353000000000002</v>
      </c>
      <c r="C535">
        <v>54.023000000000003</v>
      </c>
      <c r="D535">
        <v>941.98699999999997</v>
      </c>
      <c r="E535">
        <v>3.5670000000000002</v>
      </c>
      <c r="F535">
        <v>25.332999999999998</v>
      </c>
      <c r="G535" s="26">
        <f t="shared" si="64"/>
        <v>8.886853497107678</v>
      </c>
      <c r="H535" s="26">
        <f t="shared" si="71"/>
        <v>3.6750000000000149</v>
      </c>
      <c r="I535" s="26">
        <f t="shared" si="65"/>
        <v>14.786000000000001</v>
      </c>
      <c r="J535" t="str">
        <f t="shared" si="66"/>
        <v>Heating</v>
      </c>
      <c r="K535" s="26" t="str">
        <f t="shared" si="67"/>
        <v/>
      </c>
      <c r="L535" s="26" t="str">
        <f t="shared" si="68"/>
        <v/>
      </c>
      <c r="N535" t="e">
        <f t="shared" si="69"/>
        <v>#N/A</v>
      </c>
      <c r="O535" t="e">
        <f t="shared" si="70"/>
        <v>#N/A</v>
      </c>
    </row>
    <row r="536" spans="1:15">
      <c r="A536" s="25">
        <v>46299.347916666673</v>
      </c>
      <c r="B536">
        <v>18.413</v>
      </c>
      <c r="C536">
        <v>53.32</v>
      </c>
      <c r="D536">
        <v>941.98500000000001</v>
      </c>
      <c r="E536">
        <v>3.5950000000000002</v>
      </c>
      <c r="F536">
        <v>26.5</v>
      </c>
      <c r="G536" s="26">
        <f t="shared" si="64"/>
        <v>8.7485789811035968</v>
      </c>
      <c r="H536" s="26">
        <f t="shared" si="71"/>
        <v>5.9850000000000136</v>
      </c>
      <c r="I536" s="26">
        <f t="shared" si="65"/>
        <v>14.818</v>
      </c>
      <c r="J536" t="str">
        <f t="shared" si="66"/>
        <v>Heating</v>
      </c>
      <c r="K536" s="26" t="str">
        <f t="shared" si="67"/>
        <v/>
      </c>
      <c r="L536" s="26" t="str">
        <f t="shared" si="68"/>
        <v/>
      </c>
      <c r="N536" t="e">
        <f t="shared" si="69"/>
        <v>#N/A</v>
      </c>
      <c r="O536" t="e">
        <f t="shared" si="70"/>
        <v>#N/A</v>
      </c>
    </row>
    <row r="537" spans="1:15">
      <c r="A537" s="25">
        <v>46299.348611111112</v>
      </c>
      <c r="B537">
        <v>18.545000000000002</v>
      </c>
      <c r="C537">
        <v>52.883000000000003</v>
      </c>
      <c r="D537">
        <v>941.98</v>
      </c>
      <c r="E537">
        <v>3.6230000000000002</v>
      </c>
      <c r="F537">
        <v>27.667000000000002</v>
      </c>
      <c r="G537" s="26">
        <f t="shared" si="64"/>
        <v>8.7491404038357459</v>
      </c>
      <c r="H537" s="26">
        <f t="shared" si="71"/>
        <v>7.2749999999999915</v>
      </c>
      <c r="I537" s="26">
        <f t="shared" si="65"/>
        <v>14.922000000000001</v>
      </c>
      <c r="J537" t="str">
        <f t="shared" si="66"/>
        <v>Heating</v>
      </c>
      <c r="K537" s="26" t="str">
        <f t="shared" si="67"/>
        <v/>
      </c>
      <c r="L537" s="26" t="str">
        <f t="shared" si="68"/>
        <v/>
      </c>
      <c r="N537" t="e">
        <f t="shared" si="69"/>
        <v>#N/A</v>
      </c>
      <c r="O537" t="e">
        <f t="shared" si="70"/>
        <v>#N/A</v>
      </c>
    </row>
    <row r="538" spans="1:15">
      <c r="A538" s="25">
        <v>46299.349305555559</v>
      </c>
      <c r="B538">
        <v>18.702000000000002</v>
      </c>
      <c r="C538">
        <v>52.384999999999998</v>
      </c>
      <c r="D538">
        <v>941.93499999999995</v>
      </c>
      <c r="E538">
        <v>3.6520000000000001</v>
      </c>
      <c r="F538">
        <v>28.832999999999998</v>
      </c>
      <c r="G538" s="26">
        <f t="shared" si="64"/>
        <v>8.7544807923256478</v>
      </c>
      <c r="H538" s="26">
        <f t="shared" si="71"/>
        <v>7.6350000000000051</v>
      </c>
      <c r="I538" s="26">
        <f t="shared" si="65"/>
        <v>15.05</v>
      </c>
      <c r="J538" t="str">
        <f t="shared" si="66"/>
        <v>Heating</v>
      </c>
      <c r="K538" s="26" t="str">
        <f t="shared" si="67"/>
        <v/>
      </c>
      <c r="L538" s="26" t="str">
        <f t="shared" si="68"/>
        <v/>
      </c>
      <c r="N538" t="e">
        <f t="shared" si="69"/>
        <v>#N/A</v>
      </c>
      <c r="O538" t="e">
        <f t="shared" si="70"/>
        <v>#N/A</v>
      </c>
    </row>
    <row r="539" spans="1:15">
      <c r="A539" s="25">
        <v>46299.35</v>
      </c>
      <c r="B539">
        <v>18.838000000000001</v>
      </c>
      <c r="C539">
        <v>51.921999999999997</v>
      </c>
      <c r="D539">
        <v>941.95799999999997</v>
      </c>
      <c r="E539">
        <v>3.68</v>
      </c>
      <c r="F539">
        <v>30</v>
      </c>
      <c r="G539" s="26">
        <f t="shared" si="64"/>
        <v>8.7488774756306587</v>
      </c>
      <c r="H539" s="26">
        <f t="shared" si="71"/>
        <v>6.404999999999994</v>
      </c>
      <c r="I539" s="26">
        <f t="shared" si="65"/>
        <v>15.158000000000001</v>
      </c>
      <c r="J539" t="str">
        <f t="shared" si="66"/>
        <v>Heating</v>
      </c>
      <c r="K539" s="26" t="str">
        <f t="shared" si="67"/>
        <v/>
      </c>
      <c r="L539" s="26" t="str">
        <f t="shared" si="68"/>
        <v/>
      </c>
      <c r="N539" t="e">
        <f t="shared" si="69"/>
        <v>#N/A</v>
      </c>
      <c r="O539" t="e">
        <f t="shared" si="70"/>
        <v>#N/A</v>
      </c>
    </row>
    <row r="540" spans="1:15">
      <c r="A540" s="25">
        <v>46299.350694444453</v>
      </c>
      <c r="B540">
        <v>18.922000000000001</v>
      </c>
      <c r="C540">
        <v>51.756999999999998</v>
      </c>
      <c r="D540">
        <v>941.89</v>
      </c>
      <c r="E540">
        <v>3.7080000000000002</v>
      </c>
      <c r="F540">
        <v>31.167000000000002</v>
      </c>
      <c r="G540" s="26">
        <f t="shared" si="64"/>
        <v>8.779401116169808</v>
      </c>
      <c r="H540" s="26">
        <f t="shared" si="71"/>
        <v>3.7199999999999633</v>
      </c>
      <c r="I540" s="26">
        <f t="shared" si="65"/>
        <v>15.214</v>
      </c>
      <c r="J540" t="str">
        <f t="shared" si="66"/>
        <v>Heating</v>
      </c>
      <c r="K540" s="26" t="str">
        <f t="shared" si="67"/>
        <v/>
      </c>
      <c r="L540" s="26" t="str">
        <f t="shared" si="68"/>
        <v/>
      </c>
      <c r="N540" t="e">
        <f t="shared" si="69"/>
        <v>#N/A</v>
      </c>
      <c r="O540" t="e">
        <f t="shared" si="70"/>
        <v>#N/A</v>
      </c>
    </row>
    <row r="541" spans="1:15">
      <c r="A541" s="25">
        <v>46299.351388888892</v>
      </c>
      <c r="B541">
        <v>18.972000000000001</v>
      </c>
      <c r="C541">
        <v>51.954999999999998</v>
      </c>
      <c r="D541">
        <v>941.86800000000005</v>
      </c>
      <c r="E541">
        <v>3.7370000000000001</v>
      </c>
      <c r="F541">
        <v>32.332999999999998</v>
      </c>
      <c r="G541" s="26">
        <f t="shared" si="64"/>
        <v>8.8821620779665533</v>
      </c>
      <c r="H541" s="26">
        <f t="shared" si="71"/>
        <v>1.5599999999999881</v>
      </c>
      <c r="I541" s="26">
        <f t="shared" si="65"/>
        <v>15.235000000000001</v>
      </c>
      <c r="J541" t="str">
        <f t="shared" si="66"/>
        <v>Heating</v>
      </c>
      <c r="K541" s="26" t="str">
        <f t="shared" si="67"/>
        <v/>
      </c>
      <c r="L541" s="26" t="str">
        <f t="shared" si="68"/>
        <v/>
      </c>
      <c r="N541" t="e">
        <f t="shared" si="69"/>
        <v>#N/A</v>
      </c>
      <c r="O541" t="e">
        <f t="shared" si="70"/>
        <v>#N/A</v>
      </c>
    </row>
    <row r="542" spans="1:15">
      <c r="A542" s="25">
        <v>46299.352083333331</v>
      </c>
      <c r="B542">
        <v>18.95</v>
      </c>
      <c r="C542">
        <v>52.381999999999998</v>
      </c>
      <c r="D542">
        <v>941.88699999999994</v>
      </c>
      <c r="E542">
        <v>3.7650000000000001</v>
      </c>
      <c r="F542">
        <v>33.5</v>
      </c>
      <c r="G542" s="26">
        <f t="shared" si="64"/>
        <v>8.9831310432964333</v>
      </c>
      <c r="H542" s="26">
        <f t="shared" si="71"/>
        <v>-0.37500000000003197</v>
      </c>
      <c r="I542" s="26">
        <f t="shared" si="65"/>
        <v>15.184999999999999</v>
      </c>
      <c r="J542" t="str">
        <f t="shared" si="66"/>
        <v>Cooling</v>
      </c>
      <c r="K542" s="26">
        <f t="shared" si="67"/>
        <v>15.184999999999999</v>
      </c>
      <c r="L542" s="26">
        <f t="shared" si="68"/>
        <v>-0.37500000000003197</v>
      </c>
      <c r="N542">
        <f t="shared" si="69"/>
        <v>15.184999999999999</v>
      </c>
      <c r="O542">
        <f t="shared" si="70"/>
        <v>-0.37500000000003197</v>
      </c>
    </row>
    <row r="543" spans="1:15">
      <c r="A543" s="25">
        <v>46299.352777777778</v>
      </c>
      <c r="B543">
        <v>18.942</v>
      </c>
      <c r="C543">
        <v>52.572000000000003</v>
      </c>
      <c r="D543">
        <v>941.88199999999995</v>
      </c>
      <c r="E543">
        <v>3.7930000000000001</v>
      </c>
      <c r="F543">
        <v>34.667000000000002</v>
      </c>
      <c r="G543" s="26">
        <f t="shared" si="64"/>
        <v>9.0294221740847735</v>
      </c>
      <c r="H543" s="26">
        <f t="shared" si="71"/>
        <v>-2.3550000000000004</v>
      </c>
      <c r="I543" s="26">
        <f t="shared" si="65"/>
        <v>15.149000000000001</v>
      </c>
      <c r="J543" t="str">
        <f t="shared" si="66"/>
        <v>Cooling</v>
      </c>
      <c r="K543" s="26">
        <f t="shared" si="67"/>
        <v>15.149000000000001</v>
      </c>
      <c r="L543" s="26">
        <f t="shared" si="68"/>
        <v>-2.3550000000000004</v>
      </c>
      <c r="N543">
        <f t="shared" si="69"/>
        <v>15.149000000000001</v>
      </c>
      <c r="O543">
        <f t="shared" si="70"/>
        <v>-2.3550000000000004</v>
      </c>
    </row>
    <row r="544" spans="1:15">
      <c r="A544" s="25">
        <v>46299.353472222218</v>
      </c>
      <c r="B544">
        <v>18.896999999999998</v>
      </c>
      <c r="C544">
        <v>52.685000000000002</v>
      </c>
      <c r="D544">
        <v>941.84299999999996</v>
      </c>
      <c r="E544">
        <v>3.8220000000000001</v>
      </c>
      <c r="F544">
        <v>35.832999999999998</v>
      </c>
      <c r="G544" s="26">
        <f t="shared" si="64"/>
        <v>9.0196049470965924</v>
      </c>
      <c r="H544" s="26">
        <f t="shared" si="71"/>
        <v>-2.6700000000000124</v>
      </c>
      <c r="I544" s="26">
        <f t="shared" si="65"/>
        <v>15.074999999999999</v>
      </c>
      <c r="J544" t="str">
        <f t="shared" si="66"/>
        <v>Cooling</v>
      </c>
      <c r="K544" s="26">
        <f t="shared" si="67"/>
        <v>15.074999999999999</v>
      </c>
      <c r="L544" s="26">
        <f t="shared" si="68"/>
        <v>-2.6700000000000124</v>
      </c>
      <c r="N544">
        <f t="shared" si="69"/>
        <v>15.074999999999999</v>
      </c>
      <c r="O544">
        <f t="shared" si="70"/>
        <v>-2.6700000000000124</v>
      </c>
    </row>
    <row r="545" spans="1:15">
      <c r="A545" s="25">
        <v>46299.354166666657</v>
      </c>
      <c r="B545">
        <v>18.815000000000001</v>
      </c>
      <c r="C545">
        <v>52.965000000000003</v>
      </c>
      <c r="D545">
        <v>941.87</v>
      </c>
      <c r="E545">
        <v>3.85</v>
      </c>
      <c r="F545">
        <v>37</v>
      </c>
      <c r="G545" s="26">
        <f t="shared" si="64"/>
        <v>9.0222663671393644</v>
      </c>
      <c r="H545" s="26">
        <f t="shared" si="71"/>
        <v>-3.2099999999999795</v>
      </c>
      <c r="I545" s="26">
        <f t="shared" si="65"/>
        <v>14.965000000000002</v>
      </c>
      <c r="J545" t="str">
        <f t="shared" si="66"/>
        <v>Cooling</v>
      </c>
      <c r="K545" s="26">
        <f t="shared" si="67"/>
        <v>14.965000000000002</v>
      </c>
      <c r="L545" s="26">
        <f t="shared" si="68"/>
        <v>-3.2099999999999795</v>
      </c>
      <c r="N545">
        <f t="shared" si="69"/>
        <v>14.965000000000002</v>
      </c>
      <c r="O545">
        <f t="shared" si="70"/>
        <v>-3.2099999999999795</v>
      </c>
    </row>
    <row r="546" spans="1:15">
      <c r="A546" s="25">
        <v>46299.354861111111</v>
      </c>
      <c r="B546">
        <v>18.771999999999998</v>
      </c>
      <c r="C546">
        <v>53.091999999999999</v>
      </c>
      <c r="D546">
        <v>941.86800000000005</v>
      </c>
      <c r="E546">
        <v>3.8780000000000001</v>
      </c>
      <c r="F546">
        <v>38.167000000000002</v>
      </c>
      <c r="G546" s="26">
        <f t="shared" si="64"/>
        <v>9.0179384355048882</v>
      </c>
      <c r="H546" s="26">
        <f t="shared" si="71"/>
        <v>-3.5999999999999766</v>
      </c>
      <c r="I546" s="26">
        <f t="shared" si="65"/>
        <v>14.893999999999998</v>
      </c>
      <c r="J546" t="str">
        <f t="shared" si="66"/>
        <v>Cooling</v>
      </c>
      <c r="K546" s="26">
        <f t="shared" si="67"/>
        <v>14.893999999999998</v>
      </c>
      <c r="L546" s="26">
        <f t="shared" si="68"/>
        <v>-3.5999999999999766</v>
      </c>
      <c r="N546">
        <f t="shared" si="69"/>
        <v>14.893999999999998</v>
      </c>
      <c r="O546">
        <f t="shared" si="70"/>
        <v>-3.5999999999999766</v>
      </c>
    </row>
    <row r="547" spans="1:15">
      <c r="A547" s="25">
        <v>46299.355555555558</v>
      </c>
      <c r="B547">
        <v>18.728000000000002</v>
      </c>
      <c r="C547">
        <v>53.317</v>
      </c>
      <c r="D547">
        <v>941.86199999999997</v>
      </c>
      <c r="E547">
        <v>3.907</v>
      </c>
      <c r="F547">
        <v>39.332999999999998</v>
      </c>
      <c r="G547" s="26">
        <f t="shared" si="64"/>
        <v>9.0398742106735455</v>
      </c>
      <c r="H547" s="26">
        <f t="shared" si="71"/>
        <v>-2.5950000000000273</v>
      </c>
      <c r="I547" s="26">
        <f t="shared" si="65"/>
        <v>14.821000000000002</v>
      </c>
      <c r="J547" t="str">
        <f t="shared" si="66"/>
        <v>Cooling</v>
      </c>
      <c r="K547" s="26">
        <f t="shared" si="67"/>
        <v>14.821000000000002</v>
      </c>
      <c r="L547" s="26">
        <f t="shared" si="68"/>
        <v>-2.5950000000000273</v>
      </c>
      <c r="N547">
        <f t="shared" si="69"/>
        <v>14.821000000000002</v>
      </c>
      <c r="O547">
        <f t="shared" si="70"/>
        <v>-2.5950000000000273</v>
      </c>
    </row>
    <row r="548" spans="1:15">
      <c r="A548" s="25">
        <v>46299.356249999997</v>
      </c>
      <c r="B548">
        <v>18.657</v>
      </c>
      <c r="C548">
        <v>53.578000000000003</v>
      </c>
      <c r="D548">
        <v>941.827</v>
      </c>
      <c r="E548">
        <v>3.9350000000000001</v>
      </c>
      <c r="F548">
        <v>40.5</v>
      </c>
      <c r="G548" s="26">
        <f t="shared" si="64"/>
        <v>9.0464555693716946</v>
      </c>
      <c r="H548" s="26">
        <f t="shared" si="71"/>
        <v>-2.204999999999977</v>
      </c>
      <c r="I548" s="26">
        <f t="shared" si="65"/>
        <v>14.722</v>
      </c>
      <c r="J548" t="str">
        <f t="shared" si="66"/>
        <v>Cooling</v>
      </c>
      <c r="K548" s="26">
        <f t="shared" si="67"/>
        <v>14.722</v>
      </c>
      <c r="L548" s="26">
        <f t="shared" si="68"/>
        <v>-2.204999999999977</v>
      </c>
      <c r="N548">
        <f t="shared" si="69"/>
        <v>14.722</v>
      </c>
      <c r="O548">
        <f t="shared" si="70"/>
        <v>-2.204999999999977</v>
      </c>
    </row>
    <row r="549" spans="1:15">
      <c r="A549" s="25">
        <v>46299.356944444437</v>
      </c>
      <c r="B549">
        <v>18.641999999999999</v>
      </c>
      <c r="C549">
        <v>53.57</v>
      </c>
      <c r="D549">
        <v>941.83</v>
      </c>
      <c r="E549">
        <v>3.9630000000000001</v>
      </c>
      <c r="F549">
        <v>41.667000000000002</v>
      </c>
      <c r="G549" s="26">
        <f t="shared" si="64"/>
        <v>9.0303220154952495</v>
      </c>
      <c r="H549" s="26">
        <f t="shared" si="71"/>
        <v>-2.1900000000000119</v>
      </c>
      <c r="I549" s="26">
        <f t="shared" si="65"/>
        <v>14.678999999999998</v>
      </c>
      <c r="J549" t="str">
        <f t="shared" si="66"/>
        <v>Cooling</v>
      </c>
      <c r="K549" s="26">
        <f t="shared" si="67"/>
        <v>14.678999999999998</v>
      </c>
      <c r="L549" s="26">
        <f t="shared" si="68"/>
        <v>-2.1900000000000119</v>
      </c>
      <c r="N549">
        <f t="shared" si="69"/>
        <v>14.678999999999998</v>
      </c>
      <c r="O549">
        <f t="shared" si="70"/>
        <v>-2.1900000000000119</v>
      </c>
    </row>
    <row r="550" spans="1:15">
      <c r="A550" s="25">
        <v>46299.357638888891</v>
      </c>
      <c r="B550">
        <v>18.625</v>
      </c>
      <c r="C550">
        <v>53.463000000000001</v>
      </c>
      <c r="D550">
        <v>941.82500000000005</v>
      </c>
      <c r="E550">
        <v>3.992</v>
      </c>
      <c r="F550">
        <v>42.832999999999998</v>
      </c>
      <c r="G550" s="26">
        <f t="shared" si="64"/>
        <v>8.9848976963533129</v>
      </c>
      <c r="H550" s="26">
        <f t="shared" si="71"/>
        <v>-1.5750000000000064</v>
      </c>
      <c r="I550" s="26">
        <f t="shared" si="65"/>
        <v>14.632999999999999</v>
      </c>
      <c r="J550" t="str">
        <f t="shared" si="66"/>
        <v>Cooling</v>
      </c>
      <c r="K550" s="26">
        <f t="shared" si="67"/>
        <v>14.632999999999999</v>
      </c>
      <c r="L550" s="26">
        <f t="shared" si="68"/>
        <v>-1.5750000000000064</v>
      </c>
      <c r="N550">
        <f t="shared" si="69"/>
        <v>14.632999999999999</v>
      </c>
      <c r="O550">
        <f t="shared" si="70"/>
        <v>-1.5750000000000064</v>
      </c>
    </row>
    <row r="551" spans="1:15">
      <c r="A551" s="25">
        <v>46299.35833333333</v>
      </c>
      <c r="B551">
        <v>18.582000000000001</v>
      </c>
      <c r="C551">
        <v>53.64</v>
      </c>
      <c r="D551">
        <v>941.822</v>
      </c>
      <c r="E551">
        <v>4.0199999999999996</v>
      </c>
      <c r="F551">
        <v>44</v>
      </c>
      <c r="G551" s="26">
        <f t="shared" si="64"/>
        <v>8.9940111645784828</v>
      </c>
      <c r="H551" s="26">
        <f t="shared" si="71"/>
        <v>-1.4100000000000179</v>
      </c>
      <c r="I551" s="26">
        <f t="shared" si="65"/>
        <v>14.562000000000001</v>
      </c>
      <c r="J551" t="str">
        <f t="shared" si="66"/>
        <v>Cooling</v>
      </c>
      <c r="K551" s="26">
        <f t="shared" si="67"/>
        <v>14.562000000000001</v>
      </c>
      <c r="L551" s="26">
        <f t="shared" si="68"/>
        <v>-1.4100000000000179</v>
      </c>
      <c r="N551">
        <f t="shared" si="69"/>
        <v>14.562000000000001</v>
      </c>
      <c r="O551">
        <f t="shared" si="70"/>
        <v>-1.4100000000000179</v>
      </c>
    </row>
    <row r="552" spans="1:15">
      <c r="A552" s="25">
        <v>46299.359027777777</v>
      </c>
      <c r="B552">
        <v>18.552</v>
      </c>
      <c r="C552">
        <v>53.825000000000003</v>
      </c>
      <c r="D552">
        <v>941.81500000000005</v>
      </c>
      <c r="E552">
        <v>4.048</v>
      </c>
      <c r="F552">
        <v>45.167000000000002</v>
      </c>
      <c r="G552" s="26">
        <f t="shared" si="64"/>
        <v>9.0172246816662192</v>
      </c>
      <c r="H552" s="26">
        <f t="shared" si="71"/>
        <v>-1.5000000000000213</v>
      </c>
      <c r="I552" s="26">
        <f t="shared" si="65"/>
        <v>14.504</v>
      </c>
      <c r="J552" t="str">
        <f t="shared" si="66"/>
        <v>Cooling</v>
      </c>
      <c r="K552" s="26">
        <f t="shared" si="67"/>
        <v>14.504</v>
      </c>
      <c r="L552" s="26">
        <f t="shared" si="68"/>
        <v>-1.5000000000000213</v>
      </c>
      <c r="N552">
        <f t="shared" si="69"/>
        <v>14.504</v>
      </c>
      <c r="O552">
        <f t="shared" si="70"/>
        <v>-1.5000000000000213</v>
      </c>
    </row>
    <row r="553" spans="1:15">
      <c r="A553" s="25">
        <v>46299.359722222223</v>
      </c>
      <c r="B553">
        <v>18.547999999999998</v>
      </c>
      <c r="C553">
        <v>53.756999999999998</v>
      </c>
      <c r="D553">
        <v>941.81200000000001</v>
      </c>
      <c r="E553">
        <v>4.077</v>
      </c>
      <c r="F553">
        <v>46.332999999999998</v>
      </c>
      <c r="G553" s="26">
        <f t="shared" si="64"/>
        <v>8.994763358150184</v>
      </c>
      <c r="H553" s="26">
        <f t="shared" si="71"/>
        <v>-1.0050000000000026</v>
      </c>
      <c r="I553" s="26">
        <f t="shared" si="65"/>
        <v>14.470999999999998</v>
      </c>
      <c r="J553" t="str">
        <f t="shared" si="66"/>
        <v>Cooling</v>
      </c>
      <c r="K553" s="26">
        <f t="shared" si="67"/>
        <v>14.470999999999998</v>
      </c>
      <c r="L553" s="26">
        <f t="shared" si="68"/>
        <v>-1.0050000000000026</v>
      </c>
      <c r="N553">
        <f t="shared" si="69"/>
        <v>14.470999999999998</v>
      </c>
      <c r="O553">
        <f t="shared" si="70"/>
        <v>-1.0050000000000026</v>
      </c>
    </row>
    <row r="554" spans="1:15">
      <c r="A554" s="25">
        <v>46299.36041666667</v>
      </c>
      <c r="B554">
        <v>18.524999999999999</v>
      </c>
      <c r="C554">
        <v>53.814999999999998</v>
      </c>
      <c r="D554">
        <v>941.81799999999998</v>
      </c>
      <c r="E554">
        <v>4.1050000000000004</v>
      </c>
      <c r="F554">
        <v>47.5</v>
      </c>
      <c r="G554" s="26">
        <f t="shared" si="64"/>
        <v>8.9894017427988437</v>
      </c>
      <c r="H554" s="26">
        <f t="shared" si="71"/>
        <v>-0.70500000000000895</v>
      </c>
      <c r="I554" s="26">
        <f t="shared" si="65"/>
        <v>14.419999999999998</v>
      </c>
      <c r="J554" t="str">
        <f t="shared" si="66"/>
        <v>Cooling</v>
      </c>
      <c r="K554" s="26">
        <f t="shared" si="67"/>
        <v>14.419999999999998</v>
      </c>
      <c r="L554" s="26">
        <f t="shared" si="68"/>
        <v>-0.70500000000000895</v>
      </c>
      <c r="N554">
        <f t="shared" si="69"/>
        <v>14.419999999999998</v>
      </c>
      <c r="O554">
        <f t="shared" si="70"/>
        <v>-0.70500000000000895</v>
      </c>
    </row>
    <row r="555" spans="1:15">
      <c r="A555" s="25">
        <v>46299.361111111109</v>
      </c>
      <c r="B555">
        <v>18.515000000000001</v>
      </c>
      <c r="C555">
        <v>53.725000000000001</v>
      </c>
      <c r="D555">
        <v>941.81799999999998</v>
      </c>
      <c r="E555">
        <v>4.133</v>
      </c>
      <c r="F555">
        <v>48.667000000000002</v>
      </c>
      <c r="G555" s="26">
        <f t="shared" si="64"/>
        <v>8.9553020402596442</v>
      </c>
      <c r="H555" s="26">
        <f t="shared" si="71"/>
        <v>-0.97499999999996589</v>
      </c>
      <c r="I555" s="26">
        <f t="shared" si="65"/>
        <v>14.382000000000001</v>
      </c>
      <c r="J555" t="str">
        <f t="shared" si="66"/>
        <v>Cooling</v>
      </c>
      <c r="K555" s="26">
        <f t="shared" si="67"/>
        <v>14.382000000000001</v>
      </c>
      <c r="L555" s="26">
        <f t="shared" si="68"/>
        <v>-0.97499999999996589</v>
      </c>
      <c r="N555">
        <f t="shared" si="69"/>
        <v>14.382000000000001</v>
      </c>
      <c r="O555">
        <f t="shared" si="70"/>
        <v>-0.97499999999996589</v>
      </c>
    </row>
    <row r="556" spans="1:15">
      <c r="A556" s="25">
        <v>46299.361805555563</v>
      </c>
      <c r="B556">
        <v>18.504999999999999</v>
      </c>
      <c r="C556">
        <v>53.66</v>
      </c>
      <c r="D556">
        <v>941.81700000000001</v>
      </c>
      <c r="E556">
        <v>4.1619999999999999</v>
      </c>
      <c r="F556">
        <v>49.832999999999998</v>
      </c>
      <c r="G556" s="26">
        <f t="shared" si="64"/>
        <v>8.9280758396511324</v>
      </c>
      <c r="H556" s="26">
        <f t="shared" si="71"/>
        <v>-0.85499999999997911</v>
      </c>
      <c r="I556" s="26">
        <f t="shared" si="65"/>
        <v>14.343</v>
      </c>
      <c r="J556" t="str">
        <f t="shared" si="66"/>
        <v>Cooling</v>
      </c>
      <c r="K556" s="26">
        <f t="shared" si="67"/>
        <v>14.343</v>
      </c>
      <c r="L556" s="26">
        <f t="shared" si="68"/>
        <v>-0.85499999999997911</v>
      </c>
      <c r="N556">
        <f t="shared" si="69"/>
        <v>14.343</v>
      </c>
      <c r="O556">
        <f t="shared" si="70"/>
        <v>-0.85499999999997911</v>
      </c>
    </row>
    <row r="557" spans="1:15">
      <c r="A557" s="25">
        <v>46299.362500000003</v>
      </c>
      <c r="B557">
        <v>18.483000000000001</v>
      </c>
      <c r="C557">
        <v>53.784999999999997</v>
      </c>
      <c r="D557">
        <v>941.77800000000002</v>
      </c>
      <c r="E557">
        <v>4.1900000000000004</v>
      </c>
      <c r="F557">
        <v>51</v>
      </c>
      <c r="G557" s="26">
        <f t="shared" si="64"/>
        <v>8.942142175283168</v>
      </c>
      <c r="H557" s="26">
        <f t="shared" si="71"/>
        <v>-0.75000000000001066</v>
      </c>
      <c r="I557" s="26">
        <f t="shared" si="65"/>
        <v>14.292999999999999</v>
      </c>
      <c r="J557" t="str">
        <f t="shared" si="66"/>
        <v>Cooling</v>
      </c>
      <c r="K557" s="26">
        <f t="shared" si="67"/>
        <v>14.292999999999999</v>
      </c>
      <c r="L557" s="26">
        <f t="shared" si="68"/>
        <v>-0.75000000000001066</v>
      </c>
      <c r="N557">
        <f t="shared" si="69"/>
        <v>14.292999999999999</v>
      </c>
      <c r="O557">
        <f t="shared" si="70"/>
        <v>-0.75000000000001066</v>
      </c>
    </row>
    <row r="558" spans="1:15">
      <c r="A558" s="25">
        <v>46299.363194444442</v>
      </c>
      <c r="B558">
        <v>18.468</v>
      </c>
      <c r="C558">
        <v>53.982999999999997</v>
      </c>
      <c r="D558">
        <v>941.8</v>
      </c>
      <c r="E558">
        <v>4.218</v>
      </c>
      <c r="F558">
        <v>52.167000000000002</v>
      </c>
      <c r="G558" s="26">
        <f t="shared" si="64"/>
        <v>8.9826900257854287</v>
      </c>
      <c r="H558" s="26">
        <f t="shared" si="71"/>
        <v>-0.70500000000000895</v>
      </c>
      <c r="I558" s="26">
        <f t="shared" si="65"/>
        <v>14.25</v>
      </c>
      <c r="J558" t="str">
        <f t="shared" si="66"/>
        <v>Cooling</v>
      </c>
      <c r="K558" s="26">
        <f t="shared" si="67"/>
        <v>14.25</v>
      </c>
      <c r="L558" s="26">
        <f t="shared" si="68"/>
        <v>-0.70500000000000895</v>
      </c>
      <c r="N558">
        <f t="shared" si="69"/>
        <v>14.25</v>
      </c>
      <c r="O558">
        <f t="shared" si="70"/>
        <v>-0.70500000000000895</v>
      </c>
    </row>
    <row r="559" spans="1:15">
      <c r="A559" s="25">
        <v>46299.363888888889</v>
      </c>
      <c r="B559">
        <v>18.465</v>
      </c>
      <c r="C559">
        <v>53.704999999999998</v>
      </c>
      <c r="D559">
        <v>941.77300000000002</v>
      </c>
      <c r="E559">
        <v>4.2469999999999999</v>
      </c>
      <c r="F559">
        <v>53.332999999999998</v>
      </c>
      <c r="G559" s="26">
        <f t="shared" si="64"/>
        <v>8.90337236286401</v>
      </c>
      <c r="H559" s="26">
        <f t="shared" si="71"/>
        <v>-0.45000000000001705</v>
      </c>
      <c r="I559" s="26">
        <f t="shared" si="65"/>
        <v>14.218</v>
      </c>
      <c r="J559" t="str">
        <f t="shared" si="66"/>
        <v>Cooling</v>
      </c>
      <c r="K559" s="26">
        <f t="shared" si="67"/>
        <v>14.218</v>
      </c>
      <c r="L559" s="26">
        <f t="shared" si="68"/>
        <v>-0.45000000000001705</v>
      </c>
      <c r="N559">
        <f t="shared" si="69"/>
        <v>14.218</v>
      </c>
      <c r="O559">
        <f t="shared" si="70"/>
        <v>-0.45000000000001705</v>
      </c>
    </row>
    <row r="560" spans="1:15">
      <c r="A560" s="25">
        <v>46299.364583333343</v>
      </c>
      <c r="B560">
        <v>18.457999999999998</v>
      </c>
      <c r="C560">
        <v>53.868000000000002</v>
      </c>
      <c r="D560">
        <v>941.76300000000003</v>
      </c>
      <c r="E560">
        <v>4.2750000000000004</v>
      </c>
      <c r="F560">
        <v>54.5</v>
      </c>
      <c r="G560" s="26">
        <f t="shared" si="64"/>
        <v>8.9417875397832969</v>
      </c>
      <c r="H560" s="26">
        <f t="shared" si="71"/>
        <v>-0.31500000000001194</v>
      </c>
      <c r="I560" s="26">
        <f t="shared" si="65"/>
        <v>14.182999999999998</v>
      </c>
      <c r="J560" t="str">
        <f t="shared" si="66"/>
        <v>Cooling</v>
      </c>
      <c r="K560" s="26">
        <f t="shared" si="67"/>
        <v>14.182999999999998</v>
      </c>
      <c r="L560" s="26">
        <f t="shared" si="68"/>
        <v>-0.31500000000001194</v>
      </c>
      <c r="N560">
        <f t="shared" si="69"/>
        <v>14.182999999999998</v>
      </c>
      <c r="O560">
        <f t="shared" si="70"/>
        <v>-0.31500000000001194</v>
      </c>
    </row>
    <row r="561" spans="1:15">
      <c r="A561" s="25">
        <v>46299.365277777782</v>
      </c>
      <c r="B561">
        <v>18.452999999999999</v>
      </c>
      <c r="C561">
        <v>53.953000000000003</v>
      </c>
      <c r="D561">
        <v>941.75</v>
      </c>
      <c r="E561">
        <v>4.3029999999999999</v>
      </c>
      <c r="F561">
        <v>55.667000000000002</v>
      </c>
      <c r="G561" s="26">
        <f t="shared" si="64"/>
        <v>8.9605171212984693</v>
      </c>
      <c r="H561" s="26">
        <f t="shared" si="71"/>
        <v>-0.45000000000001705</v>
      </c>
      <c r="I561" s="26">
        <f t="shared" si="65"/>
        <v>14.149999999999999</v>
      </c>
      <c r="J561" t="str">
        <f t="shared" si="66"/>
        <v>Cooling</v>
      </c>
      <c r="K561" s="26">
        <f t="shared" si="67"/>
        <v>14.149999999999999</v>
      </c>
      <c r="L561" s="26">
        <f t="shared" si="68"/>
        <v>-0.45000000000001705</v>
      </c>
      <c r="N561">
        <f t="shared" si="69"/>
        <v>14.149999999999999</v>
      </c>
      <c r="O561">
        <f t="shared" si="70"/>
        <v>-0.45000000000001705</v>
      </c>
    </row>
    <row r="562" spans="1:15">
      <c r="A562" s="25">
        <v>46299.365972222222</v>
      </c>
      <c r="B562">
        <v>18.446999999999999</v>
      </c>
      <c r="C562">
        <v>53.854999999999997</v>
      </c>
      <c r="D562">
        <v>941.73199999999997</v>
      </c>
      <c r="E562">
        <v>4.3319999999999999</v>
      </c>
      <c r="F562">
        <v>56.832999999999998</v>
      </c>
      <c r="G562" s="26">
        <f t="shared" si="64"/>
        <v>8.9279962652609921</v>
      </c>
      <c r="H562" s="26">
        <f t="shared" si="71"/>
        <v>-0.34499999999999531</v>
      </c>
      <c r="I562" s="26">
        <f t="shared" si="65"/>
        <v>14.114999999999998</v>
      </c>
      <c r="J562" t="str">
        <f t="shared" si="66"/>
        <v>Cooling</v>
      </c>
      <c r="K562" s="26">
        <f t="shared" si="67"/>
        <v>14.114999999999998</v>
      </c>
      <c r="L562" s="26">
        <f t="shared" si="68"/>
        <v>-0.34499999999999531</v>
      </c>
      <c r="N562">
        <f t="shared" si="69"/>
        <v>14.114999999999998</v>
      </c>
      <c r="O562">
        <f t="shared" si="70"/>
        <v>-0.34499999999999531</v>
      </c>
    </row>
    <row r="563" spans="1:15">
      <c r="A563" s="25">
        <v>46299.366666666669</v>
      </c>
      <c r="B563">
        <v>18.434999999999999</v>
      </c>
      <c r="C563">
        <v>53.936999999999998</v>
      </c>
      <c r="D563">
        <v>941.697</v>
      </c>
      <c r="E563">
        <v>4.3600000000000003</v>
      </c>
      <c r="F563">
        <v>58</v>
      </c>
      <c r="G563" s="26">
        <f t="shared" si="64"/>
        <v>8.9394037751654345</v>
      </c>
      <c r="H563" s="26">
        <f t="shared" si="71"/>
        <v>-0.29999999999999361</v>
      </c>
      <c r="I563" s="26">
        <f t="shared" si="65"/>
        <v>14.074999999999999</v>
      </c>
      <c r="J563" t="str">
        <f t="shared" si="66"/>
        <v>Cooling</v>
      </c>
      <c r="K563" s="26">
        <f t="shared" si="67"/>
        <v>14.074999999999999</v>
      </c>
      <c r="L563" s="26">
        <f t="shared" si="68"/>
        <v>-0.29999999999999361</v>
      </c>
      <c r="N563">
        <f t="shared" si="69"/>
        <v>14.074999999999999</v>
      </c>
      <c r="O563">
        <f t="shared" si="70"/>
        <v>-0.29999999999999361</v>
      </c>
    </row>
    <row r="564" spans="1:15">
      <c r="A564" s="25">
        <v>46299.367361111108</v>
      </c>
      <c r="B564">
        <v>18.434999999999999</v>
      </c>
      <c r="C564">
        <v>53.895000000000003</v>
      </c>
      <c r="D564">
        <v>941.70299999999997</v>
      </c>
      <c r="E564">
        <v>4.3879999999999999</v>
      </c>
      <c r="F564">
        <v>59.167000000000002</v>
      </c>
      <c r="G564" s="26">
        <f t="shared" si="64"/>
        <v>8.9278576847781643</v>
      </c>
      <c r="H564" s="26">
        <f t="shared" si="71"/>
        <v>-0.48000000000000043</v>
      </c>
      <c r="I564" s="26">
        <f t="shared" si="65"/>
        <v>14.046999999999999</v>
      </c>
      <c r="J564" t="str">
        <f t="shared" si="66"/>
        <v>Cooling</v>
      </c>
      <c r="K564" s="26">
        <f t="shared" si="67"/>
        <v>14.046999999999999</v>
      </c>
      <c r="L564" s="26">
        <f t="shared" si="68"/>
        <v>-0.48000000000000043</v>
      </c>
      <c r="N564">
        <f t="shared" si="69"/>
        <v>14.046999999999999</v>
      </c>
      <c r="O564">
        <f t="shared" si="70"/>
        <v>-0.48000000000000043</v>
      </c>
    </row>
    <row r="565" spans="1:15">
      <c r="A565" s="25">
        <v>46299.368055555547</v>
      </c>
      <c r="B565">
        <v>18.433</v>
      </c>
      <c r="C565">
        <v>53.857999999999997</v>
      </c>
      <c r="D565">
        <v>941.74199999999996</v>
      </c>
      <c r="E565">
        <v>4.4169999999999998</v>
      </c>
      <c r="F565">
        <v>60.332999999999998</v>
      </c>
      <c r="G565" s="26">
        <f t="shared" si="64"/>
        <v>8.9158224934073509</v>
      </c>
      <c r="H565" s="26">
        <f t="shared" si="71"/>
        <v>-0.41999999999998039</v>
      </c>
      <c r="I565" s="26">
        <f t="shared" si="65"/>
        <v>14.016</v>
      </c>
      <c r="J565" t="str">
        <f t="shared" si="66"/>
        <v>Cooling</v>
      </c>
      <c r="K565" s="26">
        <f t="shared" si="67"/>
        <v>14.016</v>
      </c>
      <c r="L565" s="26">
        <f t="shared" si="68"/>
        <v>-0.41999999999998039</v>
      </c>
      <c r="N565">
        <f t="shared" si="69"/>
        <v>14.016</v>
      </c>
      <c r="O565">
        <f t="shared" si="70"/>
        <v>-0.41999999999998039</v>
      </c>
    </row>
    <row r="566" spans="1:15">
      <c r="A566" s="25">
        <v>46299.368750000001</v>
      </c>
      <c r="B566">
        <v>18.414999999999999</v>
      </c>
      <c r="C566">
        <v>53.942999999999998</v>
      </c>
      <c r="D566">
        <v>941.71500000000003</v>
      </c>
      <c r="E566">
        <v>4.4450000000000003</v>
      </c>
      <c r="F566">
        <v>61.5</v>
      </c>
      <c r="G566" s="26">
        <f t="shared" si="64"/>
        <v>8.9224785181662565</v>
      </c>
      <c r="H566" s="26">
        <f t="shared" si="71"/>
        <v>-0.26999999999995694</v>
      </c>
      <c r="I566" s="26">
        <f t="shared" si="65"/>
        <v>13.969999999999999</v>
      </c>
      <c r="J566" t="str">
        <f t="shared" si="66"/>
        <v>Cooling</v>
      </c>
      <c r="K566" s="26">
        <f t="shared" si="67"/>
        <v>13.969999999999999</v>
      </c>
      <c r="L566" s="26">
        <f t="shared" si="68"/>
        <v>-0.26999999999995694</v>
      </c>
      <c r="N566">
        <f t="shared" si="69"/>
        <v>13.969999999999999</v>
      </c>
      <c r="O566">
        <f t="shared" si="70"/>
        <v>-0.26999999999995694</v>
      </c>
    </row>
    <row r="567" spans="1:15">
      <c r="A567" s="25">
        <v>46299.369444444441</v>
      </c>
      <c r="B567">
        <v>18.407</v>
      </c>
      <c r="C567">
        <v>53.963000000000001</v>
      </c>
      <c r="D567">
        <v>941.673</v>
      </c>
      <c r="E567">
        <v>4.4729999999999999</v>
      </c>
      <c r="F567">
        <v>62.667000000000002</v>
      </c>
      <c r="G567" s="26">
        <f t="shared" si="64"/>
        <v>8.9205425459311698</v>
      </c>
      <c r="H567" s="26">
        <f t="shared" si="71"/>
        <v>-0.49500000000001876</v>
      </c>
      <c r="I567" s="26">
        <f t="shared" si="65"/>
        <v>13.934000000000001</v>
      </c>
      <c r="J567" t="str">
        <f t="shared" si="66"/>
        <v>Cooling</v>
      </c>
      <c r="K567" s="26">
        <f t="shared" si="67"/>
        <v>13.934000000000001</v>
      </c>
      <c r="L567" s="26">
        <f t="shared" si="68"/>
        <v>-0.49500000000001876</v>
      </c>
      <c r="N567">
        <f t="shared" si="69"/>
        <v>13.934000000000001</v>
      </c>
      <c r="O567">
        <f t="shared" si="70"/>
        <v>-0.49500000000001876</v>
      </c>
    </row>
    <row r="568" spans="1:15">
      <c r="A568" s="25">
        <v>46299.370138888888</v>
      </c>
      <c r="B568">
        <v>18.417000000000002</v>
      </c>
      <c r="C568">
        <v>53.947000000000003</v>
      </c>
      <c r="D568">
        <v>941.65800000000002</v>
      </c>
      <c r="E568">
        <v>4.5019999999999998</v>
      </c>
      <c r="F568">
        <v>63.832999999999998</v>
      </c>
      <c r="G568" s="26">
        <f t="shared" si="64"/>
        <v>8.9254348880635739</v>
      </c>
      <c r="H568" s="26">
        <f t="shared" si="71"/>
        <v>-0.22500000000000853</v>
      </c>
      <c r="I568" s="26">
        <f t="shared" si="65"/>
        <v>13.915000000000003</v>
      </c>
      <c r="J568" t="str">
        <f t="shared" si="66"/>
        <v>Cooling</v>
      </c>
      <c r="K568" s="26">
        <f t="shared" si="67"/>
        <v>13.915000000000003</v>
      </c>
      <c r="L568" s="26">
        <f t="shared" si="68"/>
        <v>-0.22500000000000853</v>
      </c>
      <c r="N568">
        <f t="shared" si="69"/>
        <v>13.915000000000003</v>
      </c>
      <c r="O568">
        <f t="shared" si="70"/>
        <v>-0.22500000000000853</v>
      </c>
    </row>
    <row r="569" spans="1:15">
      <c r="A569" s="25">
        <v>46299.370833333327</v>
      </c>
      <c r="B569">
        <v>18.399999999999999</v>
      </c>
      <c r="C569">
        <v>53.784999999999997</v>
      </c>
      <c r="D569">
        <v>941.63800000000003</v>
      </c>
      <c r="E569">
        <v>4.53</v>
      </c>
      <c r="F569">
        <v>65</v>
      </c>
      <c r="G569" s="26">
        <f t="shared" si="64"/>
        <v>8.8650868125583564</v>
      </c>
      <c r="H569" s="26">
        <f t="shared" si="71"/>
        <v>-0.40500000000001535</v>
      </c>
      <c r="I569" s="26">
        <f t="shared" si="65"/>
        <v>13.869999999999997</v>
      </c>
      <c r="J569" t="str">
        <f t="shared" si="66"/>
        <v>Cooling</v>
      </c>
      <c r="K569" s="26">
        <f t="shared" si="67"/>
        <v>13.869999999999997</v>
      </c>
      <c r="L569" s="26">
        <f t="shared" si="68"/>
        <v>-0.40500000000001535</v>
      </c>
      <c r="N569">
        <f t="shared" si="69"/>
        <v>13.869999999999997</v>
      </c>
      <c r="O569">
        <f t="shared" si="70"/>
        <v>-0.40500000000001535</v>
      </c>
    </row>
    <row r="570" spans="1:15">
      <c r="A570" s="25">
        <v>46299.371527777781</v>
      </c>
      <c r="B570">
        <v>18.399999999999999</v>
      </c>
      <c r="C570">
        <v>53.807000000000002</v>
      </c>
      <c r="D570">
        <v>941.64499999999998</v>
      </c>
      <c r="E570">
        <v>4.5579999999999998</v>
      </c>
      <c r="F570">
        <v>66.167000000000002</v>
      </c>
      <c r="G570" s="26">
        <f t="shared" si="64"/>
        <v>8.8711451036865085</v>
      </c>
      <c r="H570" s="26">
        <f t="shared" si="71"/>
        <v>-0.67500000000002558</v>
      </c>
      <c r="I570" s="26">
        <f t="shared" si="65"/>
        <v>13.841999999999999</v>
      </c>
      <c r="J570" t="str">
        <f t="shared" si="66"/>
        <v>Cooling</v>
      </c>
      <c r="K570" s="26">
        <f t="shared" si="67"/>
        <v>13.841999999999999</v>
      </c>
      <c r="L570" s="26">
        <f t="shared" si="68"/>
        <v>-0.67500000000002558</v>
      </c>
      <c r="N570">
        <f t="shared" si="69"/>
        <v>13.841999999999999</v>
      </c>
      <c r="O570">
        <f t="shared" si="70"/>
        <v>-0.67500000000002558</v>
      </c>
    </row>
    <row r="571" spans="1:15">
      <c r="A571" s="25">
        <v>46299.37222222222</v>
      </c>
      <c r="B571">
        <v>18.38</v>
      </c>
      <c r="C571">
        <v>53.948</v>
      </c>
      <c r="D571">
        <v>941.61800000000005</v>
      </c>
      <c r="E571">
        <v>4.5869999999999997</v>
      </c>
      <c r="F571">
        <v>67.332999999999998</v>
      </c>
      <c r="G571" s="26">
        <f t="shared" si="64"/>
        <v>8.8913469952664936</v>
      </c>
      <c r="H571" s="26">
        <f t="shared" si="71"/>
        <v>-0.41999999999998039</v>
      </c>
      <c r="I571" s="26">
        <f t="shared" si="65"/>
        <v>13.792999999999999</v>
      </c>
      <c r="J571" t="str">
        <f t="shared" si="66"/>
        <v>Cooling</v>
      </c>
      <c r="K571" s="26">
        <f t="shared" si="67"/>
        <v>13.792999999999999</v>
      </c>
      <c r="L571" s="26">
        <f t="shared" si="68"/>
        <v>-0.41999999999998039</v>
      </c>
      <c r="N571">
        <f t="shared" si="69"/>
        <v>13.792999999999999</v>
      </c>
      <c r="O571">
        <f t="shared" si="70"/>
        <v>-0.41999999999998039</v>
      </c>
    </row>
    <row r="572" spans="1:15">
      <c r="A572" s="25">
        <v>46299.372916666667</v>
      </c>
      <c r="B572">
        <v>18.372</v>
      </c>
      <c r="C572">
        <v>53.701999999999998</v>
      </c>
      <c r="D572">
        <v>941.61</v>
      </c>
      <c r="E572">
        <v>4.6150000000000002</v>
      </c>
      <c r="F572">
        <v>68.5</v>
      </c>
      <c r="G572" s="26">
        <f t="shared" si="64"/>
        <v>8.8162205666824409</v>
      </c>
      <c r="H572" s="26">
        <f t="shared" si="71"/>
        <v>-0.5549999999999855</v>
      </c>
      <c r="I572" s="26">
        <f t="shared" si="65"/>
        <v>13.757</v>
      </c>
      <c r="J572" t="str">
        <f t="shared" si="66"/>
        <v>Cooling</v>
      </c>
      <c r="K572" s="26">
        <f t="shared" si="67"/>
        <v>13.757</v>
      </c>
      <c r="L572" s="26">
        <f t="shared" si="68"/>
        <v>-0.5549999999999855</v>
      </c>
      <c r="N572">
        <f t="shared" si="69"/>
        <v>13.757</v>
      </c>
      <c r="O572">
        <f t="shared" si="70"/>
        <v>-0.5549999999999855</v>
      </c>
    </row>
    <row r="573" spans="1:15">
      <c r="A573" s="25">
        <v>46299.373611111107</v>
      </c>
      <c r="B573">
        <v>18.372</v>
      </c>
      <c r="C573">
        <v>53.773000000000003</v>
      </c>
      <c r="D573">
        <v>941.62699999999995</v>
      </c>
      <c r="E573">
        <v>4.6429999999999998</v>
      </c>
      <c r="F573">
        <v>69.667000000000002</v>
      </c>
      <c r="G573" s="26">
        <f t="shared" si="64"/>
        <v>8.8357870678918857</v>
      </c>
      <c r="H573" s="26">
        <f t="shared" si="71"/>
        <v>-0.19499999999997186</v>
      </c>
      <c r="I573" s="26">
        <f t="shared" si="65"/>
        <v>13.728999999999999</v>
      </c>
      <c r="J573" t="str">
        <f t="shared" si="66"/>
        <v>Steady</v>
      </c>
      <c r="K573" s="26" t="str">
        <f t="shared" si="67"/>
        <v/>
      </c>
      <c r="L573" s="26" t="str">
        <f t="shared" si="68"/>
        <v/>
      </c>
      <c r="N573" t="e">
        <f t="shared" si="69"/>
        <v>#N/A</v>
      </c>
      <c r="O573" t="e">
        <f t="shared" si="70"/>
        <v>#N/A</v>
      </c>
    </row>
    <row r="574" spans="1:15">
      <c r="A574" s="25">
        <v>46299.374305555553</v>
      </c>
      <c r="B574">
        <v>18.363</v>
      </c>
      <c r="C574">
        <v>53.728000000000002</v>
      </c>
      <c r="D574">
        <v>941.61199999999997</v>
      </c>
      <c r="E574">
        <v>4.6719999999999997</v>
      </c>
      <c r="F574">
        <v>70.832999999999998</v>
      </c>
      <c r="G574" s="26">
        <f t="shared" si="64"/>
        <v>8.8150338804124271</v>
      </c>
      <c r="H574" s="26">
        <f t="shared" si="71"/>
        <v>-0.22500000000000853</v>
      </c>
      <c r="I574" s="26">
        <f t="shared" si="65"/>
        <v>13.690999999999999</v>
      </c>
      <c r="J574" t="str">
        <f t="shared" si="66"/>
        <v>Cooling</v>
      </c>
      <c r="K574" s="26">
        <f t="shared" si="67"/>
        <v>13.690999999999999</v>
      </c>
      <c r="L574" s="26">
        <f t="shared" si="68"/>
        <v>-0.22500000000000853</v>
      </c>
      <c r="N574">
        <f t="shared" si="69"/>
        <v>13.690999999999999</v>
      </c>
      <c r="O574">
        <f t="shared" si="70"/>
        <v>-0.22500000000000853</v>
      </c>
    </row>
    <row r="575" spans="1:15">
      <c r="A575" s="25">
        <v>46299.375</v>
      </c>
      <c r="B575">
        <v>18.367000000000001</v>
      </c>
      <c r="C575">
        <v>53.866999999999997</v>
      </c>
      <c r="D575">
        <v>941.59199999999998</v>
      </c>
      <c r="E575">
        <v>4.7</v>
      </c>
      <c r="F575">
        <v>72</v>
      </c>
      <c r="G575" s="26">
        <f t="shared" si="64"/>
        <v>8.8570141585294344</v>
      </c>
      <c r="H575" s="26">
        <f t="shared" si="71"/>
        <v>-0.2549999999999919</v>
      </c>
      <c r="I575" s="26">
        <f t="shared" si="65"/>
        <v>13.667000000000002</v>
      </c>
      <c r="J575" t="str">
        <f t="shared" si="66"/>
        <v>Cooling</v>
      </c>
      <c r="K575" s="26">
        <f t="shared" si="67"/>
        <v>13.667000000000002</v>
      </c>
      <c r="L575" s="26">
        <f t="shared" si="68"/>
        <v>-0.2549999999999919</v>
      </c>
      <c r="N575">
        <f t="shared" si="69"/>
        <v>13.667000000000002</v>
      </c>
      <c r="O575">
        <f t="shared" si="70"/>
        <v>-0.2549999999999919</v>
      </c>
    </row>
    <row r="576" spans="1:15">
      <c r="A576" s="25">
        <v>46299.375694444447</v>
      </c>
      <c r="B576">
        <v>18.356999999999999</v>
      </c>
      <c r="C576">
        <v>53.887999999999998</v>
      </c>
      <c r="D576">
        <v>941.56700000000001</v>
      </c>
      <c r="E576">
        <v>4.7370000000000001</v>
      </c>
      <c r="F576">
        <v>73.95</v>
      </c>
      <c r="G576" s="26">
        <f t="shared" si="64"/>
        <v>8.8535018747249854</v>
      </c>
      <c r="H576" s="26">
        <f t="shared" si="71"/>
        <v>-7.4999999999985079E-2</v>
      </c>
      <c r="I576" s="26">
        <f t="shared" si="65"/>
        <v>13.62</v>
      </c>
      <c r="J576" t="str">
        <f t="shared" si="66"/>
        <v>Steady</v>
      </c>
      <c r="K576" s="26" t="str">
        <f t="shared" si="67"/>
        <v/>
      </c>
      <c r="L576" s="26" t="str">
        <f t="shared" si="68"/>
        <v/>
      </c>
      <c r="N576" t="e">
        <f t="shared" si="69"/>
        <v>#N/A</v>
      </c>
      <c r="O576" t="e">
        <f t="shared" si="70"/>
        <v>#N/A</v>
      </c>
    </row>
    <row r="577" spans="1:15">
      <c r="A577" s="25">
        <v>46299.376388888893</v>
      </c>
      <c r="B577">
        <v>18.355</v>
      </c>
      <c r="C577">
        <v>53.835000000000001</v>
      </c>
      <c r="D577">
        <v>941.59199999999998</v>
      </c>
      <c r="E577">
        <v>4.7729999999999997</v>
      </c>
      <c r="F577">
        <v>75.900000000000006</v>
      </c>
      <c r="G577" s="26">
        <f t="shared" si="64"/>
        <v>8.8370701800780527</v>
      </c>
      <c r="H577" s="26">
        <f t="shared" si="71"/>
        <v>-7.5000000000038369E-2</v>
      </c>
      <c r="I577" s="26">
        <f t="shared" si="65"/>
        <v>13.582000000000001</v>
      </c>
      <c r="J577" t="str">
        <f t="shared" si="66"/>
        <v>Steady</v>
      </c>
      <c r="K577" s="26" t="str">
        <f t="shared" si="67"/>
        <v/>
      </c>
      <c r="L577" s="26" t="str">
        <f t="shared" si="68"/>
        <v/>
      </c>
      <c r="N577" t="e">
        <f t="shared" si="69"/>
        <v>#N/A</v>
      </c>
      <c r="O577" t="e">
        <f t="shared" si="70"/>
        <v>#N/A</v>
      </c>
    </row>
    <row r="578" spans="1:15">
      <c r="A578" s="25">
        <v>46299.377083333333</v>
      </c>
      <c r="B578">
        <v>18.358000000000001</v>
      </c>
      <c r="C578">
        <v>53.921999999999997</v>
      </c>
      <c r="D578">
        <v>941.59</v>
      </c>
      <c r="E578">
        <v>4.8099999999999996</v>
      </c>
      <c r="F578">
        <v>77.849999999999994</v>
      </c>
      <c r="G578" s="26">
        <f t="shared" ref="G578:G641" si="72">243.04*(LN(C578/100)+17.625*B578/(243.04+B578))/(17.625-LN(C578/100)-17.625*B578/(243.04+B578))</f>
        <v>8.8637736959970503</v>
      </c>
      <c r="H578" s="26">
        <f t="shared" si="71"/>
        <v>-0.14999999999997016</v>
      </c>
      <c r="I578" s="26">
        <f t="shared" ref="I578:I641" si="73">B578-E578</f>
        <v>13.548000000000002</v>
      </c>
      <c r="J578" t="str">
        <f t="shared" ref="J578:J641" si="74">IF(H578="","",IF(H578&gt;0.6,"Heating",IF(H578&lt;-0.2,"Cooling","Steady")))</f>
        <v>Steady</v>
      </c>
      <c r="K578" s="26" t="str">
        <f t="shared" ref="K578:K641" si="75">IF(J578="Cooling",I578,"")</f>
        <v/>
      </c>
      <c r="L578" s="26" t="str">
        <f t="shared" ref="L578:L641" si="76">IF(J578="Cooling",H578,"")</f>
        <v/>
      </c>
      <c r="N578" t="e">
        <f t="shared" ref="N578:N641" si="77">IF(K578="",NA(),K578)</f>
        <v>#N/A</v>
      </c>
      <c r="O578" t="e">
        <f t="shared" ref="O578:O641" si="78">IF(L578="",NA(),L578)</f>
        <v>#N/A</v>
      </c>
    </row>
    <row r="579" spans="1:15">
      <c r="A579" s="25">
        <v>46299.37777777778</v>
      </c>
      <c r="B579">
        <v>18.361999999999998</v>
      </c>
      <c r="C579">
        <v>53.963000000000001</v>
      </c>
      <c r="D579">
        <v>941.60699999999997</v>
      </c>
      <c r="E579">
        <v>4.8470000000000004</v>
      </c>
      <c r="F579">
        <v>79.8</v>
      </c>
      <c r="G579" s="26">
        <f t="shared" si="72"/>
        <v>8.8787486391157149</v>
      </c>
      <c r="H579" s="26">
        <f t="shared" si="71"/>
        <v>-7.4999999999985079E-2</v>
      </c>
      <c r="I579" s="26">
        <f t="shared" si="73"/>
        <v>13.514999999999997</v>
      </c>
      <c r="J579" t="str">
        <f t="shared" si="74"/>
        <v>Steady</v>
      </c>
      <c r="K579" s="26" t="str">
        <f t="shared" si="75"/>
        <v/>
      </c>
      <c r="L579" s="26" t="str">
        <f t="shared" si="76"/>
        <v/>
      </c>
      <c r="N579" t="e">
        <f t="shared" si="77"/>
        <v>#N/A</v>
      </c>
      <c r="O579" t="e">
        <f t="shared" si="78"/>
        <v>#N/A</v>
      </c>
    </row>
    <row r="580" spans="1:15">
      <c r="A580" s="25">
        <v>46299.378472222219</v>
      </c>
      <c r="B580">
        <v>18.347000000000001</v>
      </c>
      <c r="C580">
        <v>54.064999999999998</v>
      </c>
      <c r="D580">
        <v>941.59500000000003</v>
      </c>
      <c r="E580">
        <v>4.883</v>
      </c>
      <c r="F580">
        <v>81.75</v>
      </c>
      <c r="G580" s="26">
        <f t="shared" si="72"/>
        <v>8.8927946790348695</v>
      </c>
      <c r="H580" s="26">
        <f t="shared" ref="H580:H643" si="79">(B582-B578)/4*60</f>
        <v>-0.37500000000003197</v>
      </c>
      <c r="I580" s="26">
        <f t="shared" si="73"/>
        <v>13.464000000000002</v>
      </c>
      <c r="J580" t="str">
        <f t="shared" si="74"/>
        <v>Cooling</v>
      </c>
      <c r="K580" s="26">
        <f t="shared" si="75"/>
        <v>13.464000000000002</v>
      </c>
      <c r="L580" s="26">
        <f t="shared" si="76"/>
        <v>-0.37500000000003197</v>
      </c>
      <c r="N580">
        <f t="shared" si="77"/>
        <v>13.464000000000002</v>
      </c>
      <c r="O580">
        <f t="shared" si="78"/>
        <v>-0.37500000000003197</v>
      </c>
    </row>
    <row r="581" spans="1:15">
      <c r="A581" s="25">
        <v>46299.379166666673</v>
      </c>
      <c r="B581">
        <v>18.350000000000001</v>
      </c>
      <c r="C581">
        <v>53.884999999999998</v>
      </c>
      <c r="D581">
        <v>941.59</v>
      </c>
      <c r="E581">
        <v>4.92</v>
      </c>
      <c r="F581">
        <v>83.7</v>
      </c>
      <c r="G581" s="26">
        <f t="shared" si="72"/>
        <v>8.8461770055670819</v>
      </c>
      <c r="H581" s="26">
        <f t="shared" si="79"/>
        <v>-0.52499999999994884</v>
      </c>
      <c r="I581" s="26">
        <f t="shared" si="73"/>
        <v>13.430000000000001</v>
      </c>
      <c r="J581" t="str">
        <f t="shared" si="74"/>
        <v>Cooling</v>
      </c>
      <c r="K581" s="26">
        <f t="shared" si="75"/>
        <v>13.430000000000001</v>
      </c>
      <c r="L581" s="26">
        <f t="shared" si="76"/>
        <v>-0.52499999999994884</v>
      </c>
      <c r="N581">
        <f t="shared" si="77"/>
        <v>13.430000000000001</v>
      </c>
      <c r="O581">
        <f t="shared" si="78"/>
        <v>-0.52499999999994884</v>
      </c>
    </row>
    <row r="582" spans="1:15">
      <c r="A582" s="25">
        <v>46299.379861111112</v>
      </c>
      <c r="B582">
        <v>18.332999999999998</v>
      </c>
      <c r="C582">
        <v>54.148000000000003</v>
      </c>
      <c r="D582">
        <v>941.6</v>
      </c>
      <c r="E582">
        <v>4.9569999999999999</v>
      </c>
      <c r="F582">
        <v>85.65</v>
      </c>
      <c r="G582" s="26">
        <f t="shared" si="72"/>
        <v>8.9025183573905373</v>
      </c>
      <c r="H582" s="26">
        <f t="shared" si="79"/>
        <v>-0.25500000000004519</v>
      </c>
      <c r="I582" s="26">
        <f t="shared" si="73"/>
        <v>13.375999999999998</v>
      </c>
      <c r="J582" t="str">
        <f t="shared" si="74"/>
        <v>Cooling</v>
      </c>
      <c r="K582" s="26">
        <f t="shared" si="75"/>
        <v>13.375999999999998</v>
      </c>
      <c r="L582" s="26">
        <f t="shared" si="76"/>
        <v>-0.25500000000004519</v>
      </c>
      <c r="N582">
        <f t="shared" si="77"/>
        <v>13.375999999999998</v>
      </c>
      <c r="O582">
        <f t="shared" si="78"/>
        <v>-0.25500000000004519</v>
      </c>
    </row>
    <row r="583" spans="1:15">
      <c r="A583" s="25">
        <v>46299.380555555559</v>
      </c>
      <c r="B583">
        <v>18.327000000000002</v>
      </c>
      <c r="C583">
        <v>53.865000000000002</v>
      </c>
      <c r="D583">
        <v>941.55</v>
      </c>
      <c r="E583">
        <v>4.9930000000000003</v>
      </c>
      <c r="F583">
        <v>87.6</v>
      </c>
      <c r="G583" s="26">
        <f t="shared" si="72"/>
        <v>8.8193215851933449</v>
      </c>
      <c r="H583" s="26">
        <f t="shared" si="79"/>
        <v>-0.42000000000003368</v>
      </c>
      <c r="I583" s="26">
        <f t="shared" si="73"/>
        <v>13.334000000000001</v>
      </c>
      <c r="J583" t="str">
        <f t="shared" si="74"/>
        <v>Cooling</v>
      </c>
      <c r="K583" s="26">
        <f t="shared" si="75"/>
        <v>13.334000000000001</v>
      </c>
      <c r="L583" s="26">
        <f t="shared" si="76"/>
        <v>-0.42000000000003368</v>
      </c>
      <c r="N583">
        <f t="shared" si="77"/>
        <v>13.334000000000001</v>
      </c>
      <c r="O583">
        <f t="shared" si="78"/>
        <v>-0.42000000000003368</v>
      </c>
    </row>
    <row r="584" spans="1:15">
      <c r="A584" s="25">
        <v>46299.381249999999</v>
      </c>
      <c r="B584">
        <v>18.329999999999998</v>
      </c>
      <c r="C584">
        <v>54.11</v>
      </c>
      <c r="D584">
        <v>941.62300000000005</v>
      </c>
      <c r="E584">
        <v>5.03</v>
      </c>
      <c r="F584">
        <v>89.55</v>
      </c>
      <c r="G584" s="26">
        <f t="shared" si="72"/>
        <v>8.889328807898309</v>
      </c>
      <c r="H584" s="26">
        <f t="shared" si="79"/>
        <v>-0.26999999999995694</v>
      </c>
      <c r="I584" s="26">
        <f t="shared" si="73"/>
        <v>13.299999999999997</v>
      </c>
      <c r="J584" t="str">
        <f t="shared" si="74"/>
        <v>Cooling</v>
      </c>
      <c r="K584" s="26">
        <f t="shared" si="75"/>
        <v>13.299999999999997</v>
      </c>
      <c r="L584" s="26">
        <f t="shared" si="76"/>
        <v>-0.26999999999995694</v>
      </c>
      <c r="N584">
        <f t="shared" si="77"/>
        <v>13.299999999999997</v>
      </c>
      <c r="O584">
        <f t="shared" si="78"/>
        <v>-0.26999999999995694</v>
      </c>
    </row>
    <row r="585" spans="1:15">
      <c r="A585" s="25">
        <v>46299.381944444453</v>
      </c>
      <c r="B585">
        <v>18.321999999999999</v>
      </c>
      <c r="C585">
        <v>53.997999999999998</v>
      </c>
      <c r="D585">
        <v>941.60699999999997</v>
      </c>
      <c r="E585">
        <v>5.0670000000000002</v>
      </c>
      <c r="F585">
        <v>91.5</v>
      </c>
      <c r="G585" s="26">
        <f t="shared" si="72"/>
        <v>8.8512016537297171</v>
      </c>
      <c r="H585" s="26">
        <f t="shared" si="79"/>
        <v>-0.22500000000000853</v>
      </c>
      <c r="I585" s="26">
        <f t="shared" si="73"/>
        <v>13.254999999999999</v>
      </c>
      <c r="J585" t="str">
        <f t="shared" si="74"/>
        <v>Cooling</v>
      </c>
      <c r="K585" s="26">
        <f t="shared" si="75"/>
        <v>13.254999999999999</v>
      </c>
      <c r="L585" s="26">
        <f t="shared" si="76"/>
        <v>-0.22500000000000853</v>
      </c>
      <c r="N585">
        <f t="shared" si="77"/>
        <v>13.254999999999999</v>
      </c>
      <c r="O585">
        <f t="shared" si="78"/>
        <v>-0.22500000000000853</v>
      </c>
    </row>
    <row r="586" spans="1:15">
      <c r="A586" s="25">
        <v>46299.382638888892</v>
      </c>
      <c r="B586">
        <v>18.315000000000001</v>
      </c>
      <c r="C586">
        <v>54.034999999999997</v>
      </c>
      <c r="D586">
        <v>941.57799999999997</v>
      </c>
      <c r="E586">
        <v>5.1029999999999998</v>
      </c>
      <c r="F586">
        <v>93.45</v>
      </c>
      <c r="G586" s="26">
        <f t="shared" si="72"/>
        <v>8.8548456389946786</v>
      </c>
      <c r="H586" s="26">
        <f t="shared" si="79"/>
        <v>0.27000000000001023</v>
      </c>
      <c r="I586" s="26">
        <f t="shared" si="73"/>
        <v>13.212000000000002</v>
      </c>
      <c r="J586" t="str">
        <f t="shared" si="74"/>
        <v>Steady</v>
      </c>
      <c r="K586" s="26" t="str">
        <f t="shared" si="75"/>
        <v/>
      </c>
      <c r="L586" s="26" t="str">
        <f t="shared" si="76"/>
        <v/>
      </c>
      <c r="N586" t="e">
        <f t="shared" si="77"/>
        <v>#N/A</v>
      </c>
      <c r="O586" t="e">
        <f t="shared" si="78"/>
        <v>#N/A</v>
      </c>
    </row>
    <row r="587" spans="1:15">
      <c r="A587" s="25">
        <v>46299.383333333331</v>
      </c>
      <c r="B587">
        <v>18.312000000000001</v>
      </c>
      <c r="C587">
        <v>53.972999999999999</v>
      </c>
      <c r="D587">
        <v>941.59199999999998</v>
      </c>
      <c r="E587">
        <v>5.14</v>
      </c>
      <c r="F587">
        <v>95.4</v>
      </c>
      <c r="G587" s="26">
        <f t="shared" si="72"/>
        <v>8.8350545944375689</v>
      </c>
      <c r="H587" s="26">
        <f t="shared" si="79"/>
        <v>1.5000000000000213</v>
      </c>
      <c r="I587" s="26">
        <f t="shared" si="73"/>
        <v>13.172000000000001</v>
      </c>
      <c r="J587" t="str">
        <f t="shared" si="74"/>
        <v>Heating</v>
      </c>
      <c r="K587" s="26" t="str">
        <f t="shared" si="75"/>
        <v/>
      </c>
      <c r="L587" s="26" t="str">
        <f t="shared" si="76"/>
        <v/>
      </c>
      <c r="N587" t="e">
        <f t="shared" si="77"/>
        <v>#N/A</v>
      </c>
      <c r="O587" t="e">
        <f t="shared" si="78"/>
        <v>#N/A</v>
      </c>
    </row>
    <row r="588" spans="1:15">
      <c r="A588" s="25">
        <v>46299.384027777778</v>
      </c>
      <c r="B588">
        <v>18.347999999999999</v>
      </c>
      <c r="C588">
        <v>53.44</v>
      </c>
      <c r="D588">
        <v>941.61199999999997</v>
      </c>
      <c r="E588">
        <v>5.1769999999999996</v>
      </c>
      <c r="F588">
        <v>97.35</v>
      </c>
      <c r="G588" s="26">
        <f t="shared" si="72"/>
        <v>8.7215546005552547</v>
      </c>
      <c r="H588" s="26">
        <f t="shared" si="79"/>
        <v>3.6749999999999616</v>
      </c>
      <c r="I588" s="26">
        <f t="shared" si="73"/>
        <v>13.170999999999999</v>
      </c>
      <c r="J588" t="str">
        <f t="shared" si="74"/>
        <v>Heating</v>
      </c>
      <c r="K588" s="26" t="str">
        <f t="shared" si="75"/>
        <v/>
      </c>
      <c r="L588" s="26" t="str">
        <f t="shared" si="76"/>
        <v/>
      </c>
      <c r="N588" t="e">
        <f t="shared" si="77"/>
        <v>#N/A</v>
      </c>
      <c r="O588" t="e">
        <f t="shared" si="78"/>
        <v>#N/A</v>
      </c>
    </row>
    <row r="589" spans="1:15">
      <c r="A589" s="25">
        <v>46299.384722222218</v>
      </c>
      <c r="B589">
        <v>18.422000000000001</v>
      </c>
      <c r="C589">
        <v>52.932000000000002</v>
      </c>
      <c r="D589">
        <v>941.61500000000001</v>
      </c>
      <c r="E589">
        <v>5.2130000000000001</v>
      </c>
      <c r="F589">
        <v>99.3</v>
      </c>
      <c r="G589" s="26">
        <f t="shared" si="72"/>
        <v>8.6488735905713323</v>
      </c>
      <c r="H589" s="26">
        <f t="shared" si="79"/>
        <v>5.7899999999999885</v>
      </c>
      <c r="I589" s="26">
        <f t="shared" si="73"/>
        <v>13.209</v>
      </c>
      <c r="J589" t="str">
        <f t="shared" si="74"/>
        <v>Heating</v>
      </c>
      <c r="K589" s="26" t="str">
        <f t="shared" si="75"/>
        <v/>
      </c>
      <c r="L589" s="26" t="str">
        <f t="shared" si="76"/>
        <v/>
      </c>
      <c r="N589" t="e">
        <f t="shared" si="77"/>
        <v>#N/A</v>
      </c>
      <c r="O589" t="e">
        <f t="shared" si="78"/>
        <v>#N/A</v>
      </c>
    </row>
    <row r="590" spans="1:15">
      <c r="A590" s="25">
        <v>46299.385416666657</v>
      </c>
      <c r="B590">
        <v>18.559999999999999</v>
      </c>
      <c r="C590">
        <v>52.6</v>
      </c>
      <c r="D590">
        <v>941.58799999999997</v>
      </c>
      <c r="E590">
        <v>5.25</v>
      </c>
      <c r="F590">
        <v>101.25</v>
      </c>
      <c r="G590" s="26">
        <f t="shared" si="72"/>
        <v>8.6836393225469592</v>
      </c>
      <c r="H590" s="26">
        <f t="shared" si="79"/>
        <v>7.4549999999999983</v>
      </c>
      <c r="I590" s="26">
        <f t="shared" si="73"/>
        <v>13.309999999999999</v>
      </c>
      <c r="J590" t="str">
        <f t="shared" si="74"/>
        <v>Heating</v>
      </c>
      <c r="K590" s="26" t="str">
        <f t="shared" si="75"/>
        <v/>
      </c>
      <c r="L590" s="26" t="str">
        <f t="shared" si="76"/>
        <v/>
      </c>
      <c r="N590" t="e">
        <f t="shared" si="77"/>
        <v>#N/A</v>
      </c>
      <c r="O590" t="e">
        <f t="shared" si="78"/>
        <v>#N/A</v>
      </c>
    </row>
    <row r="591" spans="1:15">
      <c r="A591" s="25">
        <v>46299.386111111111</v>
      </c>
      <c r="B591">
        <v>18.698</v>
      </c>
      <c r="C591">
        <v>52.161999999999999</v>
      </c>
      <c r="D591">
        <v>941.61199999999997</v>
      </c>
      <c r="E591">
        <v>5.2869999999999999</v>
      </c>
      <c r="F591">
        <v>103.2</v>
      </c>
      <c r="G591" s="26">
        <f t="shared" si="72"/>
        <v>8.6876560265740395</v>
      </c>
      <c r="H591" s="26">
        <f t="shared" si="79"/>
        <v>7.4250000000000149</v>
      </c>
      <c r="I591" s="26">
        <f t="shared" si="73"/>
        <v>13.411000000000001</v>
      </c>
      <c r="J591" t="str">
        <f t="shared" si="74"/>
        <v>Heating</v>
      </c>
      <c r="K591" s="26" t="str">
        <f t="shared" si="75"/>
        <v/>
      </c>
      <c r="L591" s="26" t="str">
        <f t="shared" si="76"/>
        <v/>
      </c>
      <c r="N591" t="e">
        <f t="shared" si="77"/>
        <v>#N/A</v>
      </c>
      <c r="O591" t="e">
        <f t="shared" si="78"/>
        <v>#N/A</v>
      </c>
    </row>
    <row r="592" spans="1:15">
      <c r="A592" s="25">
        <v>46299.386805555558</v>
      </c>
      <c r="B592">
        <v>18.844999999999999</v>
      </c>
      <c r="C592">
        <v>51.841999999999999</v>
      </c>
      <c r="D592">
        <v>941.59500000000003</v>
      </c>
      <c r="E592">
        <v>5.3230000000000004</v>
      </c>
      <c r="F592">
        <v>105.15</v>
      </c>
      <c r="G592" s="26">
        <f t="shared" si="72"/>
        <v>8.7325281323998585</v>
      </c>
      <c r="H592" s="26">
        <f t="shared" si="79"/>
        <v>6.3750000000000107</v>
      </c>
      <c r="I592" s="26">
        <f t="shared" si="73"/>
        <v>13.521999999999998</v>
      </c>
      <c r="J592" t="str">
        <f t="shared" si="74"/>
        <v>Heating</v>
      </c>
      <c r="K592" s="26" t="str">
        <f t="shared" si="75"/>
        <v/>
      </c>
      <c r="L592" s="26" t="str">
        <f t="shared" si="76"/>
        <v/>
      </c>
      <c r="N592" t="e">
        <f t="shared" si="77"/>
        <v>#N/A</v>
      </c>
      <c r="O592" t="e">
        <f t="shared" si="78"/>
        <v>#N/A</v>
      </c>
    </row>
    <row r="593" spans="1:15">
      <c r="A593" s="25">
        <v>46299.387499999997</v>
      </c>
      <c r="B593">
        <v>18.917000000000002</v>
      </c>
      <c r="C593">
        <v>51.351999999999997</v>
      </c>
      <c r="D593">
        <v>941.53700000000003</v>
      </c>
      <c r="E593">
        <v>5.36</v>
      </c>
      <c r="F593">
        <v>107.1</v>
      </c>
      <c r="G593" s="26">
        <f t="shared" si="72"/>
        <v>8.658543441456235</v>
      </c>
      <c r="H593" s="26">
        <f t="shared" si="79"/>
        <v>4.4100000000000072</v>
      </c>
      <c r="I593" s="26">
        <f t="shared" si="73"/>
        <v>13.557000000000002</v>
      </c>
      <c r="J593" t="str">
        <f t="shared" si="74"/>
        <v>Heating</v>
      </c>
      <c r="K593" s="26" t="str">
        <f t="shared" si="75"/>
        <v/>
      </c>
      <c r="L593" s="26" t="str">
        <f t="shared" si="76"/>
        <v/>
      </c>
      <c r="N593" t="e">
        <f t="shared" si="77"/>
        <v>#N/A</v>
      </c>
      <c r="O593" t="e">
        <f t="shared" si="78"/>
        <v>#N/A</v>
      </c>
    </row>
    <row r="594" spans="1:15">
      <c r="A594" s="25">
        <v>46299.388194444437</v>
      </c>
      <c r="B594">
        <v>18.984999999999999</v>
      </c>
      <c r="C594">
        <v>51.582000000000001</v>
      </c>
      <c r="D594">
        <v>941.572</v>
      </c>
      <c r="E594">
        <v>5.3970000000000002</v>
      </c>
      <c r="F594">
        <v>109.05</v>
      </c>
      <c r="G594" s="26">
        <f t="shared" si="72"/>
        <v>8.7874643693649706</v>
      </c>
      <c r="H594" s="26">
        <f t="shared" si="79"/>
        <v>2.3550000000000004</v>
      </c>
      <c r="I594" s="26">
        <f t="shared" si="73"/>
        <v>13.587999999999999</v>
      </c>
      <c r="J594" t="str">
        <f t="shared" si="74"/>
        <v>Heating</v>
      </c>
      <c r="K594" s="26" t="str">
        <f t="shared" si="75"/>
        <v/>
      </c>
      <c r="L594" s="26" t="str">
        <f t="shared" si="76"/>
        <v/>
      </c>
      <c r="N594" t="e">
        <f t="shared" si="77"/>
        <v>#N/A</v>
      </c>
      <c r="O594" t="e">
        <f t="shared" si="78"/>
        <v>#N/A</v>
      </c>
    </row>
    <row r="595" spans="1:15">
      <c r="A595" s="25">
        <v>46299.388888888891</v>
      </c>
      <c r="B595">
        <v>18.992000000000001</v>
      </c>
      <c r="C595">
        <v>52.244999999999997</v>
      </c>
      <c r="D595">
        <v>941.56799999999998</v>
      </c>
      <c r="E595">
        <v>5.4329999999999998</v>
      </c>
      <c r="F595">
        <v>111</v>
      </c>
      <c r="G595" s="26">
        <f t="shared" si="72"/>
        <v>8.9831587788274714</v>
      </c>
      <c r="H595" s="26">
        <f t="shared" si="79"/>
        <v>0.86999999999999744</v>
      </c>
      <c r="I595" s="26">
        <f t="shared" si="73"/>
        <v>13.559000000000001</v>
      </c>
      <c r="J595" t="str">
        <f t="shared" si="74"/>
        <v>Heating</v>
      </c>
      <c r="K595" s="26" t="str">
        <f t="shared" si="75"/>
        <v/>
      </c>
      <c r="L595" s="26" t="str">
        <f t="shared" si="76"/>
        <v/>
      </c>
      <c r="N595" t="e">
        <f t="shared" si="77"/>
        <v>#N/A</v>
      </c>
      <c r="O595" t="e">
        <f t="shared" si="78"/>
        <v>#N/A</v>
      </c>
    </row>
    <row r="596" spans="1:15">
      <c r="A596" s="25">
        <v>46299.38958333333</v>
      </c>
      <c r="B596">
        <v>19.001999999999999</v>
      </c>
      <c r="C596">
        <v>52.271999999999998</v>
      </c>
      <c r="D596">
        <v>941.51700000000005</v>
      </c>
      <c r="E596">
        <v>5.47</v>
      </c>
      <c r="F596">
        <v>112.95</v>
      </c>
      <c r="G596" s="26">
        <f t="shared" si="72"/>
        <v>9.0000711290933122</v>
      </c>
      <c r="H596" s="26">
        <f t="shared" si="79"/>
        <v>-1.1999999999999744</v>
      </c>
      <c r="I596" s="26">
        <f t="shared" si="73"/>
        <v>13.532</v>
      </c>
      <c r="J596" t="str">
        <f t="shared" si="74"/>
        <v>Cooling</v>
      </c>
      <c r="K596" s="26">
        <f t="shared" si="75"/>
        <v>13.532</v>
      </c>
      <c r="L596" s="26">
        <f t="shared" si="76"/>
        <v>-1.1999999999999744</v>
      </c>
      <c r="N596">
        <f t="shared" si="77"/>
        <v>13.532</v>
      </c>
      <c r="O596">
        <f t="shared" si="78"/>
        <v>-1.1999999999999744</v>
      </c>
    </row>
    <row r="597" spans="1:15">
      <c r="A597" s="25">
        <v>46299.390277777777</v>
      </c>
      <c r="B597">
        <v>18.975000000000001</v>
      </c>
      <c r="C597">
        <v>53.451999999999998</v>
      </c>
      <c r="D597">
        <v>941.50699999999995</v>
      </c>
      <c r="E597">
        <v>5.5069999999999997</v>
      </c>
      <c r="F597">
        <v>114.9</v>
      </c>
      <c r="G597" s="26">
        <f t="shared" si="72"/>
        <v>9.3065087921634397</v>
      </c>
      <c r="H597" s="26">
        <f t="shared" si="79"/>
        <v>-2.1299999999999919</v>
      </c>
      <c r="I597" s="26">
        <f t="shared" si="73"/>
        <v>13.468000000000002</v>
      </c>
      <c r="J597" t="str">
        <f t="shared" si="74"/>
        <v>Cooling</v>
      </c>
      <c r="K597" s="26">
        <f t="shared" si="75"/>
        <v>13.468000000000002</v>
      </c>
      <c r="L597" s="26">
        <f t="shared" si="76"/>
        <v>-2.1299999999999919</v>
      </c>
      <c r="N597">
        <f t="shared" si="77"/>
        <v>13.468000000000002</v>
      </c>
      <c r="O597">
        <f t="shared" si="78"/>
        <v>-2.1299999999999919</v>
      </c>
    </row>
    <row r="598" spans="1:15">
      <c r="A598" s="25">
        <v>46299.390972222223</v>
      </c>
      <c r="B598">
        <v>18.905000000000001</v>
      </c>
      <c r="C598">
        <v>56.037999999999997</v>
      </c>
      <c r="D598">
        <v>941.48</v>
      </c>
      <c r="E598">
        <v>5.5430000000000001</v>
      </c>
      <c r="F598">
        <v>116.85</v>
      </c>
      <c r="G598" s="26">
        <f t="shared" si="72"/>
        <v>9.9455246189714082</v>
      </c>
      <c r="H598" s="26">
        <f t="shared" si="79"/>
        <v>-2.9099999999999859</v>
      </c>
      <c r="I598" s="26">
        <f t="shared" si="73"/>
        <v>13.362000000000002</v>
      </c>
      <c r="J598" t="str">
        <f t="shared" si="74"/>
        <v>Cooling</v>
      </c>
      <c r="K598" s="26">
        <f t="shared" si="75"/>
        <v>13.362000000000002</v>
      </c>
      <c r="L598" s="26">
        <f t="shared" si="76"/>
        <v>-2.9099999999999859</v>
      </c>
      <c r="N598">
        <f t="shared" si="77"/>
        <v>13.362000000000002</v>
      </c>
      <c r="O598">
        <f t="shared" si="78"/>
        <v>-2.9099999999999859</v>
      </c>
    </row>
    <row r="599" spans="1:15">
      <c r="A599" s="25">
        <v>46299.39166666667</v>
      </c>
      <c r="B599">
        <v>18.850000000000001</v>
      </c>
      <c r="C599">
        <v>57.652999999999999</v>
      </c>
      <c r="D599">
        <v>941.52</v>
      </c>
      <c r="E599">
        <v>5.58</v>
      </c>
      <c r="F599">
        <v>118.8</v>
      </c>
      <c r="G599" s="26">
        <f t="shared" si="72"/>
        <v>10.319275390734216</v>
      </c>
      <c r="H599" s="26">
        <f t="shared" si="79"/>
        <v>-3.1500000000000128</v>
      </c>
      <c r="I599" s="26">
        <f t="shared" si="73"/>
        <v>13.270000000000001</v>
      </c>
      <c r="J599" t="str">
        <f t="shared" si="74"/>
        <v>Cooling</v>
      </c>
      <c r="K599" s="26">
        <f t="shared" si="75"/>
        <v>13.270000000000001</v>
      </c>
      <c r="L599" s="26">
        <f t="shared" si="76"/>
        <v>-3.1500000000000128</v>
      </c>
      <c r="N599">
        <f t="shared" si="77"/>
        <v>13.270000000000001</v>
      </c>
      <c r="O599">
        <f t="shared" si="78"/>
        <v>-3.1500000000000128</v>
      </c>
    </row>
    <row r="600" spans="1:15">
      <c r="A600" s="25">
        <v>46299.392361111109</v>
      </c>
      <c r="B600">
        <v>18.808</v>
      </c>
      <c r="C600">
        <v>57.762999999999998</v>
      </c>
      <c r="D600">
        <v>941.48699999999997</v>
      </c>
      <c r="E600">
        <v>5.617</v>
      </c>
      <c r="F600">
        <v>120.75</v>
      </c>
      <c r="G600" s="26">
        <f t="shared" si="72"/>
        <v>10.308525464418645</v>
      </c>
      <c r="H600" s="26">
        <f t="shared" si="79"/>
        <v>-2.5950000000000273</v>
      </c>
      <c r="I600" s="26">
        <f t="shared" si="73"/>
        <v>13.190999999999999</v>
      </c>
      <c r="J600" t="str">
        <f t="shared" si="74"/>
        <v>Cooling</v>
      </c>
      <c r="K600" s="26">
        <f t="shared" si="75"/>
        <v>13.190999999999999</v>
      </c>
      <c r="L600" s="26">
        <f t="shared" si="76"/>
        <v>-2.5950000000000273</v>
      </c>
      <c r="N600">
        <f t="shared" si="77"/>
        <v>13.190999999999999</v>
      </c>
      <c r="O600">
        <f t="shared" si="78"/>
        <v>-2.5950000000000273</v>
      </c>
    </row>
    <row r="601" spans="1:15">
      <c r="A601" s="25">
        <v>46299.393055555563</v>
      </c>
      <c r="B601">
        <v>18.765000000000001</v>
      </c>
      <c r="C601">
        <v>57.453000000000003</v>
      </c>
      <c r="D601">
        <v>941.45299999999997</v>
      </c>
      <c r="E601">
        <v>5.6529999999999996</v>
      </c>
      <c r="F601">
        <v>122.7</v>
      </c>
      <c r="G601" s="26">
        <f t="shared" si="72"/>
        <v>10.187690286615382</v>
      </c>
      <c r="H601" s="26">
        <f t="shared" si="79"/>
        <v>-2.2050000000000303</v>
      </c>
      <c r="I601" s="26">
        <f t="shared" si="73"/>
        <v>13.112000000000002</v>
      </c>
      <c r="J601" t="str">
        <f t="shared" si="74"/>
        <v>Cooling</v>
      </c>
      <c r="K601" s="26">
        <f t="shared" si="75"/>
        <v>13.112000000000002</v>
      </c>
      <c r="L601" s="26">
        <f t="shared" si="76"/>
        <v>-2.2050000000000303</v>
      </c>
      <c r="N601">
        <f t="shared" si="77"/>
        <v>13.112000000000002</v>
      </c>
      <c r="O601">
        <f t="shared" si="78"/>
        <v>-2.2050000000000303</v>
      </c>
    </row>
    <row r="602" spans="1:15">
      <c r="A602" s="25">
        <v>46299.393750000003</v>
      </c>
      <c r="B602">
        <v>18.731999999999999</v>
      </c>
      <c r="C602">
        <v>57.271999999999998</v>
      </c>
      <c r="D602">
        <v>941.47799999999995</v>
      </c>
      <c r="E602">
        <v>5.69</v>
      </c>
      <c r="F602">
        <v>124.65</v>
      </c>
      <c r="G602" s="26">
        <f t="shared" si="72"/>
        <v>10.10960210047333</v>
      </c>
      <c r="H602" s="26">
        <f t="shared" si="79"/>
        <v>-1.9200000000000017</v>
      </c>
      <c r="I602" s="26">
        <f t="shared" si="73"/>
        <v>13.041999999999998</v>
      </c>
      <c r="J602" t="str">
        <f t="shared" si="74"/>
        <v>Cooling</v>
      </c>
      <c r="K602" s="26">
        <f t="shared" si="75"/>
        <v>13.041999999999998</v>
      </c>
      <c r="L602" s="26">
        <f t="shared" si="76"/>
        <v>-1.9200000000000017</v>
      </c>
      <c r="N602">
        <f t="shared" si="77"/>
        <v>13.041999999999998</v>
      </c>
      <c r="O602">
        <f t="shared" si="78"/>
        <v>-1.9200000000000017</v>
      </c>
    </row>
    <row r="603" spans="1:15">
      <c r="A603" s="25">
        <v>46299.394444444442</v>
      </c>
      <c r="B603">
        <v>18.702999999999999</v>
      </c>
      <c r="C603">
        <v>56.887</v>
      </c>
      <c r="D603">
        <v>941.46799999999996</v>
      </c>
      <c r="E603">
        <v>5.7270000000000003</v>
      </c>
      <c r="F603">
        <v>126.6</v>
      </c>
      <c r="G603" s="26">
        <f t="shared" si="72"/>
        <v>9.9816338073136475</v>
      </c>
      <c r="H603" s="26">
        <f t="shared" si="79"/>
        <v>-1.6499999999999915</v>
      </c>
      <c r="I603" s="26">
        <f t="shared" si="73"/>
        <v>12.975999999999999</v>
      </c>
      <c r="J603" t="str">
        <f t="shared" si="74"/>
        <v>Cooling</v>
      </c>
      <c r="K603" s="26">
        <f t="shared" si="75"/>
        <v>12.975999999999999</v>
      </c>
      <c r="L603" s="26">
        <f t="shared" si="76"/>
        <v>-1.6499999999999915</v>
      </c>
      <c r="N603">
        <f t="shared" si="77"/>
        <v>12.975999999999999</v>
      </c>
      <c r="O603">
        <f t="shared" si="78"/>
        <v>-1.6499999999999915</v>
      </c>
    </row>
    <row r="604" spans="1:15">
      <c r="A604" s="25">
        <v>46299.395138888889</v>
      </c>
      <c r="B604">
        <v>18.68</v>
      </c>
      <c r="C604">
        <v>57.018000000000001</v>
      </c>
      <c r="D604">
        <v>941.45</v>
      </c>
      <c r="E604">
        <v>5.7629999999999999</v>
      </c>
      <c r="F604">
        <v>128.55000000000001</v>
      </c>
      <c r="G604" s="26">
        <f t="shared" si="72"/>
        <v>9.9945167071967429</v>
      </c>
      <c r="H604" s="26">
        <f t="shared" si="79"/>
        <v>-1.3499999999999979</v>
      </c>
      <c r="I604" s="26">
        <f t="shared" si="73"/>
        <v>12.917</v>
      </c>
      <c r="J604" t="str">
        <f t="shared" si="74"/>
        <v>Cooling</v>
      </c>
      <c r="K604" s="26">
        <f t="shared" si="75"/>
        <v>12.917</v>
      </c>
      <c r="L604" s="26">
        <f t="shared" si="76"/>
        <v>-1.3499999999999979</v>
      </c>
      <c r="N604">
        <f t="shared" si="77"/>
        <v>12.917</v>
      </c>
      <c r="O604">
        <f t="shared" si="78"/>
        <v>-1.3499999999999979</v>
      </c>
    </row>
    <row r="605" spans="1:15">
      <c r="A605" s="25">
        <v>46299.395833333343</v>
      </c>
      <c r="B605">
        <v>18.655000000000001</v>
      </c>
      <c r="C605">
        <v>57.097999999999999</v>
      </c>
      <c r="D605">
        <v>941.48</v>
      </c>
      <c r="E605">
        <v>5.8</v>
      </c>
      <c r="F605">
        <v>130.5</v>
      </c>
      <c r="G605" s="26">
        <f t="shared" si="72"/>
        <v>9.9921031308885357</v>
      </c>
      <c r="H605" s="26">
        <f t="shared" si="79"/>
        <v>-1.1999999999999744</v>
      </c>
      <c r="I605" s="26">
        <f t="shared" si="73"/>
        <v>12.855</v>
      </c>
      <c r="J605" t="str">
        <f t="shared" si="74"/>
        <v>Cooling</v>
      </c>
      <c r="K605" s="26">
        <f t="shared" si="75"/>
        <v>12.855</v>
      </c>
      <c r="L605" s="26">
        <f t="shared" si="76"/>
        <v>-1.1999999999999744</v>
      </c>
      <c r="N605">
        <f t="shared" si="77"/>
        <v>12.855</v>
      </c>
      <c r="O605">
        <f t="shared" si="78"/>
        <v>-1.1999999999999744</v>
      </c>
    </row>
    <row r="606" spans="1:15">
      <c r="A606" s="25">
        <v>46299.396527777782</v>
      </c>
      <c r="B606">
        <v>18.641999999999999</v>
      </c>
      <c r="C606">
        <v>56.682000000000002</v>
      </c>
      <c r="D606">
        <v>941.48500000000001</v>
      </c>
      <c r="E606">
        <v>5.8369999999999997</v>
      </c>
      <c r="F606">
        <v>132.44999999999999</v>
      </c>
      <c r="G606" s="26">
        <f t="shared" si="72"/>
        <v>9.8707113686268961</v>
      </c>
      <c r="H606" s="26">
        <f t="shared" si="79"/>
        <v>-1.2750000000000128</v>
      </c>
      <c r="I606" s="26">
        <f t="shared" si="73"/>
        <v>12.805</v>
      </c>
      <c r="J606" t="str">
        <f t="shared" si="74"/>
        <v>Cooling</v>
      </c>
      <c r="K606" s="26">
        <f t="shared" si="75"/>
        <v>12.805</v>
      </c>
      <c r="L606" s="26">
        <f t="shared" si="76"/>
        <v>-1.2750000000000128</v>
      </c>
      <c r="N606">
        <f t="shared" si="77"/>
        <v>12.805</v>
      </c>
      <c r="O606">
        <f t="shared" si="78"/>
        <v>-1.2750000000000128</v>
      </c>
    </row>
    <row r="607" spans="1:15">
      <c r="A607" s="25">
        <v>46299.397222222222</v>
      </c>
      <c r="B607">
        <v>18.623000000000001</v>
      </c>
      <c r="C607">
        <v>56.774999999999999</v>
      </c>
      <c r="D607">
        <v>941.46</v>
      </c>
      <c r="E607">
        <v>5.8730000000000002</v>
      </c>
      <c r="F607">
        <v>134.4</v>
      </c>
      <c r="G607" s="26">
        <f t="shared" si="72"/>
        <v>9.8774425112858673</v>
      </c>
      <c r="H607" s="26">
        <f t="shared" si="79"/>
        <v>-1.0800000000000409</v>
      </c>
      <c r="I607" s="26">
        <f t="shared" si="73"/>
        <v>12.75</v>
      </c>
      <c r="J607" t="str">
        <f t="shared" si="74"/>
        <v>Cooling</v>
      </c>
      <c r="K607" s="26">
        <f t="shared" si="75"/>
        <v>12.75</v>
      </c>
      <c r="L607" s="26">
        <f t="shared" si="76"/>
        <v>-1.0800000000000409</v>
      </c>
      <c r="N607">
        <f t="shared" si="77"/>
        <v>12.75</v>
      </c>
      <c r="O607">
        <f t="shared" si="78"/>
        <v>-1.0800000000000409</v>
      </c>
    </row>
    <row r="608" spans="1:15">
      <c r="A608" s="25">
        <v>46299.397916666669</v>
      </c>
      <c r="B608">
        <v>18.594999999999999</v>
      </c>
      <c r="C608">
        <v>56.923000000000002</v>
      </c>
      <c r="D608">
        <v>941.46799999999996</v>
      </c>
      <c r="E608">
        <v>5.91</v>
      </c>
      <c r="F608">
        <v>136.35</v>
      </c>
      <c r="G608" s="26">
        <f t="shared" si="72"/>
        <v>9.8901574966431056</v>
      </c>
      <c r="H608" s="26">
        <f t="shared" si="79"/>
        <v>-1.0349999999999859</v>
      </c>
      <c r="I608" s="26">
        <f t="shared" si="73"/>
        <v>12.684999999999999</v>
      </c>
      <c r="J608" t="str">
        <f t="shared" si="74"/>
        <v>Cooling</v>
      </c>
      <c r="K608" s="26">
        <f t="shared" si="75"/>
        <v>12.684999999999999</v>
      </c>
      <c r="L608" s="26">
        <f t="shared" si="76"/>
        <v>-1.0349999999999859</v>
      </c>
      <c r="N608">
        <f t="shared" si="77"/>
        <v>12.684999999999999</v>
      </c>
      <c r="O608">
        <f t="shared" si="78"/>
        <v>-1.0349999999999859</v>
      </c>
    </row>
    <row r="609" spans="1:15">
      <c r="A609" s="25">
        <v>46299.398611111108</v>
      </c>
      <c r="B609">
        <v>18.582999999999998</v>
      </c>
      <c r="C609">
        <v>56.825000000000003</v>
      </c>
      <c r="D609">
        <v>941.46199999999999</v>
      </c>
      <c r="E609">
        <v>5.9470000000000001</v>
      </c>
      <c r="F609">
        <v>138.30000000000001</v>
      </c>
      <c r="G609" s="26">
        <f t="shared" si="72"/>
        <v>9.8532136303143965</v>
      </c>
      <c r="H609" s="26">
        <f t="shared" si="79"/>
        <v>-0.67500000000002558</v>
      </c>
      <c r="I609" s="26">
        <f t="shared" si="73"/>
        <v>12.635999999999999</v>
      </c>
      <c r="J609" t="str">
        <f t="shared" si="74"/>
        <v>Cooling</v>
      </c>
      <c r="K609" s="26">
        <f t="shared" si="75"/>
        <v>12.635999999999999</v>
      </c>
      <c r="L609" s="26">
        <f t="shared" si="76"/>
        <v>-0.67500000000002558</v>
      </c>
      <c r="N609">
        <f t="shared" si="77"/>
        <v>12.635999999999999</v>
      </c>
      <c r="O609">
        <f t="shared" si="78"/>
        <v>-0.67500000000002558</v>
      </c>
    </row>
    <row r="610" spans="1:15">
      <c r="A610" s="25">
        <v>46299.399305555547</v>
      </c>
      <c r="B610">
        <v>18.573</v>
      </c>
      <c r="C610">
        <v>56.591999999999999</v>
      </c>
      <c r="D610">
        <v>941.46199999999999</v>
      </c>
      <c r="E610">
        <v>5.9829999999999997</v>
      </c>
      <c r="F610">
        <v>140.25</v>
      </c>
      <c r="G610" s="26">
        <f t="shared" si="72"/>
        <v>9.7825447190164301</v>
      </c>
      <c r="H610" s="26">
        <f t="shared" si="79"/>
        <v>-0.44999999999996376</v>
      </c>
      <c r="I610" s="26">
        <f t="shared" si="73"/>
        <v>12.59</v>
      </c>
      <c r="J610" t="str">
        <f t="shared" si="74"/>
        <v>Cooling</v>
      </c>
      <c r="K610" s="26">
        <f t="shared" si="75"/>
        <v>12.59</v>
      </c>
      <c r="L610" s="26">
        <f t="shared" si="76"/>
        <v>-0.44999999999996376</v>
      </c>
      <c r="N610">
        <f t="shared" si="77"/>
        <v>12.59</v>
      </c>
      <c r="O610">
        <f t="shared" si="78"/>
        <v>-0.44999999999996376</v>
      </c>
    </row>
    <row r="611" spans="1:15">
      <c r="A611" s="25">
        <v>46299.4</v>
      </c>
      <c r="B611">
        <v>18.577999999999999</v>
      </c>
      <c r="C611">
        <v>56.89</v>
      </c>
      <c r="D611">
        <v>941.48299999999995</v>
      </c>
      <c r="E611">
        <v>6.02</v>
      </c>
      <c r="F611">
        <v>142.19999999999999</v>
      </c>
      <c r="G611" s="26">
        <f t="shared" si="72"/>
        <v>9.8656106715460403</v>
      </c>
      <c r="H611" s="26">
        <f t="shared" si="79"/>
        <v>-0.49499999999996547</v>
      </c>
      <c r="I611" s="26">
        <f t="shared" si="73"/>
        <v>12.558</v>
      </c>
      <c r="J611" t="str">
        <f t="shared" si="74"/>
        <v>Cooling</v>
      </c>
      <c r="K611" s="26">
        <f t="shared" si="75"/>
        <v>12.558</v>
      </c>
      <c r="L611" s="26">
        <f t="shared" si="76"/>
        <v>-0.49499999999996547</v>
      </c>
      <c r="N611">
        <f t="shared" si="77"/>
        <v>12.558</v>
      </c>
      <c r="O611">
        <f t="shared" si="78"/>
        <v>-0.49499999999996547</v>
      </c>
    </row>
    <row r="612" spans="1:15">
      <c r="A612" s="25">
        <v>46299.400694444441</v>
      </c>
      <c r="B612">
        <v>18.565000000000001</v>
      </c>
      <c r="C612">
        <v>56.954999999999998</v>
      </c>
      <c r="D612">
        <v>941.47299999999996</v>
      </c>
      <c r="E612">
        <v>6.0570000000000004</v>
      </c>
      <c r="F612">
        <v>144.15</v>
      </c>
      <c r="G612" s="26">
        <f t="shared" si="72"/>
        <v>9.8705121891182195</v>
      </c>
      <c r="H612" s="26">
        <f t="shared" si="79"/>
        <v>-9.0000000000003411E-2</v>
      </c>
      <c r="I612" s="26">
        <f t="shared" si="73"/>
        <v>12.508000000000001</v>
      </c>
      <c r="J612" t="str">
        <f t="shared" si="74"/>
        <v>Steady</v>
      </c>
      <c r="K612" s="26" t="str">
        <f t="shared" si="75"/>
        <v/>
      </c>
      <c r="L612" s="26" t="str">
        <f t="shared" si="76"/>
        <v/>
      </c>
      <c r="N612" t="e">
        <f t="shared" si="77"/>
        <v>#N/A</v>
      </c>
      <c r="O612" t="e">
        <f t="shared" si="78"/>
        <v>#N/A</v>
      </c>
    </row>
    <row r="613" spans="1:15">
      <c r="A613" s="25">
        <v>46299.401388888888</v>
      </c>
      <c r="B613">
        <v>18.55</v>
      </c>
      <c r="C613">
        <v>56.692</v>
      </c>
      <c r="D613">
        <v>941.46199999999999</v>
      </c>
      <c r="E613">
        <v>6.093</v>
      </c>
      <c r="F613">
        <v>146.1</v>
      </c>
      <c r="G613" s="26">
        <f t="shared" si="72"/>
        <v>9.7874068765086886</v>
      </c>
      <c r="H613" s="26">
        <f t="shared" si="79"/>
        <v>-0.38999999999999702</v>
      </c>
      <c r="I613" s="26">
        <f t="shared" si="73"/>
        <v>12.457000000000001</v>
      </c>
      <c r="J613" t="str">
        <f t="shared" si="74"/>
        <v>Cooling</v>
      </c>
      <c r="K613" s="26">
        <f t="shared" si="75"/>
        <v>12.457000000000001</v>
      </c>
      <c r="L613" s="26">
        <f t="shared" si="76"/>
        <v>-0.38999999999999702</v>
      </c>
      <c r="N613">
        <f t="shared" si="77"/>
        <v>12.457000000000001</v>
      </c>
      <c r="O613">
        <f t="shared" si="78"/>
        <v>-0.38999999999999702</v>
      </c>
    </row>
    <row r="614" spans="1:15">
      <c r="A614" s="25">
        <v>46299.402083333327</v>
      </c>
      <c r="B614">
        <v>18.567</v>
      </c>
      <c r="C614">
        <v>56.854999999999997</v>
      </c>
      <c r="D614">
        <v>941.48199999999997</v>
      </c>
      <c r="E614">
        <v>6.13</v>
      </c>
      <c r="F614">
        <v>148.05000000000001</v>
      </c>
      <c r="G614" s="26">
        <f t="shared" si="72"/>
        <v>9.8461430222362285</v>
      </c>
      <c r="H614" s="26">
        <f t="shared" si="79"/>
        <v>-0.48000000000000043</v>
      </c>
      <c r="I614" s="26">
        <f t="shared" si="73"/>
        <v>12.437000000000001</v>
      </c>
      <c r="J614" t="str">
        <f t="shared" si="74"/>
        <v>Cooling</v>
      </c>
      <c r="K614" s="26">
        <f t="shared" si="75"/>
        <v>12.437000000000001</v>
      </c>
      <c r="L614" s="26">
        <f t="shared" si="76"/>
        <v>-0.48000000000000043</v>
      </c>
      <c r="N614">
        <f t="shared" si="77"/>
        <v>12.437000000000001</v>
      </c>
      <c r="O614">
        <f t="shared" si="78"/>
        <v>-0.48000000000000043</v>
      </c>
    </row>
    <row r="615" spans="1:15">
      <c r="A615" s="25">
        <v>46299.402777777781</v>
      </c>
      <c r="B615">
        <v>18.552</v>
      </c>
      <c r="C615">
        <v>56.898000000000003</v>
      </c>
      <c r="D615">
        <v>941.51800000000003</v>
      </c>
      <c r="E615">
        <v>6.1669999999999998</v>
      </c>
      <c r="F615">
        <v>150</v>
      </c>
      <c r="G615" s="26">
        <f t="shared" si="72"/>
        <v>9.8434126574962093</v>
      </c>
      <c r="H615" s="26">
        <f t="shared" si="79"/>
        <v>-4.5000000000001705E-2</v>
      </c>
      <c r="I615" s="26">
        <f t="shared" si="73"/>
        <v>12.385</v>
      </c>
      <c r="J615" t="str">
        <f t="shared" si="74"/>
        <v>Steady</v>
      </c>
      <c r="K615" s="26" t="str">
        <f t="shared" si="75"/>
        <v/>
      </c>
      <c r="L615" s="26" t="str">
        <f t="shared" si="76"/>
        <v/>
      </c>
      <c r="N615" t="e">
        <f t="shared" si="77"/>
        <v>#N/A</v>
      </c>
      <c r="O615" t="e">
        <f t="shared" si="78"/>
        <v>#N/A</v>
      </c>
    </row>
    <row r="616" spans="1:15">
      <c r="A616" s="25">
        <v>46299.40347222222</v>
      </c>
      <c r="B616">
        <v>18.533000000000001</v>
      </c>
      <c r="C616">
        <v>56.872</v>
      </c>
      <c r="D616">
        <v>941.50699999999995</v>
      </c>
      <c r="E616">
        <v>6.2030000000000003</v>
      </c>
      <c r="F616">
        <v>151.94999999999999</v>
      </c>
      <c r="G616" s="26">
        <f t="shared" si="72"/>
        <v>9.8188342125975012</v>
      </c>
      <c r="H616" s="26">
        <f t="shared" si="79"/>
        <v>-0.22500000000000853</v>
      </c>
      <c r="I616" s="26">
        <f t="shared" si="73"/>
        <v>12.330000000000002</v>
      </c>
      <c r="J616" t="str">
        <f t="shared" si="74"/>
        <v>Cooling</v>
      </c>
      <c r="K616" s="26">
        <f t="shared" si="75"/>
        <v>12.330000000000002</v>
      </c>
      <c r="L616" s="26">
        <f t="shared" si="76"/>
        <v>-0.22500000000000853</v>
      </c>
      <c r="N616">
        <f t="shared" si="77"/>
        <v>12.330000000000002</v>
      </c>
      <c r="O616">
        <f t="shared" si="78"/>
        <v>-0.22500000000000853</v>
      </c>
    </row>
    <row r="617" spans="1:15">
      <c r="A617" s="25">
        <v>46299.404166666667</v>
      </c>
      <c r="B617">
        <v>18.547000000000001</v>
      </c>
      <c r="C617">
        <v>56.875</v>
      </c>
      <c r="D617">
        <v>941.53</v>
      </c>
      <c r="E617">
        <v>6.24</v>
      </c>
      <c r="F617">
        <v>153.9</v>
      </c>
      <c r="G617" s="26">
        <f t="shared" si="72"/>
        <v>9.8327043430326633</v>
      </c>
      <c r="H617" s="26">
        <f t="shared" si="79"/>
        <v>-0.22500000000000853</v>
      </c>
      <c r="I617" s="26">
        <f t="shared" si="73"/>
        <v>12.307</v>
      </c>
      <c r="J617" t="str">
        <f t="shared" si="74"/>
        <v>Cooling</v>
      </c>
      <c r="K617" s="26">
        <f t="shared" si="75"/>
        <v>12.307</v>
      </c>
      <c r="L617" s="26">
        <f t="shared" si="76"/>
        <v>-0.22500000000000853</v>
      </c>
      <c r="N617">
        <f t="shared" si="77"/>
        <v>12.307</v>
      </c>
      <c r="O617">
        <f t="shared" si="78"/>
        <v>-0.22500000000000853</v>
      </c>
    </row>
    <row r="618" spans="1:15">
      <c r="A618" s="25">
        <v>46299.404861111107</v>
      </c>
      <c r="B618">
        <v>18.552</v>
      </c>
      <c r="C618">
        <v>56.74</v>
      </c>
      <c r="D618">
        <v>941.49800000000005</v>
      </c>
      <c r="E618">
        <v>6.2770000000000001</v>
      </c>
      <c r="F618">
        <v>155.85</v>
      </c>
      <c r="G618" s="26">
        <f t="shared" si="72"/>
        <v>9.8019051842714973</v>
      </c>
      <c r="H618" s="26">
        <f t="shared" si="79"/>
        <v>0.20999999999999019</v>
      </c>
      <c r="I618" s="26">
        <f t="shared" si="73"/>
        <v>12.274999999999999</v>
      </c>
      <c r="J618" t="str">
        <f t="shared" si="74"/>
        <v>Steady</v>
      </c>
      <c r="K618" s="26" t="str">
        <f t="shared" si="75"/>
        <v/>
      </c>
      <c r="L618" s="26" t="str">
        <f t="shared" si="76"/>
        <v/>
      </c>
      <c r="N618" t="e">
        <f t="shared" si="77"/>
        <v>#N/A</v>
      </c>
      <c r="O618" t="e">
        <f t="shared" si="78"/>
        <v>#N/A</v>
      </c>
    </row>
    <row r="619" spans="1:15">
      <c r="A619" s="25">
        <v>46299.405555555553</v>
      </c>
      <c r="B619">
        <v>18.536999999999999</v>
      </c>
      <c r="C619">
        <v>56.86</v>
      </c>
      <c r="D619">
        <v>941.46699999999998</v>
      </c>
      <c r="E619">
        <v>6.3129999999999997</v>
      </c>
      <c r="F619">
        <v>157.80000000000001</v>
      </c>
      <c r="G619" s="26">
        <f t="shared" si="72"/>
        <v>9.8194223169531174</v>
      </c>
      <c r="H619" s="26">
        <f t="shared" si="79"/>
        <v>-0.22500000000000853</v>
      </c>
      <c r="I619" s="26">
        <f t="shared" si="73"/>
        <v>12.224</v>
      </c>
      <c r="J619" t="str">
        <f t="shared" si="74"/>
        <v>Cooling</v>
      </c>
      <c r="K619" s="26">
        <f t="shared" si="75"/>
        <v>12.224</v>
      </c>
      <c r="L619" s="26">
        <f t="shared" si="76"/>
        <v>-0.22500000000000853</v>
      </c>
      <c r="N619">
        <f t="shared" si="77"/>
        <v>12.224</v>
      </c>
      <c r="O619">
        <f t="shared" si="78"/>
        <v>-0.22500000000000853</v>
      </c>
    </row>
    <row r="620" spans="1:15">
      <c r="A620" s="25">
        <v>46299.40625</v>
      </c>
      <c r="B620">
        <v>18.547000000000001</v>
      </c>
      <c r="C620">
        <v>56.758000000000003</v>
      </c>
      <c r="D620">
        <v>941.46799999999996</v>
      </c>
      <c r="E620">
        <v>6.35</v>
      </c>
      <c r="F620">
        <v>159.75</v>
      </c>
      <c r="G620" s="26">
        <f t="shared" si="72"/>
        <v>9.8019677468875503</v>
      </c>
      <c r="H620" s="26">
        <f t="shared" si="79"/>
        <v>-0.48000000000000043</v>
      </c>
      <c r="I620" s="26">
        <f t="shared" si="73"/>
        <v>12.197000000000001</v>
      </c>
      <c r="J620" t="str">
        <f t="shared" si="74"/>
        <v>Cooling</v>
      </c>
      <c r="K620" s="26">
        <f t="shared" si="75"/>
        <v>12.197000000000001</v>
      </c>
      <c r="L620" s="26">
        <f t="shared" si="76"/>
        <v>-0.48000000000000043</v>
      </c>
      <c r="N620">
        <f t="shared" si="77"/>
        <v>12.197000000000001</v>
      </c>
      <c r="O620">
        <f t="shared" si="78"/>
        <v>-0.48000000000000043</v>
      </c>
    </row>
    <row r="621" spans="1:15">
      <c r="A621" s="25">
        <v>46299.406944444447</v>
      </c>
      <c r="B621">
        <v>18.532</v>
      </c>
      <c r="C621">
        <v>56.811999999999998</v>
      </c>
      <c r="D621">
        <v>941.40499999999997</v>
      </c>
      <c r="E621">
        <v>6.3869999999999996</v>
      </c>
      <c r="F621">
        <v>161.69999999999999</v>
      </c>
      <c r="G621" s="26">
        <f t="shared" si="72"/>
        <v>9.8021453611899592</v>
      </c>
      <c r="H621" s="26">
        <f t="shared" si="79"/>
        <v>-5.9999999999966747E-2</v>
      </c>
      <c r="I621" s="26">
        <f t="shared" si="73"/>
        <v>12.145</v>
      </c>
      <c r="J621" t="str">
        <f t="shared" si="74"/>
        <v>Steady</v>
      </c>
      <c r="K621" s="26" t="str">
        <f t="shared" si="75"/>
        <v/>
      </c>
      <c r="L621" s="26" t="str">
        <f t="shared" si="76"/>
        <v/>
      </c>
      <c r="N621" t="e">
        <f t="shared" si="77"/>
        <v>#N/A</v>
      </c>
      <c r="O621" t="e">
        <f t="shared" si="78"/>
        <v>#N/A</v>
      </c>
    </row>
    <row r="622" spans="1:15">
      <c r="A622" s="25">
        <v>46299.407638888893</v>
      </c>
      <c r="B622">
        <v>18.52</v>
      </c>
      <c r="C622">
        <v>56.78</v>
      </c>
      <c r="D622">
        <v>941.375</v>
      </c>
      <c r="E622">
        <v>6.423</v>
      </c>
      <c r="F622">
        <v>163.65</v>
      </c>
      <c r="G622" s="26">
        <f t="shared" si="72"/>
        <v>9.7825253812880675</v>
      </c>
      <c r="H622" s="26">
        <f t="shared" si="79"/>
        <v>-0.10500000000002174</v>
      </c>
      <c r="I622" s="26">
        <f t="shared" si="73"/>
        <v>12.097</v>
      </c>
      <c r="J622" t="str">
        <f t="shared" si="74"/>
        <v>Steady</v>
      </c>
      <c r="K622" s="26" t="str">
        <f t="shared" si="75"/>
        <v/>
      </c>
      <c r="L622" s="26" t="str">
        <f t="shared" si="76"/>
        <v/>
      </c>
      <c r="N622" t="e">
        <f t="shared" si="77"/>
        <v>#N/A</v>
      </c>
      <c r="O622" t="e">
        <f t="shared" si="78"/>
        <v>#N/A</v>
      </c>
    </row>
    <row r="623" spans="1:15">
      <c r="A623" s="25">
        <v>46299.408333333333</v>
      </c>
      <c r="B623">
        <v>18.533000000000001</v>
      </c>
      <c r="C623">
        <v>56.84</v>
      </c>
      <c r="D623">
        <v>941.37</v>
      </c>
      <c r="E623">
        <v>6.46</v>
      </c>
      <c r="F623">
        <v>165.6</v>
      </c>
      <c r="G623" s="26">
        <f t="shared" si="72"/>
        <v>9.8104336448366212</v>
      </c>
      <c r="H623" s="26">
        <f t="shared" si="79"/>
        <v>7.4999999999985079E-2</v>
      </c>
      <c r="I623" s="26">
        <f t="shared" si="73"/>
        <v>12.073</v>
      </c>
      <c r="J623" t="str">
        <f t="shared" si="74"/>
        <v>Steady</v>
      </c>
      <c r="K623" s="26" t="str">
        <f t="shared" si="75"/>
        <v/>
      </c>
      <c r="L623" s="26" t="str">
        <f t="shared" si="76"/>
        <v/>
      </c>
      <c r="N623" t="e">
        <f t="shared" si="77"/>
        <v>#N/A</v>
      </c>
      <c r="O623" t="e">
        <f t="shared" si="78"/>
        <v>#N/A</v>
      </c>
    </row>
    <row r="624" spans="1:15">
      <c r="A624" s="25">
        <v>46299.40902777778</v>
      </c>
      <c r="B624">
        <v>18.54</v>
      </c>
      <c r="C624">
        <v>56.692</v>
      </c>
      <c r="D624">
        <v>941.31</v>
      </c>
      <c r="E624">
        <v>6.4969999999999999</v>
      </c>
      <c r="F624">
        <v>167.55</v>
      </c>
      <c r="G624" s="26">
        <f t="shared" si="72"/>
        <v>9.7780655923989865</v>
      </c>
      <c r="H624" s="26">
        <f t="shared" si="79"/>
        <v>0.29999999999999361</v>
      </c>
      <c r="I624" s="26">
        <f t="shared" si="73"/>
        <v>12.042999999999999</v>
      </c>
      <c r="J624" t="str">
        <f t="shared" si="74"/>
        <v>Steady</v>
      </c>
      <c r="K624" s="26" t="str">
        <f t="shared" si="75"/>
        <v/>
      </c>
      <c r="L624" s="26" t="str">
        <f t="shared" si="76"/>
        <v/>
      </c>
      <c r="N624" t="e">
        <f t="shared" si="77"/>
        <v>#N/A</v>
      </c>
      <c r="O624" t="e">
        <f t="shared" si="78"/>
        <v>#N/A</v>
      </c>
    </row>
    <row r="625" spans="1:15">
      <c r="A625" s="25">
        <v>46299.409722222219</v>
      </c>
      <c r="B625">
        <v>18.536999999999999</v>
      </c>
      <c r="C625">
        <v>56.712000000000003</v>
      </c>
      <c r="D625">
        <v>941.322</v>
      </c>
      <c r="E625">
        <v>6.5330000000000004</v>
      </c>
      <c r="F625">
        <v>169.5</v>
      </c>
      <c r="G625" s="26">
        <f t="shared" si="72"/>
        <v>9.7805262872269942</v>
      </c>
      <c r="H625" s="26">
        <f t="shared" si="79"/>
        <v>0.13500000000000512</v>
      </c>
      <c r="I625" s="26">
        <f t="shared" si="73"/>
        <v>12.003999999999998</v>
      </c>
      <c r="J625" t="str">
        <f t="shared" si="74"/>
        <v>Steady</v>
      </c>
      <c r="K625" s="26" t="str">
        <f t="shared" si="75"/>
        <v/>
      </c>
      <c r="L625" s="26" t="str">
        <f t="shared" si="76"/>
        <v/>
      </c>
      <c r="N625" t="e">
        <f t="shared" si="77"/>
        <v>#N/A</v>
      </c>
      <c r="O625" t="e">
        <f t="shared" si="78"/>
        <v>#N/A</v>
      </c>
    </row>
    <row r="626" spans="1:15">
      <c r="A626" s="25">
        <v>46299.410416666673</v>
      </c>
      <c r="B626">
        <v>18.54</v>
      </c>
      <c r="C626">
        <v>56.662999999999997</v>
      </c>
      <c r="D626">
        <v>941.30200000000002</v>
      </c>
      <c r="E626">
        <v>6.57</v>
      </c>
      <c r="F626">
        <v>171.45</v>
      </c>
      <c r="G626" s="26">
        <f t="shared" si="72"/>
        <v>9.7704310408338735</v>
      </c>
      <c r="H626" s="26">
        <f t="shared" si="79"/>
        <v>-7.4999999999985079E-2</v>
      </c>
      <c r="I626" s="26">
        <f t="shared" si="73"/>
        <v>11.969999999999999</v>
      </c>
      <c r="J626" t="str">
        <f t="shared" si="74"/>
        <v>Steady</v>
      </c>
      <c r="K626" s="26" t="str">
        <f t="shared" si="75"/>
        <v/>
      </c>
      <c r="L626" s="26" t="str">
        <f t="shared" si="76"/>
        <v/>
      </c>
      <c r="N626" t="e">
        <f t="shared" si="77"/>
        <v>#N/A</v>
      </c>
      <c r="O626" t="e">
        <f t="shared" si="78"/>
        <v>#N/A</v>
      </c>
    </row>
    <row r="627" spans="1:15">
      <c r="A627" s="25">
        <v>46299.411111111112</v>
      </c>
      <c r="B627">
        <v>18.542000000000002</v>
      </c>
      <c r="C627">
        <v>56.692999999999998</v>
      </c>
      <c r="D627">
        <v>941.25699999999995</v>
      </c>
      <c r="E627">
        <v>6.6070000000000002</v>
      </c>
      <c r="F627">
        <v>173.4</v>
      </c>
      <c r="G627" s="26">
        <f t="shared" si="72"/>
        <v>9.7801970539850487</v>
      </c>
      <c r="H627" s="26">
        <f t="shared" si="79"/>
        <v>7.5000000000038369E-2</v>
      </c>
      <c r="I627" s="26">
        <f t="shared" si="73"/>
        <v>11.935000000000002</v>
      </c>
      <c r="J627" t="str">
        <f t="shared" si="74"/>
        <v>Steady</v>
      </c>
      <c r="K627" s="26" t="str">
        <f t="shared" si="75"/>
        <v/>
      </c>
      <c r="L627" s="26" t="str">
        <f t="shared" si="76"/>
        <v/>
      </c>
      <c r="N627" t="e">
        <f t="shared" si="77"/>
        <v>#N/A</v>
      </c>
      <c r="O627" t="e">
        <f t="shared" si="78"/>
        <v>#N/A</v>
      </c>
    </row>
    <row r="628" spans="1:15">
      <c r="A628" s="25">
        <v>46299.411805555559</v>
      </c>
      <c r="B628">
        <v>18.535</v>
      </c>
      <c r="C628">
        <v>56.5</v>
      </c>
      <c r="D628">
        <v>941.26800000000003</v>
      </c>
      <c r="E628">
        <v>6.6429999999999998</v>
      </c>
      <c r="F628">
        <v>175.35</v>
      </c>
      <c r="G628" s="26">
        <f t="shared" si="72"/>
        <v>9.7227865841138588</v>
      </c>
      <c r="H628" s="26">
        <f t="shared" si="79"/>
        <v>-0.18000000000000682</v>
      </c>
      <c r="I628" s="26">
        <f t="shared" si="73"/>
        <v>11.891999999999999</v>
      </c>
      <c r="J628" t="str">
        <f t="shared" si="74"/>
        <v>Steady</v>
      </c>
      <c r="K628" s="26" t="str">
        <f t="shared" si="75"/>
        <v/>
      </c>
      <c r="L628" s="26" t="str">
        <f t="shared" si="76"/>
        <v/>
      </c>
      <c r="N628" t="e">
        <f t="shared" si="77"/>
        <v>#N/A</v>
      </c>
      <c r="O628" t="e">
        <f t="shared" si="78"/>
        <v>#N/A</v>
      </c>
    </row>
    <row r="629" spans="1:15">
      <c r="A629" s="25">
        <v>46299.412499999999</v>
      </c>
      <c r="B629">
        <v>18.542000000000002</v>
      </c>
      <c r="C629">
        <v>56.682000000000002</v>
      </c>
      <c r="D629">
        <v>941.21199999999999</v>
      </c>
      <c r="E629">
        <v>6.68</v>
      </c>
      <c r="F629">
        <v>177.3</v>
      </c>
      <c r="G629" s="26">
        <f t="shared" si="72"/>
        <v>9.7773015974024098</v>
      </c>
      <c r="H629" s="26">
        <f t="shared" si="79"/>
        <v>-0.18000000000000682</v>
      </c>
      <c r="I629" s="26">
        <f t="shared" si="73"/>
        <v>11.862000000000002</v>
      </c>
      <c r="J629" t="str">
        <f t="shared" si="74"/>
        <v>Steady</v>
      </c>
      <c r="K629" s="26" t="str">
        <f t="shared" si="75"/>
        <v/>
      </c>
      <c r="L629" s="26" t="str">
        <f t="shared" si="76"/>
        <v/>
      </c>
      <c r="N629" t="e">
        <f t="shared" si="77"/>
        <v>#N/A</v>
      </c>
      <c r="O629" t="e">
        <f t="shared" si="78"/>
        <v>#N/A</v>
      </c>
    </row>
    <row r="630" spans="1:15">
      <c r="A630" s="25">
        <v>46299.413194444453</v>
      </c>
      <c r="B630">
        <v>18.527999999999999</v>
      </c>
      <c r="C630">
        <v>56.578000000000003</v>
      </c>
      <c r="D630">
        <v>941.17</v>
      </c>
      <c r="E630">
        <v>6.7169999999999996</v>
      </c>
      <c r="F630">
        <v>179.25</v>
      </c>
      <c r="G630" s="26">
        <f t="shared" si="72"/>
        <v>9.7368271272747258</v>
      </c>
      <c r="H630" s="26">
        <f t="shared" si="79"/>
        <v>-0.15000000000002345</v>
      </c>
      <c r="I630" s="26">
        <f t="shared" si="73"/>
        <v>11.811</v>
      </c>
      <c r="J630" t="str">
        <f t="shared" si="74"/>
        <v>Steady</v>
      </c>
      <c r="K630" s="26" t="str">
        <f t="shared" si="75"/>
        <v/>
      </c>
      <c r="L630" s="26" t="str">
        <f t="shared" si="76"/>
        <v/>
      </c>
      <c r="N630" t="e">
        <f t="shared" si="77"/>
        <v>#N/A</v>
      </c>
      <c r="O630" t="e">
        <f t="shared" si="78"/>
        <v>#N/A</v>
      </c>
    </row>
    <row r="631" spans="1:15">
      <c r="A631" s="25">
        <v>46299.413888888892</v>
      </c>
      <c r="B631">
        <v>18.53</v>
      </c>
      <c r="C631">
        <v>56.58</v>
      </c>
      <c r="D631">
        <v>941.14700000000005</v>
      </c>
      <c r="E631">
        <v>6.7530000000000001</v>
      </c>
      <c r="F631">
        <v>181.2</v>
      </c>
      <c r="G631" s="26">
        <f t="shared" si="72"/>
        <v>9.7392222381290168</v>
      </c>
      <c r="H631" s="26">
        <f t="shared" si="79"/>
        <v>-0.28500000000002856</v>
      </c>
      <c r="I631" s="26">
        <f t="shared" si="73"/>
        <v>11.777000000000001</v>
      </c>
      <c r="J631" t="str">
        <f t="shared" si="74"/>
        <v>Cooling</v>
      </c>
      <c r="K631" s="26">
        <f t="shared" si="75"/>
        <v>11.777000000000001</v>
      </c>
      <c r="L631" s="26">
        <f t="shared" si="76"/>
        <v>-0.28500000000002856</v>
      </c>
      <c r="N631">
        <f t="shared" si="77"/>
        <v>11.777000000000001</v>
      </c>
      <c r="O631">
        <f t="shared" si="78"/>
        <v>-0.28500000000002856</v>
      </c>
    </row>
    <row r="632" spans="1:15">
      <c r="A632" s="25">
        <v>46299.414583333331</v>
      </c>
      <c r="B632">
        <v>18.524999999999999</v>
      </c>
      <c r="C632">
        <v>56.843000000000004</v>
      </c>
      <c r="D632">
        <v>941.125</v>
      </c>
      <c r="E632">
        <v>6.79</v>
      </c>
      <c r="F632">
        <v>183.15</v>
      </c>
      <c r="G632" s="26">
        <f t="shared" si="72"/>
        <v>9.8037459704336438</v>
      </c>
      <c r="H632" s="26">
        <f t="shared" si="79"/>
        <v>0.22500000000000853</v>
      </c>
      <c r="I632" s="26">
        <f t="shared" si="73"/>
        <v>11.734999999999999</v>
      </c>
      <c r="J632" t="str">
        <f t="shared" si="74"/>
        <v>Steady</v>
      </c>
      <c r="K632" s="26" t="str">
        <f t="shared" si="75"/>
        <v/>
      </c>
      <c r="L632" s="26" t="str">
        <f t="shared" si="76"/>
        <v/>
      </c>
      <c r="N632" t="e">
        <f t="shared" si="77"/>
        <v>#N/A</v>
      </c>
      <c r="O632" t="e">
        <f t="shared" si="78"/>
        <v>#N/A</v>
      </c>
    </row>
    <row r="633" spans="1:15">
      <c r="A633" s="25">
        <v>46299.415277777778</v>
      </c>
      <c r="B633">
        <v>18.523</v>
      </c>
      <c r="C633">
        <v>56.655000000000001</v>
      </c>
      <c r="D633">
        <v>941.08500000000004</v>
      </c>
      <c r="E633">
        <v>6.827</v>
      </c>
      <c r="F633">
        <v>185.1</v>
      </c>
      <c r="G633" s="26">
        <f t="shared" si="72"/>
        <v>9.7524453369919097</v>
      </c>
      <c r="H633" s="26">
        <f t="shared" si="79"/>
        <v>0.2549999999999919</v>
      </c>
      <c r="I633" s="26">
        <f t="shared" si="73"/>
        <v>11.696</v>
      </c>
      <c r="J633" t="str">
        <f t="shared" si="74"/>
        <v>Steady</v>
      </c>
      <c r="K633" s="26" t="str">
        <f t="shared" si="75"/>
        <v/>
      </c>
      <c r="L633" s="26" t="str">
        <f t="shared" si="76"/>
        <v/>
      </c>
      <c r="N633" t="e">
        <f t="shared" si="77"/>
        <v>#N/A</v>
      </c>
      <c r="O633" t="e">
        <f t="shared" si="78"/>
        <v>#N/A</v>
      </c>
    </row>
    <row r="634" spans="1:15">
      <c r="A634" s="25">
        <v>46299.415972222218</v>
      </c>
      <c r="B634">
        <v>18.542999999999999</v>
      </c>
      <c r="C634">
        <v>56.515000000000001</v>
      </c>
      <c r="D634">
        <v>941.11300000000006</v>
      </c>
      <c r="E634">
        <v>6.8630000000000004</v>
      </c>
      <c r="F634">
        <v>187.05</v>
      </c>
      <c r="G634" s="26">
        <f t="shared" si="72"/>
        <v>9.7342161009558907</v>
      </c>
      <c r="H634" s="26">
        <f t="shared" si="79"/>
        <v>0.19500000000002515</v>
      </c>
      <c r="I634" s="26">
        <f t="shared" si="73"/>
        <v>11.68</v>
      </c>
      <c r="J634" t="str">
        <f t="shared" si="74"/>
        <v>Steady</v>
      </c>
      <c r="K634" s="26" t="str">
        <f t="shared" si="75"/>
        <v/>
      </c>
      <c r="L634" s="26" t="str">
        <f t="shared" si="76"/>
        <v/>
      </c>
      <c r="N634" t="e">
        <f t="shared" si="77"/>
        <v>#N/A</v>
      </c>
      <c r="O634" t="e">
        <f t="shared" si="78"/>
        <v>#N/A</v>
      </c>
    </row>
    <row r="635" spans="1:15">
      <c r="A635" s="25">
        <v>46299.416666666657</v>
      </c>
      <c r="B635">
        <v>18.547000000000001</v>
      </c>
      <c r="C635">
        <v>56.737000000000002</v>
      </c>
      <c r="D635">
        <v>941.077</v>
      </c>
      <c r="E635">
        <v>6.9</v>
      </c>
      <c r="F635">
        <v>189</v>
      </c>
      <c r="G635" s="26">
        <f t="shared" si="72"/>
        <v>9.7964450078676855</v>
      </c>
      <c r="H635" s="26">
        <f t="shared" si="79"/>
        <v>0.43499999999999872</v>
      </c>
      <c r="I635" s="26">
        <f t="shared" si="73"/>
        <v>11.647</v>
      </c>
      <c r="J635" t="str">
        <f t="shared" si="74"/>
        <v>Steady</v>
      </c>
      <c r="K635" s="26" t="str">
        <f t="shared" si="75"/>
        <v/>
      </c>
      <c r="L635" s="26" t="str">
        <f t="shared" si="76"/>
        <v/>
      </c>
      <c r="N635" t="e">
        <f t="shared" si="77"/>
        <v>#N/A</v>
      </c>
      <c r="O635" t="e">
        <f t="shared" si="78"/>
        <v>#N/A</v>
      </c>
    </row>
    <row r="636" spans="1:15">
      <c r="A636" s="25">
        <v>46299.417361111111</v>
      </c>
      <c r="B636">
        <v>18.538</v>
      </c>
      <c r="C636">
        <v>56.91</v>
      </c>
      <c r="D636">
        <v>941.07500000000005</v>
      </c>
      <c r="E636">
        <v>6.9379999999999997</v>
      </c>
      <c r="F636">
        <v>190.917</v>
      </c>
      <c r="G636" s="26">
        <f t="shared" si="72"/>
        <v>9.8334772441815659</v>
      </c>
      <c r="H636" s="26">
        <f t="shared" si="79"/>
        <v>7.4999999999985079E-2</v>
      </c>
      <c r="I636" s="26">
        <f t="shared" si="73"/>
        <v>11.600000000000001</v>
      </c>
      <c r="J636" t="str">
        <f t="shared" si="74"/>
        <v>Steady</v>
      </c>
      <c r="K636" s="26" t="str">
        <f t="shared" si="75"/>
        <v/>
      </c>
      <c r="L636" s="26" t="str">
        <f t="shared" si="76"/>
        <v/>
      </c>
      <c r="N636" t="e">
        <f t="shared" si="77"/>
        <v>#N/A</v>
      </c>
      <c r="O636" t="e">
        <f t="shared" si="78"/>
        <v>#N/A</v>
      </c>
    </row>
    <row r="637" spans="1:15">
      <c r="A637" s="25">
        <v>46299.418055555558</v>
      </c>
      <c r="B637">
        <v>18.552</v>
      </c>
      <c r="C637">
        <v>56.875</v>
      </c>
      <c r="D637">
        <v>941.02800000000002</v>
      </c>
      <c r="E637">
        <v>6.9770000000000003</v>
      </c>
      <c r="F637">
        <v>192.833</v>
      </c>
      <c r="G637" s="26">
        <f t="shared" si="72"/>
        <v>9.837376757066254</v>
      </c>
      <c r="H637" s="26">
        <f t="shared" si="79"/>
        <v>-0.18000000000000682</v>
      </c>
      <c r="I637" s="26">
        <f t="shared" si="73"/>
        <v>11.574999999999999</v>
      </c>
      <c r="J637" t="str">
        <f t="shared" si="74"/>
        <v>Steady</v>
      </c>
      <c r="K637" s="26" t="str">
        <f t="shared" si="75"/>
        <v/>
      </c>
      <c r="L637" s="26" t="str">
        <f t="shared" si="76"/>
        <v/>
      </c>
      <c r="N637" t="e">
        <f t="shared" si="77"/>
        <v>#N/A</v>
      </c>
      <c r="O637" t="e">
        <f t="shared" si="78"/>
        <v>#N/A</v>
      </c>
    </row>
    <row r="638" spans="1:15">
      <c r="A638" s="25">
        <v>46299.418749999997</v>
      </c>
      <c r="B638">
        <v>18.547999999999998</v>
      </c>
      <c r="C638">
        <v>56.88</v>
      </c>
      <c r="D638">
        <v>941.02800000000002</v>
      </c>
      <c r="E638">
        <v>7.0149999999999997</v>
      </c>
      <c r="F638">
        <v>194.75</v>
      </c>
      <c r="G638" s="26">
        <f t="shared" si="72"/>
        <v>9.8349511228839397</v>
      </c>
      <c r="H638" s="26">
        <f t="shared" si="79"/>
        <v>0.13500000000000512</v>
      </c>
      <c r="I638" s="26">
        <f t="shared" si="73"/>
        <v>11.532999999999998</v>
      </c>
      <c r="J638" t="str">
        <f t="shared" si="74"/>
        <v>Steady</v>
      </c>
      <c r="K638" s="26" t="str">
        <f t="shared" si="75"/>
        <v/>
      </c>
      <c r="L638" s="26" t="str">
        <f t="shared" si="76"/>
        <v/>
      </c>
      <c r="N638" t="e">
        <f t="shared" si="77"/>
        <v>#N/A</v>
      </c>
      <c r="O638" t="e">
        <f t="shared" si="78"/>
        <v>#N/A</v>
      </c>
    </row>
    <row r="639" spans="1:15">
      <c r="A639" s="25">
        <v>46299.419444444437</v>
      </c>
      <c r="B639">
        <v>18.535</v>
      </c>
      <c r="C639">
        <v>56.88</v>
      </c>
      <c r="D639">
        <v>941.01300000000003</v>
      </c>
      <c r="E639">
        <v>7.0529999999999999</v>
      </c>
      <c r="F639">
        <v>196.667</v>
      </c>
      <c r="G639" s="26">
        <f t="shared" si="72"/>
        <v>9.8228026955578223</v>
      </c>
      <c r="H639" s="26">
        <f t="shared" si="79"/>
        <v>0</v>
      </c>
      <c r="I639" s="26">
        <f t="shared" si="73"/>
        <v>11.481999999999999</v>
      </c>
      <c r="J639" t="str">
        <f t="shared" si="74"/>
        <v>Steady</v>
      </c>
      <c r="K639" s="26" t="str">
        <f t="shared" si="75"/>
        <v/>
      </c>
      <c r="L639" s="26" t="str">
        <f t="shared" si="76"/>
        <v/>
      </c>
      <c r="N639" t="e">
        <f t="shared" si="77"/>
        <v>#N/A</v>
      </c>
      <c r="O639" t="e">
        <f t="shared" si="78"/>
        <v>#N/A</v>
      </c>
    </row>
    <row r="640" spans="1:15">
      <c r="A640" s="25">
        <v>46299.420138888891</v>
      </c>
      <c r="B640">
        <v>18.547000000000001</v>
      </c>
      <c r="C640">
        <v>56.948</v>
      </c>
      <c r="D640">
        <v>940.995</v>
      </c>
      <c r="E640">
        <v>7.0919999999999996</v>
      </c>
      <c r="F640">
        <v>198.583</v>
      </c>
      <c r="G640" s="26">
        <f t="shared" si="72"/>
        <v>9.8518536384021544</v>
      </c>
      <c r="H640" s="26">
        <f t="shared" si="79"/>
        <v>-1.4999999999965041E-2</v>
      </c>
      <c r="I640" s="26">
        <f t="shared" si="73"/>
        <v>11.455000000000002</v>
      </c>
      <c r="J640" t="str">
        <f t="shared" si="74"/>
        <v>Steady</v>
      </c>
      <c r="K640" s="26" t="str">
        <f t="shared" si="75"/>
        <v/>
      </c>
      <c r="L640" s="26" t="str">
        <f t="shared" si="76"/>
        <v/>
      </c>
      <c r="N640" t="e">
        <f t="shared" si="77"/>
        <v>#N/A</v>
      </c>
      <c r="O640" t="e">
        <f t="shared" si="78"/>
        <v>#N/A</v>
      </c>
    </row>
    <row r="641" spans="1:15">
      <c r="A641" s="25">
        <v>46299.42083333333</v>
      </c>
      <c r="B641">
        <v>18.552</v>
      </c>
      <c r="C641">
        <v>57.164999999999999</v>
      </c>
      <c r="D641">
        <v>940.96299999999997</v>
      </c>
      <c r="E641">
        <v>7.13</v>
      </c>
      <c r="F641">
        <v>200.5</v>
      </c>
      <c r="G641" s="26">
        <f t="shared" si="72"/>
        <v>9.9133245588512064</v>
      </c>
      <c r="H641" s="26">
        <f t="shared" si="79"/>
        <v>0.2549999999999919</v>
      </c>
      <c r="I641" s="26">
        <f t="shared" si="73"/>
        <v>11.422000000000001</v>
      </c>
      <c r="J641" t="str">
        <f t="shared" si="74"/>
        <v>Steady</v>
      </c>
      <c r="K641" s="26" t="str">
        <f t="shared" si="75"/>
        <v/>
      </c>
      <c r="L641" s="26" t="str">
        <f t="shared" si="76"/>
        <v/>
      </c>
      <c r="N641" t="e">
        <f t="shared" si="77"/>
        <v>#N/A</v>
      </c>
      <c r="O641" t="e">
        <f t="shared" si="78"/>
        <v>#N/A</v>
      </c>
    </row>
    <row r="642" spans="1:15">
      <c r="A642" s="25">
        <v>46299.421527777777</v>
      </c>
      <c r="B642">
        <v>18.547000000000001</v>
      </c>
      <c r="C642">
        <v>56.883000000000003</v>
      </c>
      <c r="D642">
        <v>940.97</v>
      </c>
      <c r="E642">
        <v>7.1680000000000001</v>
      </c>
      <c r="F642">
        <v>202.417</v>
      </c>
      <c r="G642" s="26">
        <f t="shared" ref="G642:G705" si="80">243.04*(LN(C642/100)+17.625*B642/(243.04+B642))/(17.625-LN(C642/100)-17.625*B642/(243.04+B642))</f>
        <v>9.8348039531912939</v>
      </c>
      <c r="H642" s="26">
        <f t="shared" si="79"/>
        <v>-0.29999999999999361</v>
      </c>
      <c r="I642" s="26">
        <f t="shared" ref="I642:I705" si="81">B642-E642</f>
        <v>11.379000000000001</v>
      </c>
      <c r="J642" t="str">
        <f t="shared" ref="J642:J705" si="82">IF(H642="","",IF(H642&gt;0.6,"Heating",IF(H642&lt;-0.2,"Cooling","Steady")))</f>
        <v>Cooling</v>
      </c>
      <c r="K642" s="26">
        <f t="shared" ref="K642:K705" si="83">IF(J642="Cooling",I642,"")</f>
        <v>11.379000000000001</v>
      </c>
      <c r="L642" s="26">
        <f t="shared" ref="L642:L705" si="84">IF(J642="Cooling",H642,"")</f>
        <v>-0.29999999999999361</v>
      </c>
      <c r="N642">
        <f t="shared" ref="N642:N705" si="85">IF(K642="",NA(),K642)</f>
        <v>11.379000000000001</v>
      </c>
      <c r="O642">
        <f t="shared" ref="O642:O705" si="86">IF(L642="",NA(),L642)</f>
        <v>-0.29999999999999361</v>
      </c>
    </row>
    <row r="643" spans="1:15">
      <c r="A643" s="25">
        <v>46299.422222222223</v>
      </c>
      <c r="B643">
        <v>18.552</v>
      </c>
      <c r="C643">
        <v>56.927999999999997</v>
      </c>
      <c r="D643">
        <v>941.00699999999995</v>
      </c>
      <c r="E643">
        <v>7.2069999999999999</v>
      </c>
      <c r="F643">
        <v>204.333</v>
      </c>
      <c r="G643" s="26">
        <f t="shared" si="80"/>
        <v>9.8512823380914991</v>
      </c>
      <c r="H643" s="26">
        <f t="shared" si="79"/>
        <v>-0.40500000000001535</v>
      </c>
      <c r="I643" s="26">
        <f t="shared" si="81"/>
        <v>11.344999999999999</v>
      </c>
      <c r="J643" t="str">
        <f t="shared" si="82"/>
        <v>Cooling</v>
      </c>
      <c r="K643" s="26">
        <f t="shared" si="83"/>
        <v>11.344999999999999</v>
      </c>
      <c r="L643" s="26">
        <f t="shared" si="84"/>
        <v>-0.40500000000001535</v>
      </c>
      <c r="N643">
        <f t="shared" si="85"/>
        <v>11.344999999999999</v>
      </c>
      <c r="O643">
        <f t="shared" si="86"/>
        <v>-0.40500000000001535</v>
      </c>
    </row>
    <row r="644" spans="1:15">
      <c r="A644" s="25">
        <v>46299.42291666667</v>
      </c>
      <c r="B644">
        <v>18.527000000000001</v>
      </c>
      <c r="C644">
        <v>56.908000000000001</v>
      </c>
      <c r="D644">
        <v>940.99</v>
      </c>
      <c r="E644">
        <v>7.2450000000000001</v>
      </c>
      <c r="F644">
        <v>206.25</v>
      </c>
      <c r="G644" s="26">
        <f t="shared" si="80"/>
        <v>9.8226725612299273</v>
      </c>
      <c r="H644" s="26">
        <f t="shared" ref="H644:H707" si="87">(B646-B642)/4*60</f>
        <v>-0.20999999999999019</v>
      </c>
      <c r="I644" s="26">
        <f t="shared" si="81"/>
        <v>11.282</v>
      </c>
      <c r="J644" t="str">
        <f t="shared" si="82"/>
        <v>Cooling</v>
      </c>
      <c r="K644" s="26">
        <f t="shared" si="83"/>
        <v>11.282</v>
      </c>
      <c r="L644" s="26">
        <f t="shared" si="84"/>
        <v>-0.20999999999999019</v>
      </c>
      <c r="N644">
        <f t="shared" si="85"/>
        <v>11.282</v>
      </c>
      <c r="O644">
        <f t="shared" si="86"/>
        <v>-0.20999999999999019</v>
      </c>
    </row>
    <row r="645" spans="1:15">
      <c r="A645" s="25">
        <v>46299.423611111109</v>
      </c>
      <c r="B645">
        <v>18.524999999999999</v>
      </c>
      <c r="C645">
        <v>56.85</v>
      </c>
      <c r="D645">
        <v>941.00300000000004</v>
      </c>
      <c r="E645">
        <v>7.2830000000000004</v>
      </c>
      <c r="F645">
        <v>208.167</v>
      </c>
      <c r="G645" s="26">
        <f t="shared" si="80"/>
        <v>9.8055837567613686</v>
      </c>
      <c r="H645" s="26">
        <f t="shared" si="87"/>
        <v>-0.48000000000000043</v>
      </c>
      <c r="I645" s="26">
        <f t="shared" si="81"/>
        <v>11.241999999999997</v>
      </c>
      <c r="J645" t="str">
        <f t="shared" si="82"/>
        <v>Cooling</v>
      </c>
      <c r="K645" s="26">
        <f t="shared" si="83"/>
        <v>11.241999999999997</v>
      </c>
      <c r="L645" s="26">
        <f t="shared" si="84"/>
        <v>-0.48000000000000043</v>
      </c>
      <c r="N645">
        <f t="shared" si="85"/>
        <v>11.241999999999997</v>
      </c>
      <c r="O645">
        <f t="shared" si="86"/>
        <v>-0.48000000000000043</v>
      </c>
    </row>
    <row r="646" spans="1:15">
      <c r="A646" s="25">
        <v>46299.424305555563</v>
      </c>
      <c r="B646">
        <v>18.533000000000001</v>
      </c>
      <c r="C646">
        <v>56.771999999999998</v>
      </c>
      <c r="D646">
        <v>941.01</v>
      </c>
      <c r="E646">
        <v>7.3220000000000001</v>
      </c>
      <c r="F646">
        <v>210.083</v>
      </c>
      <c r="G646" s="26">
        <f t="shared" si="80"/>
        <v>9.7925685801732065</v>
      </c>
      <c r="H646" s="26">
        <f t="shared" si="87"/>
        <v>-0.20999999999999019</v>
      </c>
      <c r="I646" s="26">
        <f t="shared" si="81"/>
        <v>11.211000000000002</v>
      </c>
      <c r="J646" t="str">
        <f t="shared" si="82"/>
        <v>Cooling</v>
      </c>
      <c r="K646" s="26">
        <f t="shared" si="83"/>
        <v>11.211000000000002</v>
      </c>
      <c r="L646" s="26">
        <f t="shared" si="84"/>
        <v>-0.20999999999999019</v>
      </c>
      <c r="N646">
        <f t="shared" si="85"/>
        <v>11.211000000000002</v>
      </c>
      <c r="O646">
        <f t="shared" si="86"/>
        <v>-0.20999999999999019</v>
      </c>
    </row>
    <row r="647" spans="1:15">
      <c r="A647" s="25">
        <v>46299.425000000003</v>
      </c>
      <c r="B647">
        <v>18.52</v>
      </c>
      <c r="C647">
        <v>56.756999999999998</v>
      </c>
      <c r="D647">
        <v>941.02700000000004</v>
      </c>
      <c r="E647">
        <v>7.36</v>
      </c>
      <c r="F647">
        <v>212</v>
      </c>
      <c r="G647" s="26">
        <f t="shared" si="80"/>
        <v>9.7764798470384733</v>
      </c>
      <c r="H647" s="26">
        <f t="shared" si="87"/>
        <v>3.0000000000036664E-2</v>
      </c>
      <c r="I647" s="26">
        <f t="shared" si="81"/>
        <v>11.16</v>
      </c>
      <c r="J647" t="str">
        <f t="shared" si="82"/>
        <v>Steady</v>
      </c>
      <c r="K647" s="26" t="str">
        <f t="shared" si="83"/>
        <v/>
      </c>
      <c r="L647" s="26" t="str">
        <f t="shared" si="84"/>
        <v/>
      </c>
      <c r="N647" t="e">
        <f t="shared" si="85"/>
        <v>#N/A</v>
      </c>
      <c r="O647" t="e">
        <f t="shared" si="86"/>
        <v>#N/A</v>
      </c>
    </row>
    <row r="648" spans="1:15">
      <c r="A648" s="25">
        <v>46299.425694444442</v>
      </c>
      <c r="B648">
        <v>18.513000000000002</v>
      </c>
      <c r="C648">
        <v>56.682000000000002</v>
      </c>
      <c r="D648">
        <v>941.03499999999997</v>
      </c>
      <c r="E648">
        <v>7.3979999999999997</v>
      </c>
      <c r="F648">
        <v>213.917</v>
      </c>
      <c r="G648" s="26">
        <f t="shared" si="80"/>
        <v>9.7502123161340979</v>
      </c>
      <c r="H648" s="26">
        <f t="shared" si="87"/>
        <v>-0.19500000000002515</v>
      </c>
      <c r="I648" s="26">
        <f t="shared" si="81"/>
        <v>11.115000000000002</v>
      </c>
      <c r="J648" t="str">
        <f t="shared" si="82"/>
        <v>Steady</v>
      </c>
      <c r="K648" s="26" t="str">
        <f t="shared" si="83"/>
        <v/>
      </c>
      <c r="L648" s="26" t="str">
        <f t="shared" si="84"/>
        <v/>
      </c>
      <c r="N648" t="e">
        <f t="shared" si="85"/>
        <v>#N/A</v>
      </c>
      <c r="O648" t="e">
        <f t="shared" si="86"/>
        <v>#N/A</v>
      </c>
    </row>
    <row r="649" spans="1:15">
      <c r="A649" s="25">
        <v>46299.426388888889</v>
      </c>
      <c r="B649">
        <v>18.527000000000001</v>
      </c>
      <c r="C649">
        <v>56.521999999999998</v>
      </c>
      <c r="D649">
        <v>941.04499999999996</v>
      </c>
      <c r="E649">
        <v>7.4370000000000003</v>
      </c>
      <c r="F649">
        <v>215.833</v>
      </c>
      <c r="G649" s="26">
        <f t="shared" si="80"/>
        <v>9.7211227402655833</v>
      </c>
      <c r="H649" s="26">
        <f t="shared" si="87"/>
        <v>-7.4999999999985079E-2</v>
      </c>
      <c r="I649" s="26">
        <f t="shared" si="81"/>
        <v>11.09</v>
      </c>
      <c r="J649" t="str">
        <f t="shared" si="82"/>
        <v>Steady</v>
      </c>
      <c r="K649" s="26" t="str">
        <f t="shared" si="83"/>
        <v/>
      </c>
      <c r="L649" s="26" t="str">
        <f t="shared" si="84"/>
        <v/>
      </c>
      <c r="N649" t="e">
        <f t="shared" si="85"/>
        <v>#N/A</v>
      </c>
      <c r="O649" t="e">
        <f t="shared" si="86"/>
        <v>#N/A</v>
      </c>
    </row>
    <row r="650" spans="1:15">
      <c r="A650" s="25">
        <v>46299.427083333343</v>
      </c>
      <c r="B650">
        <v>18.52</v>
      </c>
      <c r="C650">
        <v>56.368000000000002</v>
      </c>
      <c r="D650">
        <v>941.03499999999997</v>
      </c>
      <c r="E650">
        <v>7.4749999999999996</v>
      </c>
      <c r="F650">
        <v>217.75</v>
      </c>
      <c r="G650" s="26">
        <f t="shared" si="80"/>
        <v>9.6739027630046799</v>
      </c>
      <c r="H650" s="26">
        <f t="shared" si="87"/>
        <v>-4.5000000000001705E-2</v>
      </c>
      <c r="I650" s="26">
        <f t="shared" si="81"/>
        <v>11.045</v>
      </c>
      <c r="J650" t="str">
        <f t="shared" si="82"/>
        <v>Steady</v>
      </c>
      <c r="K650" s="26" t="str">
        <f t="shared" si="83"/>
        <v/>
      </c>
      <c r="L650" s="26" t="str">
        <f t="shared" si="84"/>
        <v/>
      </c>
      <c r="N650" t="e">
        <f t="shared" si="85"/>
        <v>#N/A</v>
      </c>
      <c r="O650" t="e">
        <f t="shared" si="86"/>
        <v>#N/A</v>
      </c>
    </row>
    <row r="651" spans="1:15">
      <c r="A651" s="25">
        <v>46299.427777777782</v>
      </c>
      <c r="B651">
        <v>18.515000000000001</v>
      </c>
      <c r="C651">
        <v>56.343000000000004</v>
      </c>
      <c r="D651">
        <v>941.01499999999999</v>
      </c>
      <c r="E651">
        <v>7.5129999999999999</v>
      </c>
      <c r="F651">
        <v>219.667</v>
      </c>
      <c r="G651" s="26">
        <f t="shared" si="80"/>
        <v>9.6626218020160373</v>
      </c>
      <c r="H651" s="26">
        <f t="shared" si="87"/>
        <v>-0.20999999999999019</v>
      </c>
      <c r="I651" s="26">
        <f t="shared" si="81"/>
        <v>11.002000000000001</v>
      </c>
      <c r="J651" t="str">
        <f t="shared" si="82"/>
        <v>Cooling</v>
      </c>
      <c r="K651" s="26">
        <f t="shared" si="83"/>
        <v>11.002000000000001</v>
      </c>
      <c r="L651" s="26">
        <f t="shared" si="84"/>
        <v>-0.20999999999999019</v>
      </c>
      <c r="N651">
        <f t="shared" si="85"/>
        <v>11.002000000000001</v>
      </c>
      <c r="O651">
        <f t="shared" si="86"/>
        <v>-0.20999999999999019</v>
      </c>
    </row>
    <row r="652" spans="1:15">
      <c r="A652" s="25">
        <v>46299.428472222222</v>
      </c>
      <c r="B652">
        <v>18.510000000000002</v>
      </c>
      <c r="C652">
        <v>56.457000000000001</v>
      </c>
      <c r="D652">
        <v>941.00300000000004</v>
      </c>
      <c r="E652">
        <v>7.5519999999999996</v>
      </c>
      <c r="F652">
        <v>221.583</v>
      </c>
      <c r="G652" s="26">
        <f t="shared" si="80"/>
        <v>9.688089735617794</v>
      </c>
      <c r="H652" s="26">
        <f t="shared" si="87"/>
        <v>-7.4999999999985079E-2</v>
      </c>
      <c r="I652" s="26">
        <f t="shared" si="81"/>
        <v>10.958000000000002</v>
      </c>
      <c r="J652" t="str">
        <f t="shared" si="82"/>
        <v>Steady</v>
      </c>
      <c r="K652" s="26" t="str">
        <f t="shared" si="83"/>
        <v/>
      </c>
      <c r="L652" s="26" t="str">
        <f t="shared" si="84"/>
        <v/>
      </c>
      <c r="N652" t="e">
        <f t="shared" si="85"/>
        <v>#N/A</v>
      </c>
      <c r="O652" t="e">
        <f t="shared" si="86"/>
        <v>#N/A</v>
      </c>
    </row>
    <row r="653" spans="1:15">
      <c r="A653" s="25">
        <v>46299.429166666669</v>
      </c>
      <c r="B653">
        <v>18.513000000000002</v>
      </c>
      <c r="C653">
        <v>56.552999999999997</v>
      </c>
      <c r="D653">
        <v>940.97199999999998</v>
      </c>
      <c r="E653">
        <v>7.59</v>
      </c>
      <c r="F653">
        <v>223.5</v>
      </c>
      <c r="G653" s="26">
        <f t="shared" si="80"/>
        <v>9.7162267549702275</v>
      </c>
      <c r="H653" s="26">
        <f t="shared" si="87"/>
        <v>7.4999999999985079E-2</v>
      </c>
      <c r="I653" s="26">
        <f t="shared" si="81"/>
        <v>10.923000000000002</v>
      </c>
      <c r="J653" t="str">
        <f t="shared" si="82"/>
        <v>Steady</v>
      </c>
      <c r="K653" s="26" t="str">
        <f t="shared" si="83"/>
        <v/>
      </c>
      <c r="L653" s="26" t="str">
        <f t="shared" si="84"/>
        <v/>
      </c>
      <c r="N653" t="e">
        <f t="shared" si="85"/>
        <v>#N/A</v>
      </c>
      <c r="O653" t="e">
        <f t="shared" si="86"/>
        <v>#N/A</v>
      </c>
    </row>
    <row r="654" spans="1:15">
      <c r="A654" s="25">
        <v>46299.429861111108</v>
      </c>
      <c r="B654">
        <v>18.515000000000001</v>
      </c>
      <c r="C654">
        <v>56.283000000000001</v>
      </c>
      <c r="D654">
        <v>940.98500000000001</v>
      </c>
      <c r="E654">
        <v>7.6280000000000001</v>
      </c>
      <c r="F654">
        <v>225.417</v>
      </c>
      <c r="G654" s="26">
        <f t="shared" si="80"/>
        <v>9.6467389699743364</v>
      </c>
      <c r="H654" s="26">
        <f t="shared" si="87"/>
        <v>2.9999999999983373E-2</v>
      </c>
      <c r="I654" s="26">
        <f t="shared" si="81"/>
        <v>10.887</v>
      </c>
      <c r="J654" t="str">
        <f t="shared" si="82"/>
        <v>Steady</v>
      </c>
      <c r="K654" s="26" t="str">
        <f t="shared" si="83"/>
        <v/>
      </c>
      <c r="L654" s="26" t="str">
        <f t="shared" si="84"/>
        <v/>
      </c>
      <c r="N654" t="e">
        <f t="shared" si="85"/>
        <v>#N/A</v>
      </c>
      <c r="O654" t="e">
        <f t="shared" si="86"/>
        <v>#N/A</v>
      </c>
    </row>
    <row r="655" spans="1:15">
      <c r="A655" s="25">
        <v>46299.430555555547</v>
      </c>
      <c r="B655">
        <v>18.52</v>
      </c>
      <c r="C655">
        <v>56.12</v>
      </c>
      <c r="D655">
        <v>940.94200000000001</v>
      </c>
      <c r="E655">
        <v>7.6669999999999998</v>
      </c>
      <c r="F655">
        <v>227.333</v>
      </c>
      <c r="G655" s="26">
        <f t="shared" si="80"/>
        <v>9.6081801817701198</v>
      </c>
      <c r="H655" s="26">
        <f t="shared" si="87"/>
        <v>-4.5000000000001705E-2</v>
      </c>
      <c r="I655" s="26">
        <f t="shared" si="81"/>
        <v>10.853</v>
      </c>
      <c r="J655" t="str">
        <f t="shared" si="82"/>
        <v>Steady</v>
      </c>
      <c r="K655" s="26" t="str">
        <f t="shared" si="83"/>
        <v/>
      </c>
      <c r="L655" s="26" t="str">
        <f t="shared" si="84"/>
        <v/>
      </c>
      <c r="N655" t="e">
        <f t="shared" si="85"/>
        <v>#N/A</v>
      </c>
      <c r="O655" t="e">
        <f t="shared" si="86"/>
        <v>#N/A</v>
      </c>
    </row>
    <row r="656" spans="1:15">
      <c r="A656" s="25">
        <v>46299.431250000001</v>
      </c>
      <c r="B656">
        <v>18.512</v>
      </c>
      <c r="C656">
        <v>56.234999999999999</v>
      </c>
      <c r="D656">
        <v>940.87800000000004</v>
      </c>
      <c r="E656">
        <v>7.7050000000000001</v>
      </c>
      <c r="F656">
        <v>229.25</v>
      </c>
      <c r="G656" s="26">
        <f t="shared" si="80"/>
        <v>9.6312222155132012</v>
      </c>
      <c r="H656" s="26">
        <f t="shared" si="87"/>
        <v>0.14999999999997016</v>
      </c>
      <c r="I656" s="26">
        <f t="shared" si="81"/>
        <v>10.807</v>
      </c>
      <c r="J656" t="str">
        <f t="shared" si="82"/>
        <v>Steady</v>
      </c>
      <c r="K656" s="26" t="str">
        <f t="shared" si="83"/>
        <v/>
      </c>
      <c r="L656" s="26" t="str">
        <f t="shared" si="84"/>
        <v/>
      </c>
      <c r="N656" t="e">
        <f t="shared" si="85"/>
        <v>#N/A</v>
      </c>
      <c r="O656" t="e">
        <f t="shared" si="86"/>
        <v>#N/A</v>
      </c>
    </row>
    <row r="657" spans="1:15">
      <c r="A657" s="25">
        <v>46299.431944444441</v>
      </c>
      <c r="B657">
        <v>18.510000000000002</v>
      </c>
      <c r="C657">
        <v>56.237000000000002</v>
      </c>
      <c r="D657">
        <v>940.87199999999996</v>
      </c>
      <c r="E657">
        <v>7.7430000000000003</v>
      </c>
      <c r="F657">
        <v>231.167</v>
      </c>
      <c r="G657" s="26">
        <f t="shared" si="80"/>
        <v>9.6298857733371737</v>
      </c>
      <c r="H657" s="26">
        <f t="shared" si="87"/>
        <v>-2.9999999999983373E-2</v>
      </c>
      <c r="I657" s="26">
        <f t="shared" si="81"/>
        <v>10.767000000000001</v>
      </c>
      <c r="J657" t="str">
        <f t="shared" si="82"/>
        <v>Steady</v>
      </c>
      <c r="K657" s="26" t="str">
        <f t="shared" si="83"/>
        <v/>
      </c>
      <c r="L657" s="26" t="str">
        <f t="shared" si="84"/>
        <v/>
      </c>
      <c r="N657" t="e">
        <f t="shared" si="85"/>
        <v>#N/A</v>
      </c>
      <c r="O657" t="e">
        <f t="shared" si="86"/>
        <v>#N/A</v>
      </c>
    </row>
    <row r="658" spans="1:15">
      <c r="A658" s="25">
        <v>46299.432638888888</v>
      </c>
      <c r="B658">
        <v>18.524999999999999</v>
      </c>
      <c r="C658">
        <v>56.088000000000001</v>
      </c>
      <c r="D658">
        <v>940.86199999999997</v>
      </c>
      <c r="E658">
        <v>7.782</v>
      </c>
      <c r="F658">
        <v>233.083</v>
      </c>
      <c r="G658" s="26">
        <f t="shared" si="80"/>
        <v>9.6043459671321436</v>
      </c>
      <c r="H658" s="26">
        <f t="shared" si="87"/>
        <v>0.11999999999998678</v>
      </c>
      <c r="I658" s="26">
        <f t="shared" si="81"/>
        <v>10.742999999999999</v>
      </c>
      <c r="J658" t="str">
        <f t="shared" si="82"/>
        <v>Steady</v>
      </c>
      <c r="K658" s="26" t="str">
        <f t="shared" si="83"/>
        <v/>
      </c>
      <c r="L658" s="26" t="str">
        <f t="shared" si="84"/>
        <v/>
      </c>
      <c r="N658" t="e">
        <f t="shared" si="85"/>
        <v>#N/A</v>
      </c>
      <c r="O658" t="e">
        <f t="shared" si="86"/>
        <v>#N/A</v>
      </c>
    </row>
    <row r="659" spans="1:15">
      <c r="A659" s="25">
        <v>46299.433333333327</v>
      </c>
      <c r="B659">
        <v>18.518000000000001</v>
      </c>
      <c r="C659">
        <v>56.247999999999998</v>
      </c>
      <c r="D659">
        <v>940.87199999999996</v>
      </c>
      <c r="E659">
        <v>7.82</v>
      </c>
      <c r="F659">
        <v>235</v>
      </c>
      <c r="G659" s="26">
        <f t="shared" si="80"/>
        <v>9.6402668934122122</v>
      </c>
      <c r="H659" s="26">
        <f t="shared" si="87"/>
        <v>0.14999999999997016</v>
      </c>
      <c r="I659" s="26">
        <f t="shared" si="81"/>
        <v>10.698</v>
      </c>
      <c r="J659" t="str">
        <f t="shared" si="82"/>
        <v>Steady</v>
      </c>
      <c r="K659" s="26" t="str">
        <f t="shared" si="83"/>
        <v/>
      </c>
      <c r="L659" s="26" t="str">
        <f t="shared" si="84"/>
        <v/>
      </c>
      <c r="N659" t="e">
        <f t="shared" si="85"/>
        <v>#N/A</v>
      </c>
      <c r="O659" t="e">
        <f t="shared" si="86"/>
        <v>#N/A</v>
      </c>
    </row>
    <row r="660" spans="1:15">
      <c r="A660" s="25">
        <v>46299.434027777781</v>
      </c>
      <c r="B660">
        <v>18.52</v>
      </c>
      <c r="C660">
        <v>56.185000000000002</v>
      </c>
      <c r="D660">
        <v>940.83199999999999</v>
      </c>
      <c r="E660">
        <v>7.8579999999999997</v>
      </c>
      <c r="F660">
        <v>236.917</v>
      </c>
      <c r="G660" s="26">
        <f t="shared" si="80"/>
        <v>9.6254305919865626</v>
      </c>
      <c r="H660" s="26">
        <f t="shared" si="87"/>
        <v>-0.10499999999996845</v>
      </c>
      <c r="I660" s="26">
        <f t="shared" si="81"/>
        <v>10.661999999999999</v>
      </c>
      <c r="J660" t="str">
        <f t="shared" si="82"/>
        <v>Steady</v>
      </c>
      <c r="K660" s="26" t="str">
        <f t="shared" si="83"/>
        <v/>
      </c>
      <c r="L660" s="26" t="str">
        <f t="shared" si="84"/>
        <v/>
      </c>
      <c r="N660" t="e">
        <f t="shared" si="85"/>
        <v>#N/A</v>
      </c>
      <c r="O660" t="e">
        <f t="shared" si="86"/>
        <v>#N/A</v>
      </c>
    </row>
    <row r="661" spans="1:15">
      <c r="A661" s="25">
        <v>46299.43472222222</v>
      </c>
      <c r="B661">
        <v>18.52</v>
      </c>
      <c r="C661">
        <v>56.137999999999998</v>
      </c>
      <c r="D661">
        <v>940.80200000000002</v>
      </c>
      <c r="E661">
        <v>7.8970000000000002</v>
      </c>
      <c r="F661">
        <v>238.833</v>
      </c>
      <c r="G661" s="26">
        <f t="shared" si="80"/>
        <v>9.6129589821007766</v>
      </c>
      <c r="H661" s="26">
        <f t="shared" si="87"/>
        <v>-9.0000000000003411E-2</v>
      </c>
      <c r="I661" s="26">
        <f t="shared" si="81"/>
        <v>10.622999999999999</v>
      </c>
      <c r="J661" t="str">
        <f t="shared" si="82"/>
        <v>Steady</v>
      </c>
      <c r="K661" s="26" t="str">
        <f t="shared" si="83"/>
        <v/>
      </c>
      <c r="L661" s="26" t="str">
        <f t="shared" si="84"/>
        <v/>
      </c>
      <c r="N661" t="e">
        <f t="shared" si="85"/>
        <v>#N/A</v>
      </c>
      <c r="O661" t="e">
        <f t="shared" si="86"/>
        <v>#N/A</v>
      </c>
    </row>
    <row r="662" spans="1:15">
      <c r="A662" s="25">
        <v>46299.435416666667</v>
      </c>
      <c r="B662">
        <v>18.518000000000001</v>
      </c>
      <c r="C662">
        <v>55.787999999999997</v>
      </c>
      <c r="D662">
        <v>940.79700000000003</v>
      </c>
      <c r="E662">
        <v>7.9349999999999996</v>
      </c>
      <c r="F662">
        <v>240.75</v>
      </c>
      <c r="G662" s="26">
        <f t="shared" si="80"/>
        <v>9.5179298088090185</v>
      </c>
      <c r="H662" s="26">
        <f t="shared" si="87"/>
        <v>-0.45000000000001705</v>
      </c>
      <c r="I662" s="26">
        <f t="shared" si="81"/>
        <v>10.583000000000002</v>
      </c>
      <c r="J662" t="str">
        <f t="shared" si="82"/>
        <v>Cooling</v>
      </c>
      <c r="K662" s="26">
        <f t="shared" si="83"/>
        <v>10.583000000000002</v>
      </c>
      <c r="L662" s="26">
        <f t="shared" si="84"/>
        <v>-0.45000000000001705</v>
      </c>
      <c r="N662">
        <f t="shared" si="85"/>
        <v>10.583000000000002</v>
      </c>
      <c r="O662">
        <f t="shared" si="86"/>
        <v>-0.45000000000001705</v>
      </c>
    </row>
    <row r="663" spans="1:15">
      <c r="A663" s="25">
        <v>46299.436111111107</v>
      </c>
      <c r="B663">
        <v>18.512</v>
      </c>
      <c r="C663">
        <v>55.968000000000004</v>
      </c>
      <c r="D663">
        <v>940.80200000000002</v>
      </c>
      <c r="E663">
        <v>7.9729999999999999</v>
      </c>
      <c r="F663">
        <v>242.667</v>
      </c>
      <c r="G663" s="26">
        <f t="shared" si="80"/>
        <v>9.5603101090861813</v>
      </c>
      <c r="H663" s="26">
        <f t="shared" si="87"/>
        <v>-0.48000000000000043</v>
      </c>
      <c r="I663" s="26">
        <f t="shared" si="81"/>
        <v>10.539000000000001</v>
      </c>
      <c r="J663" t="str">
        <f t="shared" si="82"/>
        <v>Cooling</v>
      </c>
      <c r="K663" s="26">
        <f t="shared" si="83"/>
        <v>10.539000000000001</v>
      </c>
      <c r="L663" s="26">
        <f t="shared" si="84"/>
        <v>-0.48000000000000043</v>
      </c>
      <c r="N663">
        <f t="shared" si="85"/>
        <v>10.539000000000001</v>
      </c>
      <c r="O663">
        <f t="shared" si="86"/>
        <v>-0.48000000000000043</v>
      </c>
    </row>
    <row r="664" spans="1:15">
      <c r="A664" s="25">
        <v>46299.436805555553</v>
      </c>
      <c r="B664">
        <v>18.489999999999998</v>
      </c>
      <c r="C664">
        <v>55.994999999999997</v>
      </c>
      <c r="D664">
        <v>940.77800000000002</v>
      </c>
      <c r="E664">
        <v>8.0120000000000005</v>
      </c>
      <c r="F664">
        <v>244.583</v>
      </c>
      <c r="G664" s="26">
        <f t="shared" si="80"/>
        <v>9.5469734574118004</v>
      </c>
      <c r="H664" s="26">
        <f t="shared" si="87"/>
        <v>-0.24000000000002686</v>
      </c>
      <c r="I664" s="26">
        <f t="shared" si="81"/>
        <v>10.477999999999998</v>
      </c>
      <c r="J664" t="str">
        <f t="shared" si="82"/>
        <v>Cooling</v>
      </c>
      <c r="K664" s="26">
        <f t="shared" si="83"/>
        <v>10.477999999999998</v>
      </c>
      <c r="L664" s="26">
        <f t="shared" si="84"/>
        <v>-0.24000000000002686</v>
      </c>
      <c r="N664">
        <f t="shared" si="85"/>
        <v>10.477999999999998</v>
      </c>
      <c r="O664">
        <f t="shared" si="86"/>
        <v>-0.24000000000002686</v>
      </c>
    </row>
    <row r="665" spans="1:15">
      <c r="A665" s="25">
        <v>46299.4375</v>
      </c>
      <c r="B665">
        <v>18.488</v>
      </c>
      <c r="C665">
        <v>55.927</v>
      </c>
      <c r="D665">
        <v>940.73</v>
      </c>
      <c r="E665">
        <v>8.0500000000000007</v>
      </c>
      <c r="F665">
        <v>246.5</v>
      </c>
      <c r="G665" s="26">
        <f t="shared" si="80"/>
        <v>9.5270111319080044</v>
      </c>
      <c r="H665" s="26">
        <f t="shared" si="87"/>
        <v>-0.28500000000002856</v>
      </c>
      <c r="I665" s="26">
        <f t="shared" si="81"/>
        <v>10.437999999999999</v>
      </c>
      <c r="J665" t="str">
        <f t="shared" si="82"/>
        <v>Cooling</v>
      </c>
      <c r="K665" s="26">
        <f t="shared" si="83"/>
        <v>10.437999999999999</v>
      </c>
      <c r="L665" s="26">
        <f t="shared" si="84"/>
        <v>-0.28500000000002856</v>
      </c>
      <c r="N665">
        <f t="shared" si="85"/>
        <v>10.437999999999999</v>
      </c>
      <c r="O665">
        <f t="shared" si="86"/>
        <v>-0.28500000000002856</v>
      </c>
    </row>
    <row r="666" spans="1:15">
      <c r="A666" s="25">
        <v>46299.438194444447</v>
      </c>
      <c r="B666">
        <v>18.501999999999999</v>
      </c>
      <c r="C666">
        <v>55.895000000000003</v>
      </c>
      <c r="D666">
        <v>940.76</v>
      </c>
      <c r="E666">
        <v>8.0879999999999992</v>
      </c>
      <c r="F666">
        <v>248.417</v>
      </c>
      <c r="G666" s="26">
        <f t="shared" si="80"/>
        <v>9.5315444296177603</v>
      </c>
      <c r="H666" s="26">
        <f t="shared" si="87"/>
        <v>0.12000000000004007</v>
      </c>
      <c r="I666" s="26">
        <f t="shared" si="81"/>
        <v>10.414</v>
      </c>
      <c r="J666" t="str">
        <f t="shared" si="82"/>
        <v>Steady</v>
      </c>
      <c r="K666" s="26" t="str">
        <f t="shared" si="83"/>
        <v/>
      </c>
      <c r="L666" s="26" t="str">
        <f t="shared" si="84"/>
        <v/>
      </c>
      <c r="N666" t="e">
        <f t="shared" si="85"/>
        <v>#N/A</v>
      </c>
      <c r="O666" t="e">
        <f t="shared" si="86"/>
        <v>#N/A</v>
      </c>
    </row>
    <row r="667" spans="1:15">
      <c r="A667" s="25">
        <v>46299.438888888893</v>
      </c>
      <c r="B667">
        <v>18.492999999999999</v>
      </c>
      <c r="C667">
        <v>56.067999999999998</v>
      </c>
      <c r="D667">
        <v>940.71299999999997</v>
      </c>
      <c r="E667">
        <v>8.1270000000000007</v>
      </c>
      <c r="F667">
        <v>250.333</v>
      </c>
      <c r="G667" s="26">
        <f t="shared" si="80"/>
        <v>9.5691783592938222</v>
      </c>
      <c r="H667" s="26">
        <f t="shared" si="87"/>
        <v>7.4999999999985079E-2</v>
      </c>
      <c r="I667" s="26">
        <f t="shared" si="81"/>
        <v>10.365999999999998</v>
      </c>
      <c r="J667" t="str">
        <f t="shared" si="82"/>
        <v>Steady</v>
      </c>
      <c r="K667" s="26" t="str">
        <f t="shared" si="83"/>
        <v/>
      </c>
      <c r="L667" s="26" t="str">
        <f t="shared" si="84"/>
        <v/>
      </c>
      <c r="N667" t="e">
        <f t="shared" si="85"/>
        <v>#N/A</v>
      </c>
      <c r="O667" t="e">
        <f t="shared" si="86"/>
        <v>#N/A</v>
      </c>
    </row>
    <row r="668" spans="1:15">
      <c r="A668" s="25">
        <v>46299.439583333333</v>
      </c>
      <c r="B668">
        <v>18.498000000000001</v>
      </c>
      <c r="C668">
        <v>55.854999999999997</v>
      </c>
      <c r="D668">
        <v>940.755</v>
      </c>
      <c r="E668">
        <v>8.1649999999999991</v>
      </c>
      <c r="F668">
        <v>252.25</v>
      </c>
      <c r="G668" s="26">
        <f t="shared" si="80"/>
        <v>9.5171537144721583</v>
      </c>
      <c r="H668" s="26">
        <f t="shared" si="87"/>
        <v>-2.9999999999983373E-2</v>
      </c>
      <c r="I668" s="26">
        <f t="shared" si="81"/>
        <v>10.333000000000002</v>
      </c>
      <c r="J668" t="str">
        <f t="shared" si="82"/>
        <v>Steady</v>
      </c>
      <c r="K668" s="26" t="str">
        <f t="shared" si="83"/>
        <v/>
      </c>
      <c r="L668" s="26" t="str">
        <f t="shared" si="84"/>
        <v/>
      </c>
      <c r="N668" t="e">
        <f t="shared" si="85"/>
        <v>#N/A</v>
      </c>
      <c r="O668" t="e">
        <f t="shared" si="86"/>
        <v>#N/A</v>
      </c>
    </row>
    <row r="669" spans="1:15">
      <c r="A669" s="25">
        <v>46299.44027777778</v>
      </c>
      <c r="B669">
        <v>18.492999999999999</v>
      </c>
      <c r="C669">
        <v>55.997</v>
      </c>
      <c r="D669">
        <v>940.71799999999996</v>
      </c>
      <c r="E669">
        <v>8.2029999999999994</v>
      </c>
      <c r="F669">
        <v>254.167</v>
      </c>
      <c r="G669" s="26">
        <f t="shared" si="80"/>
        <v>9.5503037779946123</v>
      </c>
      <c r="H669" s="26">
        <f t="shared" si="87"/>
        <v>0.10500000000002174</v>
      </c>
      <c r="I669" s="26">
        <f t="shared" si="81"/>
        <v>10.29</v>
      </c>
      <c r="J669" t="str">
        <f t="shared" si="82"/>
        <v>Steady</v>
      </c>
      <c r="K669" s="26" t="str">
        <f t="shared" si="83"/>
        <v/>
      </c>
      <c r="L669" s="26" t="str">
        <f t="shared" si="84"/>
        <v/>
      </c>
      <c r="N669" t="e">
        <f t="shared" si="85"/>
        <v>#N/A</v>
      </c>
      <c r="O669" t="e">
        <f t="shared" si="86"/>
        <v>#N/A</v>
      </c>
    </row>
    <row r="670" spans="1:15">
      <c r="A670" s="25">
        <v>46299.440972222219</v>
      </c>
      <c r="B670">
        <v>18.5</v>
      </c>
      <c r="C670">
        <v>55.957000000000001</v>
      </c>
      <c r="D670">
        <v>940.71299999999997</v>
      </c>
      <c r="E670">
        <v>8.2420000000000009</v>
      </c>
      <c r="F670">
        <v>256.08300000000003</v>
      </c>
      <c r="G670" s="26">
        <f t="shared" si="80"/>
        <v>9.5461898336845525</v>
      </c>
      <c r="H670" s="26">
        <f t="shared" si="87"/>
        <v>-4.5000000000001705E-2</v>
      </c>
      <c r="I670" s="26">
        <f t="shared" si="81"/>
        <v>10.257999999999999</v>
      </c>
      <c r="J670" t="str">
        <f t="shared" si="82"/>
        <v>Steady</v>
      </c>
      <c r="K670" s="26" t="str">
        <f t="shared" si="83"/>
        <v/>
      </c>
      <c r="L670" s="26" t="str">
        <f t="shared" si="84"/>
        <v/>
      </c>
      <c r="N670" t="e">
        <f t="shared" si="85"/>
        <v>#N/A</v>
      </c>
      <c r="O670" t="e">
        <f t="shared" si="86"/>
        <v>#N/A</v>
      </c>
    </row>
    <row r="671" spans="1:15">
      <c r="A671" s="25">
        <v>46299.441666666673</v>
      </c>
      <c r="B671">
        <v>18.5</v>
      </c>
      <c r="C671">
        <v>55.923000000000002</v>
      </c>
      <c r="D671">
        <v>940.70299999999997</v>
      </c>
      <c r="E671">
        <v>8.2799999999999994</v>
      </c>
      <c r="F671">
        <v>258</v>
      </c>
      <c r="G671" s="26">
        <f t="shared" si="80"/>
        <v>9.5371376527661109</v>
      </c>
      <c r="H671" s="26">
        <f t="shared" si="87"/>
        <v>0.28500000000002856</v>
      </c>
      <c r="I671" s="26">
        <f t="shared" si="81"/>
        <v>10.220000000000001</v>
      </c>
      <c r="J671" t="str">
        <f t="shared" si="82"/>
        <v>Steady</v>
      </c>
      <c r="K671" s="26" t="str">
        <f t="shared" si="83"/>
        <v/>
      </c>
      <c r="L671" s="26" t="str">
        <f t="shared" si="84"/>
        <v/>
      </c>
      <c r="N671" t="e">
        <f t="shared" si="85"/>
        <v>#N/A</v>
      </c>
      <c r="O671" t="e">
        <f t="shared" si="86"/>
        <v>#N/A</v>
      </c>
    </row>
    <row r="672" spans="1:15">
      <c r="A672" s="25">
        <v>46299.442361111112</v>
      </c>
      <c r="B672">
        <v>18.495000000000001</v>
      </c>
      <c r="C672">
        <v>56.061999999999998</v>
      </c>
      <c r="D672">
        <v>940.68299999999999</v>
      </c>
      <c r="E672">
        <v>8.3179999999999996</v>
      </c>
      <c r="F672">
        <v>259.91699999999997</v>
      </c>
      <c r="G672" s="26">
        <f t="shared" si="80"/>
        <v>9.5694499596735483</v>
      </c>
      <c r="H672" s="26">
        <f t="shared" si="87"/>
        <v>0.11999999999998678</v>
      </c>
      <c r="I672" s="26">
        <f t="shared" si="81"/>
        <v>10.177000000000001</v>
      </c>
      <c r="J672" t="str">
        <f t="shared" si="82"/>
        <v>Steady</v>
      </c>
      <c r="K672" s="26" t="str">
        <f t="shared" si="83"/>
        <v/>
      </c>
      <c r="L672" s="26" t="str">
        <f t="shared" si="84"/>
        <v/>
      </c>
      <c r="N672" t="e">
        <f t="shared" si="85"/>
        <v>#N/A</v>
      </c>
      <c r="O672" t="e">
        <f t="shared" si="86"/>
        <v>#N/A</v>
      </c>
    </row>
    <row r="673" spans="1:15">
      <c r="A673" s="25">
        <v>46299.443055555559</v>
      </c>
      <c r="B673">
        <v>18.512</v>
      </c>
      <c r="C673">
        <v>55.796999999999997</v>
      </c>
      <c r="D673">
        <v>940.65300000000002</v>
      </c>
      <c r="E673">
        <v>8.3569999999999993</v>
      </c>
      <c r="F673">
        <v>261.83300000000003</v>
      </c>
      <c r="G673" s="26">
        <f t="shared" si="80"/>
        <v>9.5147375790989202</v>
      </c>
      <c r="H673" s="26">
        <f t="shared" si="87"/>
        <v>-0.10500000000002174</v>
      </c>
      <c r="I673" s="26">
        <f t="shared" si="81"/>
        <v>10.155000000000001</v>
      </c>
      <c r="J673" t="str">
        <f t="shared" si="82"/>
        <v>Steady</v>
      </c>
      <c r="K673" s="26" t="str">
        <f t="shared" si="83"/>
        <v/>
      </c>
      <c r="L673" s="26" t="str">
        <f t="shared" si="84"/>
        <v/>
      </c>
      <c r="N673" t="e">
        <f t="shared" si="85"/>
        <v>#N/A</v>
      </c>
      <c r="O673" t="e">
        <f t="shared" si="86"/>
        <v>#N/A</v>
      </c>
    </row>
    <row r="674" spans="1:15">
      <c r="A674" s="25">
        <v>46299.443749999999</v>
      </c>
      <c r="B674">
        <v>18.507999999999999</v>
      </c>
      <c r="C674">
        <v>55.838000000000001</v>
      </c>
      <c r="D674">
        <v>940.673</v>
      </c>
      <c r="E674">
        <v>8.3949999999999996</v>
      </c>
      <c r="F674">
        <v>263.75</v>
      </c>
      <c r="G674" s="26">
        <f t="shared" si="80"/>
        <v>9.5219456801900293</v>
      </c>
      <c r="H674" s="26">
        <f t="shared" si="87"/>
        <v>0.22500000000000853</v>
      </c>
      <c r="I674" s="26">
        <f t="shared" si="81"/>
        <v>10.113</v>
      </c>
      <c r="J674" t="str">
        <f t="shared" si="82"/>
        <v>Steady</v>
      </c>
      <c r="K674" s="26" t="str">
        <f t="shared" si="83"/>
        <v/>
      </c>
      <c r="L674" s="26" t="str">
        <f t="shared" si="84"/>
        <v/>
      </c>
      <c r="N674" t="e">
        <f t="shared" si="85"/>
        <v>#N/A</v>
      </c>
      <c r="O674" t="e">
        <f t="shared" si="86"/>
        <v>#N/A</v>
      </c>
    </row>
    <row r="675" spans="1:15">
      <c r="A675" s="25">
        <v>46299.444444444453</v>
      </c>
      <c r="B675">
        <v>18.492999999999999</v>
      </c>
      <c r="C675">
        <v>55.984999999999999</v>
      </c>
      <c r="D675">
        <v>940.64</v>
      </c>
      <c r="E675">
        <v>8.4329999999999998</v>
      </c>
      <c r="F675">
        <v>265.66699999999997</v>
      </c>
      <c r="G675" s="26">
        <f t="shared" si="80"/>
        <v>9.5471116227568693</v>
      </c>
      <c r="H675" s="26">
        <f t="shared" si="87"/>
        <v>0</v>
      </c>
      <c r="I675" s="26">
        <f t="shared" si="81"/>
        <v>10.059999999999999</v>
      </c>
      <c r="J675" t="str">
        <f t="shared" si="82"/>
        <v>Steady</v>
      </c>
      <c r="K675" s="26" t="str">
        <f t="shared" si="83"/>
        <v/>
      </c>
      <c r="L675" s="26" t="str">
        <f t="shared" si="84"/>
        <v/>
      </c>
      <c r="N675" t="e">
        <f t="shared" si="85"/>
        <v>#N/A</v>
      </c>
      <c r="O675" t="e">
        <f t="shared" si="86"/>
        <v>#N/A</v>
      </c>
    </row>
    <row r="676" spans="1:15">
      <c r="A676" s="25">
        <v>46299.445138888892</v>
      </c>
      <c r="B676">
        <v>18.510000000000002</v>
      </c>
      <c r="C676">
        <v>55.756999999999998</v>
      </c>
      <c r="D676">
        <v>940.625</v>
      </c>
      <c r="E676">
        <v>8.4719999999999995</v>
      </c>
      <c r="F676">
        <v>267.58300000000003</v>
      </c>
      <c r="G676" s="26">
        <f t="shared" si="80"/>
        <v>9.5021949495950722</v>
      </c>
      <c r="H676" s="26">
        <f t="shared" si="87"/>
        <v>-0.16499999999998849</v>
      </c>
      <c r="I676" s="26">
        <f t="shared" si="81"/>
        <v>10.038000000000002</v>
      </c>
      <c r="J676" t="str">
        <f t="shared" si="82"/>
        <v>Steady</v>
      </c>
      <c r="K676" s="26" t="str">
        <f t="shared" si="83"/>
        <v/>
      </c>
      <c r="L676" s="26" t="str">
        <f t="shared" si="84"/>
        <v/>
      </c>
      <c r="N676" t="e">
        <f t="shared" si="85"/>
        <v>#N/A</v>
      </c>
      <c r="O676" t="e">
        <f t="shared" si="86"/>
        <v>#N/A</v>
      </c>
    </row>
    <row r="677" spans="1:15">
      <c r="A677" s="25">
        <v>46299.445833333331</v>
      </c>
      <c r="B677">
        <v>18.512</v>
      </c>
      <c r="C677">
        <v>56.005000000000003</v>
      </c>
      <c r="D677">
        <v>940.60500000000002</v>
      </c>
      <c r="E677">
        <v>8.51</v>
      </c>
      <c r="F677">
        <v>269.5</v>
      </c>
      <c r="G677" s="26">
        <f t="shared" si="80"/>
        <v>9.5701546671189472</v>
      </c>
      <c r="H677" s="26">
        <f t="shared" si="87"/>
        <v>0.13500000000000512</v>
      </c>
      <c r="I677" s="26">
        <f t="shared" si="81"/>
        <v>10.002000000000001</v>
      </c>
      <c r="J677" t="str">
        <f t="shared" si="82"/>
        <v>Steady</v>
      </c>
      <c r="K677" s="26" t="str">
        <f t="shared" si="83"/>
        <v/>
      </c>
      <c r="L677" s="26" t="str">
        <f t="shared" si="84"/>
        <v/>
      </c>
      <c r="N677" t="e">
        <f t="shared" si="85"/>
        <v>#N/A</v>
      </c>
      <c r="O677" t="e">
        <f t="shared" si="86"/>
        <v>#N/A</v>
      </c>
    </row>
    <row r="678" spans="1:15">
      <c r="A678" s="25">
        <v>46299.446527777778</v>
      </c>
      <c r="B678">
        <v>18.497</v>
      </c>
      <c r="C678">
        <v>55.8</v>
      </c>
      <c r="D678">
        <v>940.59</v>
      </c>
      <c r="E678">
        <v>8.548</v>
      </c>
      <c r="F678">
        <v>271.41699999999997</v>
      </c>
      <c r="G678" s="26">
        <f t="shared" si="80"/>
        <v>9.501552277575195</v>
      </c>
      <c r="H678" s="26">
        <f t="shared" si="87"/>
        <v>-7.5000000000038369E-2</v>
      </c>
      <c r="I678" s="26">
        <f t="shared" si="81"/>
        <v>9.9489999999999998</v>
      </c>
      <c r="J678" t="str">
        <f t="shared" si="82"/>
        <v>Steady</v>
      </c>
      <c r="K678" s="26" t="str">
        <f t="shared" si="83"/>
        <v/>
      </c>
      <c r="L678" s="26" t="str">
        <f t="shared" si="84"/>
        <v/>
      </c>
      <c r="N678" t="e">
        <f t="shared" si="85"/>
        <v>#N/A</v>
      </c>
      <c r="O678" t="e">
        <f t="shared" si="86"/>
        <v>#N/A</v>
      </c>
    </row>
    <row r="679" spans="1:15">
      <c r="A679" s="25">
        <v>46299.447222222218</v>
      </c>
      <c r="B679">
        <v>18.501999999999999</v>
      </c>
      <c r="C679">
        <v>55.862000000000002</v>
      </c>
      <c r="D679">
        <v>940.58699999999999</v>
      </c>
      <c r="E679">
        <v>8.5869999999999997</v>
      </c>
      <c r="F679">
        <v>273.33300000000003</v>
      </c>
      <c r="G679" s="26">
        <f t="shared" si="80"/>
        <v>9.5227498304945737</v>
      </c>
      <c r="H679" s="26">
        <f t="shared" si="87"/>
        <v>-0.20999999999999019</v>
      </c>
      <c r="I679" s="26">
        <f t="shared" si="81"/>
        <v>9.9149999999999991</v>
      </c>
      <c r="J679" t="str">
        <f t="shared" si="82"/>
        <v>Cooling</v>
      </c>
      <c r="K679" s="26">
        <f t="shared" si="83"/>
        <v>9.9149999999999991</v>
      </c>
      <c r="L679" s="26">
        <f t="shared" si="84"/>
        <v>-0.20999999999999019</v>
      </c>
      <c r="N679">
        <f t="shared" si="85"/>
        <v>9.9149999999999991</v>
      </c>
      <c r="O679">
        <f t="shared" si="86"/>
        <v>-0.20999999999999019</v>
      </c>
    </row>
    <row r="680" spans="1:15">
      <c r="A680" s="25">
        <v>46299.447916666657</v>
      </c>
      <c r="B680">
        <v>18.504999999999999</v>
      </c>
      <c r="C680">
        <v>55.645000000000003</v>
      </c>
      <c r="D680">
        <v>940.58699999999999</v>
      </c>
      <c r="E680">
        <v>8.625</v>
      </c>
      <c r="F680">
        <v>275.25</v>
      </c>
      <c r="G680" s="26">
        <f t="shared" si="80"/>
        <v>9.4676005244457127</v>
      </c>
      <c r="H680" s="26">
        <f t="shared" si="87"/>
        <v>-7.4999999999985079E-2</v>
      </c>
      <c r="I680" s="26">
        <f t="shared" si="81"/>
        <v>9.879999999999999</v>
      </c>
      <c r="J680" t="str">
        <f t="shared" si="82"/>
        <v>Steady</v>
      </c>
      <c r="K680" s="26" t="str">
        <f t="shared" si="83"/>
        <v/>
      </c>
      <c r="L680" s="26" t="str">
        <f t="shared" si="84"/>
        <v/>
      </c>
      <c r="N680" t="e">
        <f t="shared" si="85"/>
        <v>#N/A</v>
      </c>
      <c r="O680" t="e">
        <f t="shared" si="86"/>
        <v>#N/A</v>
      </c>
    </row>
    <row r="681" spans="1:15">
      <c r="A681" s="25">
        <v>46299.448611111111</v>
      </c>
      <c r="B681">
        <v>18.498000000000001</v>
      </c>
      <c r="C681">
        <v>55.783000000000001</v>
      </c>
      <c r="D681">
        <v>940.58299999999997</v>
      </c>
      <c r="E681">
        <v>8.6630000000000003</v>
      </c>
      <c r="F681">
        <v>277.16699999999997</v>
      </c>
      <c r="G681" s="26">
        <f t="shared" si="80"/>
        <v>9.4979480231532634</v>
      </c>
      <c r="H681" s="26">
        <f t="shared" si="87"/>
        <v>4.5000000000001705E-2</v>
      </c>
      <c r="I681" s="26">
        <f t="shared" si="81"/>
        <v>9.8350000000000009</v>
      </c>
      <c r="J681" t="str">
        <f t="shared" si="82"/>
        <v>Steady</v>
      </c>
      <c r="K681" s="26" t="str">
        <f t="shared" si="83"/>
        <v/>
      </c>
      <c r="L681" s="26" t="str">
        <f t="shared" si="84"/>
        <v/>
      </c>
      <c r="N681" t="e">
        <f t="shared" si="85"/>
        <v>#N/A</v>
      </c>
      <c r="O681" t="e">
        <f t="shared" si="86"/>
        <v>#N/A</v>
      </c>
    </row>
    <row r="682" spans="1:15">
      <c r="A682" s="25">
        <v>46299.449305555558</v>
      </c>
      <c r="B682">
        <v>18.492000000000001</v>
      </c>
      <c r="C682">
        <v>55.697000000000003</v>
      </c>
      <c r="D682">
        <v>940.55700000000002</v>
      </c>
      <c r="E682">
        <v>8.702</v>
      </c>
      <c r="F682">
        <v>279.08300000000003</v>
      </c>
      <c r="G682" s="26">
        <f t="shared" si="80"/>
        <v>9.4693860660520741</v>
      </c>
      <c r="H682" s="26">
        <f t="shared" si="87"/>
        <v>0.10500000000002174</v>
      </c>
      <c r="I682" s="26">
        <f t="shared" si="81"/>
        <v>9.7900000000000009</v>
      </c>
      <c r="J682" t="str">
        <f t="shared" si="82"/>
        <v>Steady</v>
      </c>
      <c r="K682" s="26" t="str">
        <f t="shared" si="83"/>
        <v/>
      </c>
      <c r="L682" s="26" t="str">
        <f t="shared" si="84"/>
        <v/>
      </c>
      <c r="N682" t="e">
        <f t="shared" si="85"/>
        <v>#N/A</v>
      </c>
      <c r="O682" t="e">
        <f t="shared" si="86"/>
        <v>#N/A</v>
      </c>
    </row>
    <row r="683" spans="1:15">
      <c r="A683" s="25">
        <v>46299.45</v>
      </c>
      <c r="B683">
        <v>18.504999999999999</v>
      </c>
      <c r="C683">
        <v>55.68</v>
      </c>
      <c r="D683">
        <v>940.50699999999995</v>
      </c>
      <c r="E683">
        <v>8.74</v>
      </c>
      <c r="F683">
        <v>281</v>
      </c>
      <c r="G683" s="26">
        <f t="shared" si="80"/>
        <v>9.4769602577915446</v>
      </c>
      <c r="H683" s="26">
        <f t="shared" si="87"/>
        <v>0.32999999999997698</v>
      </c>
      <c r="I683" s="26">
        <f t="shared" si="81"/>
        <v>9.7649999999999988</v>
      </c>
      <c r="J683" t="str">
        <f t="shared" si="82"/>
        <v>Steady</v>
      </c>
      <c r="K683" s="26" t="str">
        <f t="shared" si="83"/>
        <v/>
      </c>
      <c r="L683" s="26" t="str">
        <f t="shared" si="84"/>
        <v/>
      </c>
      <c r="N683" t="e">
        <f t="shared" si="85"/>
        <v>#N/A</v>
      </c>
      <c r="O683" t="e">
        <f t="shared" si="86"/>
        <v>#N/A</v>
      </c>
    </row>
    <row r="684" spans="1:15">
      <c r="A684" s="25">
        <v>46299.450694444437</v>
      </c>
      <c r="B684">
        <v>18.512</v>
      </c>
      <c r="C684">
        <v>55.715000000000003</v>
      </c>
      <c r="D684">
        <v>940.52200000000005</v>
      </c>
      <c r="E684">
        <v>8.7780000000000005</v>
      </c>
      <c r="F684">
        <v>282.91699999999997</v>
      </c>
      <c r="G684" s="26">
        <f t="shared" si="80"/>
        <v>9.4928403671395447</v>
      </c>
      <c r="H684" s="26">
        <f t="shared" si="87"/>
        <v>0.52500000000000213</v>
      </c>
      <c r="I684" s="26">
        <f t="shared" si="81"/>
        <v>9.734</v>
      </c>
      <c r="J684" t="str">
        <f t="shared" si="82"/>
        <v>Steady</v>
      </c>
      <c r="K684" s="26" t="str">
        <f t="shared" si="83"/>
        <v/>
      </c>
      <c r="L684" s="26" t="str">
        <f t="shared" si="84"/>
        <v/>
      </c>
      <c r="N684" t="e">
        <f t="shared" si="85"/>
        <v>#N/A</v>
      </c>
      <c r="O684" t="e">
        <f t="shared" si="86"/>
        <v>#N/A</v>
      </c>
    </row>
    <row r="685" spans="1:15">
      <c r="A685" s="25">
        <v>46299.451388888891</v>
      </c>
      <c r="B685">
        <v>18.52</v>
      </c>
      <c r="C685">
        <v>55.597000000000001</v>
      </c>
      <c r="D685">
        <v>940.447</v>
      </c>
      <c r="E685">
        <v>8.8170000000000002</v>
      </c>
      <c r="F685">
        <v>284.83300000000003</v>
      </c>
      <c r="G685" s="26">
        <f t="shared" si="80"/>
        <v>9.4687357130299645</v>
      </c>
      <c r="H685" s="26">
        <f t="shared" si="87"/>
        <v>7.5000000000038369E-2</v>
      </c>
      <c r="I685" s="26">
        <f t="shared" si="81"/>
        <v>9.7029999999999994</v>
      </c>
      <c r="J685" t="str">
        <f t="shared" si="82"/>
        <v>Steady</v>
      </c>
      <c r="K685" s="26" t="str">
        <f t="shared" si="83"/>
        <v/>
      </c>
      <c r="L685" s="26" t="str">
        <f t="shared" si="84"/>
        <v/>
      </c>
      <c r="N685" t="e">
        <f t="shared" si="85"/>
        <v>#N/A</v>
      </c>
      <c r="O685" t="e">
        <f t="shared" si="86"/>
        <v>#N/A</v>
      </c>
    </row>
    <row r="686" spans="1:15">
      <c r="A686" s="25">
        <v>46299.45208333333</v>
      </c>
      <c r="B686">
        <v>18.527000000000001</v>
      </c>
      <c r="C686">
        <v>55.572000000000003</v>
      </c>
      <c r="D686">
        <v>940.46</v>
      </c>
      <c r="E686">
        <v>8.8550000000000004</v>
      </c>
      <c r="F686">
        <v>286.75</v>
      </c>
      <c r="G686" s="26">
        <f t="shared" si="80"/>
        <v>9.468564734764076</v>
      </c>
      <c r="H686" s="26">
        <f t="shared" si="87"/>
        <v>9.0000000000003411E-2</v>
      </c>
      <c r="I686" s="26">
        <f t="shared" si="81"/>
        <v>9.6720000000000006</v>
      </c>
      <c r="J686" t="str">
        <f t="shared" si="82"/>
        <v>Steady</v>
      </c>
      <c r="K686" s="26" t="str">
        <f t="shared" si="83"/>
        <v/>
      </c>
      <c r="L686" s="26" t="str">
        <f t="shared" si="84"/>
        <v/>
      </c>
      <c r="N686" t="e">
        <f t="shared" si="85"/>
        <v>#N/A</v>
      </c>
      <c r="O686" t="e">
        <f t="shared" si="86"/>
        <v>#N/A</v>
      </c>
    </row>
    <row r="687" spans="1:15">
      <c r="A687" s="25">
        <v>46299.452777777777</v>
      </c>
      <c r="B687">
        <v>18.510000000000002</v>
      </c>
      <c r="C687">
        <v>55.66</v>
      </c>
      <c r="D687">
        <v>940.43299999999999</v>
      </c>
      <c r="E687">
        <v>8.8930000000000007</v>
      </c>
      <c r="F687">
        <v>288.66699999999997</v>
      </c>
      <c r="G687" s="26">
        <f t="shared" si="80"/>
        <v>9.4762730503300325</v>
      </c>
      <c r="H687" s="26">
        <f t="shared" si="87"/>
        <v>2.9999999999983373E-2</v>
      </c>
      <c r="I687" s="26">
        <f t="shared" si="81"/>
        <v>9.6170000000000009</v>
      </c>
      <c r="J687" t="str">
        <f t="shared" si="82"/>
        <v>Steady</v>
      </c>
      <c r="K687" s="26" t="str">
        <f t="shared" si="83"/>
        <v/>
      </c>
      <c r="L687" s="26" t="str">
        <f t="shared" si="84"/>
        <v/>
      </c>
      <c r="N687" t="e">
        <f t="shared" si="85"/>
        <v>#N/A</v>
      </c>
      <c r="O687" t="e">
        <f t="shared" si="86"/>
        <v>#N/A</v>
      </c>
    </row>
    <row r="688" spans="1:15">
      <c r="A688" s="25">
        <v>46299.453472222223</v>
      </c>
      <c r="B688">
        <v>18.518000000000001</v>
      </c>
      <c r="C688">
        <v>55.661999999999999</v>
      </c>
      <c r="D688">
        <v>940.45299999999997</v>
      </c>
      <c r="E688">
        <v>8.9320000000000004</v>
      </c>
      <c r="F688">
        <v>290.58300000000003</v>
      </c>
      <c r="G688" s="26">
        <f t="shared" si="80"/>
        <v>9.484264864889953</v>
      </c>
      <c r="H688" s="26">
        <f t="shared" si="87"/>
        <v>-7.5000000000038369E-2</v>
      </c>
      <c r="I688" s="26">
        <f t="shared" si="81"/>
        <v>9.5860000000000003</v>
      </c>
      <c r="J688" t="str">
        <f t="shared" si="82"/>
        <v>Steady</v>
      </c>
      <c r="K688" s="26" t="str">
        <f t="shared" si="83"/>
        <v/>
      </c>
      <c r="L688" s="26" t="str">
        <f t="shared" si="84"/>
        <v/>
      </c>
      <c r="N688" t="e">
        <f t="shared" si="85"/>
        <v>#N/A</v>
      </c>
      <c r="O688" t="e">
        <f t="shared" si="86"/>
        <v>#N/A</v>
      </c>
    </row>
    <row r="689" spans="1:15">
      <c r="A689" s="25">
        <v>46299.45416666667</v>
      </c>
      <c r="B689">
        <v>18.521999999999998</v>
      </c>
      <c r="C689">
        <v>55.578000000000003</v>
      </c>
      <c r="D689">
        <v>940.40499999999997</v>
      </c>
      <c r="E689">
        <v>8.9700000000000006</v>
      </c>
      <c r="F689">
        <v>292.5</v>
      </c>
      <c r="G689" s="26">
        <f t="shared" si="80"/>
        <v>9.4655120046848822</v>
      </c>
      <c r="H689" s="26">
        <f t="shared" si="87"/>
        <v>0.2549999999999919</v>
      </c>
      <c r="I689" s="26">
        <f t="shared" si="81"/>
        <v>9.5519999999999978</v>
      </c>
      <c r="J689" t="str">
        <f t="shared" si="82"/>
        <v>Steady</v>
      </c>
      <c r="K689" s="26" t="str">
        <f t="shared" si="83"/>
        <v/>
      </c>
      <c r="L689" s="26" t="str">
        <f t="shared" si="84"/>
        <v/>
      </c>
      <c r="N689" t="e">
        <f t="shared" si="85"/>
        <v>#N/A</v>
      </c>
      <c r="O689" t="e">
        <f t="shared" si="86"/>
        <v>#N/A</v>
      </c>
    </row>
    <row r="690" spans="1:15">
      <c r="A690" s="25">
        <v>46299.454861111109</v>
      </c>
      <c r="B690">
        <v>18.521999999999998</v>
      </c>
      <c r="C690">
        <v>55.792000000000002</v>
      </c>
      <c r="D690">
        <v>940.41300000000001</v>
      </c>
      <c r="E690">
        <v>9.0079999999999991</v>
      </c>
      <c r="F690">
        <v>294.41699999999997</v>
      </c>
      <c r="G690" s="26">
        <f t="shared" si="80"/>
        <v>9.5227269283117106</v>
      </c>
      <c r="H690" s="26">
        <f t="shared" si="87"/>
        <v>0.2549999999999919</v>
      </c>
      <c r="I690" s="26">
        <f t="shared" si="81"/>
        <v>9.5139999999999993</v>
      </c>
      <c r="J690" t="str">
        <f t="shared" si="82"/>
        <v>Steady</v>
      </c>
      <c r="K690" s="26" t="str">
        <f t="shared" si="83"/>
        <v/>
      </c>
      <c r="L690" s="26" t="str">
        <f t="shared" si="84"/>
        <v/>
      </c>
      <c r="N690" t="e">
        <f t="shared" si="85"/>
        <v>#N/A</v>
      </c>
      <c r="O690" t="e">
        <f t="shared" si="86"/>
        <v>#N/A</v>
      </c>
    </row>
    <row r="691" spans="1:15">
      <c r="A691" s="25">
        <v>46299.455555555563</v>
      </c>
      <c r="B691">
        <v>18.527000000000001</v>
      </c>
      <c r="C691">
        <v>55.783000000000001</v>
      </c>
      <c r="D691">
        <v>940.41200000000003</v>
      </c>
      <c r="E691">
        <v>9.0470000000000006</v>
      </c>
      <c r="F691">
        <v>296.33300000000003</v>
      </c>
      <c r="G691" s="26">
        <f t="shared" si="80"/>
        <v>9.5249863640163248</v>
      </c>
      <c r="H691" s="26">
        <f t="shared" si="87"/>
        <v>0</v>
      </c>
      <c r="I691" s="26">
        <f t="shared" si="81"/>
        <v>9.48</v>
      </c>
      <c r="J691" t="str">
        <f t="shared" si="82"/>
        <v>Steady</v>
      </c>
      <c r="K691" s="26" t="str">
        <f t="shared" si="83"/>
        <v/>
      </c>
      <c r="L691" s="26" t="str">
        <f t="shared" si="84"/>
        <v/>
      </c>
      <c r="N691" t="e">
        <f t="shared" si="85"/>
        <v>#N/A</v>
      </c>
      <c r="O691" t="e">
        <f t="shared" si="86"/>
        <v>#N/A</v>
      </c>
    </row>
    <row r="692" spans="1:15">
      <c r="A692" s="25">
        <v>46299.456250000003</v>
      </c>
      <c r="B692">
        <v>18.535</v>
      </c>
      <c r="C692">
        <v>55.738</v>
      </c>
      <c r="D692">
        <v>940.39700000000005</v>
      </c>
      <c r="E692">
        <v>9.0850000000000009</v>
      </c>
      <c r="F692">
        <v>298.25</v>
      </c>
      <c r="G692" s="26">
        <f t="shared" si="80"/>
        <v>9.5204272338099578</v>
      </c>
      <c r="H692" s="26">
        <f t="shared" si="87"/>
        <v>1.5000000000018332E-2</v>
      </c>
      <c r="I692" s="26">
        <f t="shared" si="81"/>
        <v>9.4499999999999993</v>
      </c>
      <c r="J692" t="str">
        <f t="shared" si="82"/>
        <v>Steady</v>
      </c>
      <c r="K692" s="26" t="str">
        <f t="shared" si="83"/>
        <v/>
      </c>
      <c r="L692" s="26" t="str">
        <f t="shared" si="84"/>
        <v/>
      </c>
      <c r="N692" t="e">
        <f t="shared" si="85"/>
        <v>#N/A</v>
      </c>
      <c r="O692" t="e">
        <f t="shared" si="86"/>
        <v>#N/A</v>
      </c>
    </row>
    <row r="693" spans="1:15">
      <c r="A693" s="25">
        <v>46299.456944444442</v>
      </c>
      <c r="B693">
        <v>18.521999999999998</v>
      </c>
      <c r="C693">
        <v>55.863</v>
      </c>
      <c r="D693">
        <v>940.35699999999997</v>
      </c>
      <c r="E693">
        <v>9.1229999999999993</v>
      </c>
      <c r="F693">
        <v>300.16699999999997</v>
      </c>
      <c r="G693" s="26">
        <f t="shared" si="80"/>
        <v>9.5416666863960558</v>
      </c>
      <c r="H693" s="26">
        <f t="shared" si="87"/>
        <v>9.0000000000003411E-2</v>
      </c>
      <c r="I693" s="26">
        <f t="shared" si="81"/>
        <v>9.3989999999999991</v>
      </c>
      <c r="J693" t="str">
        <f t="shared" si="82"/>
        <v>Steady</v>
      </c>
      <c r="K693" s="26" t="str">
        <f t="shared" si="83"/>
        <v/>
      </c>
      <c r="L693" s="26" t="str">
        <f t="shared" si="84"/>
        <v/>
      </c>
      <c r="N693" t="e">
        <f t="shared" si="85"/>
        <v>#N/A</v>
      </c>
      <c r="O693" t="e">
        <f t="shared" si="86"/>
        <v>#N/A</v>
      </c>
    </row>
    <row r="694" spans="1:15">
      <c r="A694" s="25">
        <v>46299.457638888889</v>
      </c>
      <c r="B694">
        <v>18.523</v>
      </c>
      <c r="C694">
        <v>55.786999999999999</v>
      </c>
      <c r="D694">
        <v>940.35799999999995</v>
      </c>
      <c r="E694">
        <v>9.1620000000000008</v>
      </c>
      <c r="F694">
        <v>302.08300000000003</v>
      </c>
      <c r="G694" s="26">
        <f t="shared" si="80"/>
        <v>9.5223247033715488</v>
      </c>
      <c r="H694" s="26">
        <f t="shared" si="87"/>
        <v>4.5000000000001705E-2</v>
      </c>
      <c r="I694" s="26">
        <f t="shared" si="81"/>
        <v>9.3609999999999989</v>
      </c>
      <c r="J694" t="str">
        <f t="shared" si="82"/>
        <v>Steady</v>
      </c>
      <c r="K694" s="26" t="str">
        <f t="shared" si="83"/>
        <v/>
      </c>
      <c r="L694" s="26" t="str">
        <f t="shared" si="84"/>
        <v/>
      </c>
      <c r="N694" t="e">
        <f t="shared" si="85"/>
        <v>#N/A</v>
      </c>
      <c r="O694" t="e">
        <f t="shared" si="86"/>
        <v>#N/A</v>
      </c>
    </row>
    <row r="695" spans="1:15">
      <c r="A695" s="25">
        <v>46299.458333333343</v>
      </c>
      <c r="B695">
        <v>18.533000000000001</v>
      </c>
      <c r="C695">
        <v>55.823</v>
      </c>
      <c r="D695">
        <v>940.32799999999997</v>
      </c>
      <c r="E695">
        <v>9.1999999999999993</v>
      </c>
      <c r="F695">
        <v>304</v>
      </c>
      <c r="G695" s="26">
        <f t="shared" si="80"/>
        <v>9.5412557623122254</v>
      </c>
      <c r="H695" s="26">
        <f t="shared" si="87"/>
        <v>9.0000000000003411E-2</v>
      </c>
      <c r="I695" s="26">
        <f t="shared" si="81"/>
        <v>9.333000000000002</v>
      </c>
      <c r="J695" t="str">
        <f t="shared" si="82"/>
        <v>Steady</v>
      </c>
      <c r="K695" s="26" t="str">
        <f t="shared" si="83"/>
        <v/>
      </c>
      <c r="L695" s="26" t="str">
        <f t="shared" si="84"/>
        <v/>
      </c>
      <c r="N695" t="e">
        <f t="shared" si="85"/>
        <v>#N/A</v>
      </c>
      <c r="O695" t="e">
        <f t="shared" si="86"/>
        <v>#N/A</v>
      </c>
    </row>
    <row r="696" spans="1:15">
      <c r="A696" s="25">
        <v>46299.459027777782</v>
      </c>
      <c r="B696">
        <v>18.538</v>
      </c>
      <c r="C696">
        <v>55.777000000000001</v>
      </c>
      <c r="D696">
        <v>940.34799999999996</v>
      </c>
      <c r="E696">
        <v>9.2550000000000008</v>
      </c>
      <c r="F696">
        <v>306.233</v>
      </c>
      <c r="G696" s="26">
        <f t="shared" si="80"/>
        <v>9.5336402982828581</v>
      </c>
      <c r="H696" s="26">
        <f t="shared" si="87"/>
        <v>0.2549999999999919</v>
      </c>
      <c r="I696" s="26">
        <f t="shared" si="81"/>
        <v>9.2829999999999995</v>
      </c>
      <c r="J696" t="str">
        <f t="shared" si="82"/>
        <v>Steady</v>
      </c>
      <c r="K696" s="26" t="str">
        <f t="shared" si="83"/>
        <v/>
      </c>
      <c r="L696" s="26" t="str">
        <f t="shared" si="84"/>
        <v/>
      </c>
      <c r="N696" t="e">
        <f t="shared" si="85"/>
        <v>#N/A</v>
      </c>
      <c r="O696" t="e">
        <f t="shared" si="86"/>
        <v>#N/A</v>
      </c>
    </row>
    <row r="697" spans="1:15">
      <c r="A697" s="25">
        <v>46299.459722222222</v>
      </c>
      <c r="B697">
        <v>18.527999999999999</v>
      </c>
      <c r="C697">
        <v>55.744999999999997</v>
      </c>
      <c r="D697">
        <v>940.298</v>
      </c>
      <c r="E697">
        <v>9.31</v>
      </c>
      <c r="F697">
        <v>308.46699999999998</v>
      </c>
      <c r="G697" s="26">
        <f t="shared" si="80"/>
        <v>9.5157713151352787</v>
      </c>
      <c r="H697" s="26">
        <f t="shared" si="87"/>
        <v>0.10499999999996845</v>
      </c>
      <c r="I697" s="26">
        <f t="shared" si="81"/>
        <v>9.2179999999999982</v>
      </c>
      <c r="J697" t="str">
        <f t="shared" si="82"/>
        <v>Steady</v>
      </c>
      <c r="K697" s="26" t="str">
        <f t="shared" si="83"/>
        <v/>
      </c>
      <c r="L697" s="26" t="str">
        <f t="shared" si="84"/>
        <v/>
      </c>
      <c r="N697" t="e">
        <f t="shared" si="85"/>
        <v>#N/A</v>
      </c>
      <c r="O697" t="e">
        <f t="shared" si="86"/>
        <v>#N/A</v>
      </c>
    </row>
    <row r="698" spans="1:15">
      <c r="A698" s="25">
        <v>46299.460416666669</v>
      </c>
      <c r="B698">
        <v>18.54</v>
      </c>
      <c r="C698">
        <v>56.048000000000002</v>
      </c>
      <c r="D698">
        <v>940.29700000000003</v>
      </c>
      <c r="E698">
        <v>9.3650000000000002</v>
      </c>
      <c r="F698">
        <v>310.7</v>
      </c>
      <c r="G698" s="26">
        <f t="shared" si="80"/>
        <v>9.6077089223219829</v>
      </c>
      <c r="H698" s="26">
        <f t="shared" si="87"/>
        <v>0.13500000000000512</v>
      </c>
      <c r="I698" s="26">
        <f t="shared" si="81"/>
        <v>9.1749999999999989</v>
      </c>
      <c r="J698" t="str">
        <f t="shared" si="82"/>
        <v>Steady</v>
      </c>
      <c r="K698" s="26" t="str">
        <f t="shared" si="83"/>
        <v/>
      </c>
      <c r="L698" s="26" t="str">
        <f t="shared" si="84"/>
        <v/>
      </c>
      <c r="N698" t="e">
        <f t="shared" si="85"/>
        <v>#N/A</v>
      </c>
      <c r="O698" t="e">
        <f t="shared" si="86"/>
        <v>#N/A</v>
      </c>
    </row>
    <row r="699" spans="1:15">
      <c r="A699" s="25">
        <v>46299.461111111108</v>
      </c>
      <c r="B699">
        <v>18.54</v>
      </c>
      <c r="C699">
        <v>55.972999999999999</v>
      </c>
      <c r="D699">
        <v>940.28800000000001</v>
      </c>
      <c r="E699">
        <v>9.42</v>
      </c>
      <c r="F699">
        <v>312.93299999999999</v>
      </c>
      <c r="G699" s="26">
        <f t="shared" si="80"/>
        <v>9.5877571524371028</v>
      </c>
      <c r="H699" s="26">
        <f t="shared" si="87"/>
        <v>0.66000000000000725</v>
      </c>
      <c r="I699" s="26">
        <f t="shared" si="81"/>
        <v>9.1199999999999992</v>
      </c>
      <c r="J699" t="str">
        <f t="shared" si="82"/>
        <v>Heating</v>
      </c>
      <c r="K699" s="26" t="str">
        <f t="shared" si="83"/>
        <v/>
      </c>
      <c r="L699" s="26" t="str">
        <f t="shared" si="84"/>
        <v/>
      </c>
      <c r="N699" t="e">
        <f t="shared" si="85"/>
        <v>#N/A</v>
      </c>
      <c r="O699" t="e">
        <f t="shared" si="86"/>
        <v>#N/A</v>
      </c>
    </row>
    <row r="700" spans="1:15">
      <c r="A700" s="25">
        <v>46299.461805555547</v>
      </c>
      <c r="B700">
        <v>18.547000000000001</v>
      </c>
      <c r="C700">
        <v>56.04</v>
      </c>
      <c r="D700">
        <v>940.29700000000003</v>
      </c>
      <c r="E700">
        <v>9.4749999999999996</v>
      </c>
      <c r="F700">
        <v>315.16699999999997</v>
      </c>
      <c r="G700" s="26">
        <f t="shared" si="80"/>
        <v>9.6121118379506534</v>
      </c>
      <c r="H700" s="26">
        <f t="shared" si="87"/>
        <v>0.34499999999999531</v>
      </c>
      <c r="I700" s="26">
        <f t="shared" si="81"/>
        <v>9.072000000000001</v>
      </c>
      <c r="J700" t="str">
        <f t="shared" si="82"/>
        <v>Steady</v>
      </c>
      <c r="K700" s="26" t="str">
        <f t="shared" si="83"/>
        <v/>
      </c>
      <c r="L700" s="26" t="str">
        <f t="shared" si="84"/>
        <v/>
      </c>
      <c r="N700" t="e">
        <f t="shared" si="85"/>
        <v>#N/A</v>
      </c>
      <c r="O700" t="e">
        <f t="shared" si="86"/>
        <v>#N/A</v>
      </c>
    </row>
    <row r="701" spans="1:15">
      <c r="A701" s="25">
        <v>46299.462500000001</v>
      </c>
      <c r="B701">
        <v>18.571999999999999</v>
      </c>
      <c r="C701">
        <v>56.058</v>
      </c>
      <c r="D701">
        <v>940.27300000000002</v>
      </c>
      <c r="E701">
        <v>9.5299999999999994</v>
      </c>
      <c r="F701">
        <v>317.39999999999998</v>
      </c>
      <c r="G701" s="26">
        <f t="shared" si="80"/>
        <v>9.6402197588544105</v>
      </c>
      <c r="H701" s="26">
        <f t="shared" si="87"/>
        <v>0.42000000000003368</v>
      </c>
      <c r="I701" s="26">
        <f t="shared" si="81"/>
        <v>9.0419999999999998</v>
      </c>
      <c r="J701" t="str">
        <f t="shared" si="82"/>
        <v>Steady</v>
      </c>
      <c r="K701" s="26" t="str">
        <f t="shared" si="83"/>
        <v/>
      </c>
      <c r="L701" s="26" t="str">
        <f t="shared" si="84"/>
        <v/>
      </c>
      <c r="N701" t="e">
        <f t="shared" si="85"/>
        <v>#N/A</v>
      </c>
      <c r="O701" t="e">
        <f t="shared" si="86"/>
        <v>#N/A</v>
      </c>
    </row>
    <row r="702" spans="1:15">
      <c r="A702" s="25">
        <v>46299.463194444441</v>
      </c>
      <c r="B702">
        <v>18.562999999999999</v>
      </c>
      <c r="C702">
        <v>56.052999999999997</v>
      </c>
      <c r="D702">
        <v>940.18</v>
      </c>
      <c r="E702">
        <v>9.5850000000000009</v>
      </c>
      <c r="F702">
        <v>319.63299999999998</v>
      </c>
      <c r="G702" s="26">
        <f t="shared" si="80"/>
        <v>9.6304944004454249</v>
      </c>
      <c r="H702" s="26">
        <f t="shared" si="87"/>
        <v>0.37499999999997868</v>
      </c>
      <c r="I702" s="26">
        <f t="shared" si="81"/>
        <v>8.977999999999998</v>
      </c>
      <c r="J702" t="str">
        <f t="shared" si="82"/>
        <v>Steady</v>
      </c>
      <c r="K702" s="26" t="str">
        <f t="shared" si="83"/>
        <v/>
      </c>
      <c r="L702" s="26" t="str">
        <f t="shared" si="84"/>
        <v/>
      </c>
      <c r="N702" t="e">
        <f t="shared" si="85"/>
        <v>#N/A</v>
      </c>
      <c r="O702" t="e">
        <f t="shared" si="86"/>
        <v>#N/A</v>
      </c>
    </row>
    <row r="703" spans="1:15">
      <c r="A703" s="25">
        <v>46299.463888888888</v>
      </c>
      <c r="B703">
        <v>18.568000000000001</v>
      </c>
      <c r="C703">
        <v>55.981999999999999</v>
      </c>
      <c r="D703">
        <v>940.18499999999995</v>
      </c>
      <c r="E703">
        <v>9.64</v>
      </c>
      <c r="F703">
        <v>321.86700000000002</v>
      </c>
      <c r="G703" s="26">
        <f t="shared" si="80"/>
        <v>9.6162692756684063</v>
      </c>
      <c r="H703" s="26">
        <f t="shared" si="87"/>
        <v>-0.10499999999996845</v>
      </c>
      <c r="I703" s="26">
        <f t="shared" si="81"/>
        <v>8.9280000000000008</v>
      </c>
      <c r="J703" t="str">
        <f t="shared" si="82"/>
        <v>Steady</v>
      </c>
      <c r="K703" s="26" t="str">
        <f t="shared" si="83"/>
        <v/>
      </c>
      <c r="L703" s="26" t="str">
        <f t="shared" si="84"/>
        <v/>
      </c>
      <c r="N703" t="e">
        <f t="shared" si="85"/>
        <v>#N/A</v>
      </c>
      <c r="O703" t="e">
        <f t="shared" si="86"/>
        <v>#N/A</v>
      </c>
    </row>
    <row r="704" spans="1:15">
      <c r="A704" s="25">
        <v>46299.464583333327</v>
      </c>
      <c r="B704">
        <v>18.571999999999999</v>
      </c>
      <c r="C704">
        <v>56.156999999999996</v>
      </c>
      <c r="D704">
        <v>940.178</v>
      </c>
      <c r="E704">
        <v>9.6950000000000003</v>
      </c>
      <c r="F704">
        <v>324.10000000000002</v>
      </c>
      <c r="G704" s="26">
        <f t="shared" si="80"/>
        <v>9.6665221482934598</v>
      </c>
      <c r="H704" s="26">
        <f t="shared" si="87"/>
        <v>0.21000000000004349</v>
      </c>
      <c r="I704" s="26">
        <f t="shared" si="81"/>
        <v>8.8769999999999989</v>
      </c>
      <c r="J704" t="str">
        <f t="shared" si="82"/>
        <v>Steady</v>
      </c>
      <c r="K704" s="26" t="str">
        <f t="shared" si="83"/>
        <v/>
      </c>
      <c r="L704" s="26" t="str">
        <f t="shared" si="84"/>
        <v/>
      </c>
      <c r="N704" t="e">
        <f t="shared" si="85"/>
        <v>#N/A</v>
      </c>
      <c r="O704" t="e">
        <f t="shared" si="86"/>
        <v>#N/A</v>
      </c>
    </row>
    <row r="705" spans="1:15">
      <c r="A705" s="25">
        <v>46299.465277777781</v>
      </c>
      <c r="B705">
        <v>18.565000000000001</v>
      </c>
      <c r="C705">
        <v>56.094999999999999</v>
      </c>
      <c r="D705">
        <v>940.202</v>
      </c>
      <c r="E705">
        <v>9.75</v>
      </c>
      <c r="F705">
        <v>326.33300000000003</v>
      </c>
      <c r="G705" s="26">
        <f t="shared" si="80"/>
        <v>9.6435240407906999</v>
      </c>
      <c r="H705" s="26">
        <f t="shared" si="87"/>
        <v>5.9999999999966747E-2</v>
      </c>
      <c r="I705" s="26">
        <f t="shared" si="81"/>
        <v>8.8150000000000013</v>
      </c>
      <c r="J705" t="str">
        <f t="shared" si="82"/>
        <v>Steady</v>
      </c>
      <c r="K705" s="26" t="str">
        <f t="shared" si="83"/>
        <v/>
      </c>
      <c r="L705" s="26" t="str">
        <f t="shared" si="84"/>
        <v/>
      </c>
      <c r="N705" t="e">
        <f t="shared" si="85"/>
        <v>#N/A</v>
      </c>
      <c r="O705" t="e">
        <f t="shared" si="86"/>
        <v>#N/A</v>
      </c>
    </row>
    <row r="706" spans="1:15">
      <c r="A706" s="25">
        <v>46299.46597222222</v>
      </c>
      <c r="B706">
        <v>18.577000000000002</v>
      </c>
      <c r="C706">
        <v>55.832000000000001</v>
      </c>
      <c r="D706">
        <v>940.16499999999996</v>
      </c>
      <c r="E706">
        <v>9.8049999999999997</v>
      </c>
      <c r="F706">
        <v>328.56700000000001</v>
      </c>
      <c r="G706" s="26">
        <f t="shared" ref="G706:G769" si="88">243.04*(LN(C706/100)+17.625*B706/(243.04+B706))/(17.625-LN(C706/100)-17.625*B706/(243.04+B706))</f>
        <v>9.5846842504646155</v>
      </c>
      <c r="H706" s="26">
        <f t="shared" si="87"/>
        <v>-2.9999999999983373E-2</v>
      </c>
      <c r="I706" s="26">
        <f t="shared" ref="I706:I769" si="89">B706-E706</f>
        <v>8.772000000000002</v>
      </c>
      <c r="J706" t="str">
        <f t="shared" ref="J706:J769" si="90">IF(H706="","",IF(H706&gt;0.6,"Heating",IF(H706&lt;-0.2,"Cooling","Steady")))</f>
        <v>Steady</v>
      </c>
      <c r="K706" s="26" t="str">
        <f t="shared" ref="K706:K769" si="91">IF(J706="Cooling",I706,"")</f>
        <v/>
      </c>
      <c r="L706" s="26" t="str">
        <f t="shared" ref="L706:L769" si="92">IF(J706="Cooling",H706,"")</f>
        <v/>
      </c>
      <c r="N706" t="e">
        <f t="shared" ref="N706:N769" si="93">IF(K706="",NA(),K706)</f>
        <v>#N/A</v>
      </c>
      <c r="O706" t="e">
        <f t="shared" ref="O706:O769" si="94">IF(L706="",NA(),L706)</f>
        <v>#N/A</v>
      </c>
    </row>
    <row r="707" spans="1:15">
      <c r="A707" s="25">
        <v>46299.466666666667</v>
      </c>
      <c r="B707">
        <v>18.571999999999999</v>
      </c>
      <c r="C707">
        <v>55.814999999999998</v>
      </c>
      <c r="D707">
        <v>940.22199999999998</v>
      </c>
      <c r="E707">
        <v>9.86</v>
      </c>
      <c r="F707">
        <v>330.8</v>
      </c>
      <c r="G707" s="26">
        <f t="shared" si="88"/>
        <v>9.5754852286133971</v>
      </c>
      <c r="H707" s="26">
        <f t="shared" si="87"/>
        <v>0.11999999999998678</v>
      </c>
      <c r="I707" s="26">
        <f t="shared" si="89"/>
        <v>8.7119999999999997</v>
      </c>
      <c r="J707" t="str">
        <f t="shared" si="90"/>
        <v>Steady</v>
      </c>
      <c r="K707" s="26" t="str">
        <f t="shared" si="91"/>
        <v/>
      </c>
      <c r="L707" s="26" t="str">
        <f t="shared" si="92"/>
        <v/>
      </c>
      <c r="N707" t="e">
        <f t="shared" si="93"/>
        <v>#N/A</v>
      </c>
      <c r="O707" t="e">
        <f t="shared" si="94"/>
        <v>#N/A</v>
      </c>
    </row>
    <row r="708" spans="1:15">
      <c r="A708" s="25">
        <v>46299.467361111107</v>
      </c>
      <c r="B708">
        <v>18.57</v>
      </c>
      <c r="C708">
        <v>55.716999999999999</v>
      </c>
      <c r="D708">
        <v>940.20699999999999</v>
      </c>
      <c r="E708">
        <v>9.9149999999999991</v>
      </c>
      <c r="F708">
        <v>333.03300000000002</v>
      </c>
      <c r="G708" s="26">
        <f t="shared" si="88"/>
        <v>9.5474435109484403</v>
      </c>
      <c r="H708" s="26">
        <f t="shared" ref="H708:H771" si="95">(B710-B706)/4*60</f>
        <v>4.4999999999948415E-2</v>
      </c>
      <c r="I708" s="26">
        <f t="shared" si="89"/>
        <v>8.6550000000000011</v>
      </c>
      <c r="J708" t="str">
        <f t="shared" si="90"/>
        <v>Steady</v>
      </c>
      <c r="K708" s="26" t="str">
        <f t="shared" si="91"/>
        <v/>
      </c>
      <c r="L708" s="26" t="str">
        <f t="shared" si="92"/>
        <v/>
      </c>
      <c r="N708" t="e">
        <f t="shared" si="93"/>
        <v>#N/A</v>
      </c>
      <c r="O708" t="e">
        <f t="shared" si="94"/>
        <v>#N/A</v>
      </c>
    </row>
    <row r="709" spans="1:15">
      <c r="A709" s="25">
        <v>46299.468055555553</v>
      </c>
      <c r="B709">
        <v>18.573</v>
      </c>
      <c r="C709">
        <v>55.887999999999998</v>
      </c>
      <c r="D709">
        <v>940.20799999999997</v>
      </c>
      <c r="E709">
        <v>9.9700000000000006</v>
      </c>
      <c r="F709">
        <v>335.267</v>
      </c>
      <c r="G709" s="26">
        <f t="shared" si="88"/>
        <v>9.5958908557349663</v>
      </c>
      <c r="H709" s="26">
        <f t="shared" si="95"/>
        <v>7.5000000000038369E-2</v>
      </c>
      <c r="I709" s="26">
        <f t="shared" si="89"/>
        <v>8.6029999999999998</v>
      </c>
      <c r="J709" t="str">
        <f t="shared" si="90"/>
        <v>Steady</v>
      </c>
      <c r="K709" s="26" t="str">
        <f t="shared" si="91"/>
        <v/>
      </c>
      <c r="L709" s="26" t="str">
        <f t="shared" si="92"/>
        <v/>
      </c>
      <c r="N709" t="e">
        <f t="shared" si="93"/>
        <v>#N/A</v>
      </c>
      <c r="O709" t="e">
        <f t="shared" si="94"/>
        <v>#N/A</v>
      </c>
    </row>
    <row r="710" spans="1:15">
      <c r="A710" s="25">
        <v>46299.46875</v>
      </c>
      <c r="B710">
        <v>18.579999999999998</v>
      </c>
      <c r="C710">
        <v>55.837000000000003</v>
      </c>
      <c r="D710">
        <v>940.17200000000003</v>
      </c>
      <c r="E710">
        <v>10.025</v>
      </c>
      <c r="F710">
        <v>337.5</v>
      </c>
      <c r="G710" s="26">
        <f t="shared" si="88"/>
        <v>9.5888157706256081</v>
      </c>
      <c r="H710" s="26">
        <f t="shared" si="95"/>
        <v>-0.10500000000002174</v>
      </c>
      <c r="I710" s="26">
        <f t="shared" si="89"/>
        <v>8.5549999999999979</v>
      </c>
      <c r="J710" t="str">
        <f t="shared" si="90"/>
        <v>Steady</v>
      </c>
      <c r="K710" s="26" t="str">
        <f t="shared" si="91"/>
        <v/>
      </c>
      <c r="L710" s="26" t="str">
        <f t="shared" si="92"/>
        <v/>
      </c>
      <c r="N710" t="e">
        <f t="shared" si="93"/>
        <v>#N/A</v>
      </c>
      <c r="O710" t="e">
        <f t="shared" si="94"/>
        <v>#N/A</v>
      </c>
    </row>
    <row r="711" spans="1:15">
      <c r="A711" s="25">
        <v>46299.469444444447</v>
      </c>
      <c r="B711">
        <v>18.577000000000002</v>
      </c>
      <c r="C711">
        <v>55.826999999999998</v>
      </c>
      <c r="D711">
        <v>940.17700000000002</v>
      </c>
      <c r="E711">
        <v>10.08</v>
      </c>
      <c r="F711">
        <v>339.733</v>
      </c>
      <c r="G711" s="26">
        <f t="shared" si="88"/>
        <v>9.5833499652989289</v>
      </c>
      <c r="H711" s="26">
        <f t="shared" si="95"/>
        <v>0.20999999999999019</v>
      </c>
      <c r="I711" s="26">
        <f t="shared" si="89"/>
        <v>8.4970000000000017</v>
      </c>
      <c r="J711" t="str">
        <f t="shared" si="90"/>
        <v>Steady</v>
      </c>
      <c r="K711" s="26" t="str">
        <f t="shared" si="91"/>
        <v/>
      </c>
      <c r="L711" s="26" t="str">
        <f t="shared" si="92"/>
        <v/>
      </c>
      <c r="N711" t="e">
        <f t="shared" si="93"/>
        <v>#N/A</v>
      </c>
      <c r="O711" t="e">
        <f t="shared" si="94"/>
        <v>#N/A</v>
      </c>
    </row>
    <row r="712" spans="1:15">
      <c r="A712" s="25">
        <v>46299.470138888893</v>
      </c>
      <c r="B712">
        <v>18.562999999999999</v>
      </c>
      <c r="C712">
        <v>55.79</v>
      </c>
      <c r="D712">
        <v>940.18299999999999</v>
      </c>
      <c r="E712">
        <v>10.135</v>
      </c>
      <c r="F712">
        <v>341.96699999999998</v>
      </c>
      <c r="G712" s="26">
        <f t="shared" si="88"/>
        <v>9.5604199899158999</v>
      </c>
      <c r="H712" s="26">
        <f t="shared" si="95"/>
        <v>-2.9999999999983373E-2</v>
      </c>
      <c r="I712" s="26">
        <f t="shared" si="89"/>
        <v>8.427999999999999</v>
      </c>
      <c r="J712" t="str">
        <f t="shared" si="90"/>
        <v>Steady</v>
      </c>
      <c r="K712" s="26" t="str">
        <f t="shared" si="91"/>
        <v/>
      </c>
      <c r="L712" s="26" t="str">
        <f t="shared" si="92"/>
        <v/>
      </c>
      <c r="N712" t="e">
        <f t="shared" si="93"/>
        <v>#N/A</v>
      </c>
      <c r="O712" t="e">
        <f t="shared" si="94"/>
        <v>#N/A</v>
      </c>
    </row>
    <row r="713" spans="1:15">
      <c r="A713" s="25">
        <v>46299.470833333333</v>
      </c>
      <c r="B713">
        <v>18.587</v>
      </c>
      <c r="C713">
        <v>55.677999999999997</v>
      </c>
      <c r="D713">
        <v>940.16700000000003</v>
      </c>
      <c r="E713">
        <v>10.19</v>
      </c>
      <c r="F713">
        <v>344.2</v>
      </c>
      <c r="G713" s="26">
        <f t="shared" si="88"/>
        <v>9.5528611373091525</v>
      </c>
      <c r="H713" s="26">
        <f t="shared" si="95"/>
        <v>0.11999999999998678</v>
      </c>
      <c r="I713" s="26">
        <f t="shared" si="89"/>
        <v>8.3970000000000002</v>
      </c>
      <c r="J713" t="str">
        <f t="shared" si="90"/>
        <v>Steady</v>
      </c>
      <c r="K713" s="26" t="str">
        <f t="shared" si="91"/>
        <v/>
      </c>
      <c r="L713" s="26" t="str">
        <f t="shared" si="92"/>
        <v/>
      </c>
      <c r="N713" t="e">
        <f t="shared" si="93"/>
        <v>#N/A</v>
      </c>
      <c r="O713" t="e">
        <f t="shared" si="94"/>
        <v>#N/A</v>
      </c>
    </row>
    <row r="714" spans="1:15">
      <c r="A714" s="25">
        <v>46299.47152777778</v>
      </c>
      <c r="B714">
        <v>18.577999999999999</v>
      </c>
      <c r="C714">
        <v>55.787999999999997</v>
      </c>
      <c r="D714">
        <v>940.12699999999995</v>
      </c>
      <c r="E714">
        <v>10.244999999999999</v>
      </c>
      <c r="F714">
        <v>346.43299999999999</v>
      </c>
      <c r="G714" s="26">
        <f t="shared" si="88"/>
        <v>9.5738712724108854</v>
      </c>
      <c r="H714" s="26">
        <f t="shared" si="95"/>
        <v>0.6000000000000405</v>
      </c>
      <c r="I714" s="26">
        <f t="shared" si="89"/>
        <v>8.3330000000000002</v>
      </c>
      <c r="J714" t="str">
        <f t="shared" si="90"/>
        <v>Heating</v>
      </c>
      <c r="K714" s="26" t="str">
        <f t="shared" si="91"/>
        <v/>
      </c>
      <c r="L714" s="26" t="str">
        <f t="shared" si="92"/>
        <v/>
      </c>
      <c r="N714" t="e">
        <f t="shared" si="93"/>
        <v>#N/A</v>
      </c>
      <c r="O714" t="e">
        <f t="shared" si="94"/>
        <v>#N/A</v>
      </c>
    </row>
    <row r="715" spans="1:15">
      <c r="A715" s="25">
        <v>46299.472222222219</v>
      </c>
      <c r="B715">
        <v>18.585000000000001</v>
      </c>
      <c r="C715">
        <v>55.923000000000002</v>
      </c>
      <c r="D715">
        <v>940.10799999999995</v>
      </c>
      <c r="E715">
        <v>10.3</v>
      </c>
      <c r="F715">
        <v>348.66699999999997</v>
      </c>
      <c r="G715" s="26">
        <f t="shared" si="88"/>
        <v>9.6164107678715194</v>
      </c>
      <c r="H715" s="26">
        <f t="shared" si="95"/>
        <v>0.34499999999999531</v>
      </c>
      <c r="I715" s="26">
        <f t="shared" si="89"/>
        <v>8.2850000000000001</v>
      </c>
      <c r="J715" t="str">
        <f t="shared" si="90"/>
        <v>Steady</v>
      </c>
      <c r="K715" s="26" t="str">
        <f t="shared" si="91"/>
        <v/>
      </c>
      <c r="L715" s="26" t="str">
        <f t="shared" si="92"/>
        <v/>
      </c>
      <c r="N715" t="e">
        <f t="shared" si="93"/>
        <v>#N/A</v>
      </c>
      <c r="O715" t="e">
        <f t="shared" si="94"/>
        <v>#N/A</v>
      </c>
    </row>
    <row r="716" spans="1:15">
      <c r="A716" s="25">
        <v>46299.472916666673</v>
      </c>
      <c r="B716">
        <v>18.603000000000002</v>
      </c>
      <c r="C716">
        <v>55.92</v>
      </c>
      <c r="D716">
        <v>940.09199999999998</v>
      </c>
      <c r="E716">
        <v>10.355</v>
      </c>
      <c r="F716">
        <v>350.9</v>
      </c>
      <c r="G716" s="26">
        <f t="shared" si="88"/>
        <v>9.632398226491647</v>
      </c>
      <c r="H716" s="26">
        <f t="shared" si="95"/>
        <v>0.66000000000000725</v>
      </c>
      <c r="I716" s="26">
        <f t="shared" si="89"/>
        <v>8.2480000000000011</v>
      </c>
      <c r="J716" t="str">
        <f t="shared" si="90"/>
        <v>Heating</v>
      </c>
      <c r="K716" s="26" t="str">
        <f t="shared" si="91"/>
        <v/>
      </c>
      <c r="L716" s="26" t="str">
        <f t="shared" si="92"/>
        <v/>
      </c>
      <c r="N716" t="e">
        <f t="shared" si="93"/>
        <v>#N/A</v>
      </c>
      <c r="O716" t="e">
        <f t="shared" si="94"/>
        <v>#N/A</v>
      </c>
    </row>
    <row r="717" spans="1:15">
      <c r="A717" s="25">
        <v>46299.473611111112</v>
      </c>
      <c r="B717">
        <v>18.61</v>
      </c>
      <c r="C717">
        <v>55.935000000000002</v>
      </c>
      <c r="D717">
        <v>940.048</v>
      </c>
      <c r="E717">
        <v>10.41</v>
      </c>
      <c r="F717">
        <v>353.13299999999998</v>
      </c>
      <c r="G717" s="26">
        <f t="shared" si="88"/>
        <v>9.6429240917842822</v>
      </c>
      <c r="H717" s="26">
        <f t="shared" si="95"/>
        <v>0.89999999999998082</v>
      </c>
      <c r="I717" s="26">
        <f t="shared" si="89"/>
        <v>8.1999999999999993</v>
      </c>
      <c r="J717" t="str">
        <f t="shared" si="90"/>
        <v>Heating</v>
      </c>
      <c r="K717" s="26" t="str">
        <f t="shared" si="91"/>
        <v/>
      </c>
      <c r="L717" s="26" t="str">
        <f t="shared" si="92"/>
        <v/>
      </c>
      <c r="N717" t="e">
        <f t="shared" si="93"/>
        <v>#N/A</v>
      </c>
      <c r="O717" t="e">
        <f t="shared" si="94"/>
        <v>#N/A</v>
      </c>
    </row>
    <row r="718" spans="1:15">
      <c r="A718" s="25">
        <v>46299.474305555559</v>
      </c>
      <c r="B718">
        <v>18.622</v>
      </c>
      <c r="C718">
        <v>55.835000000000001</v>
      </c>
      <c r="D718">
        <v>940.06200000000001</v>
      </c>
      <c r="E718">
        <v>10.465</v>
      </c>
      <c r="F718">
        <v>355.36700000000002</v>
      </c>
      <c r="G718" s="26">
        <f t="shared" si="88"/>
        <v>9.6274444680030609</v>
      </c>
      <c r="H718" s="26">
        <f t="shared" si="95"/>
        <v>0.59999999999998721</v>
      </c>
      <c r="I718" s="26">
        <f t="shared" si="89"/>
        <v>8.157</v>
      </c>
      <c r="J718" t="str">
        <f t="shared" si="90"/>
        <v>Steady</v>
      </c>
      <c r="K718" s="26" t="str">
        <f t="shared" si="91"/>
        <v/>
      </c>
      <c r="L718" s="26" t="str">
        <f t="shared" si="92"/>
        <v/>
      </c>
      <c r="N718" t="e">
        <f t="shared" si="93"/>
        <v>#N/A</v>
      </c>
      <c r="O718" t="e">
        <f t="shared" si="94"/>
        <v>#N/A</v>
      </c>
    </row>
    <row r="719" spans="1:15">
      <c r="A719" s="25">
        <v>46299.474999999999</v>
      </c>
      <c r="B719">
        <v>18.645</v>
      </c>
      <c r="C719">
        <v>55.752000000000002</v>
      </c>
      <c r="D719">
        <v>940.05200000000002</v>
      </c>
      <c r="E719">
        <v>10.52</v>
      </c>
      <c r="F719">
        <v>357.6</v>
      </c>
      <c r="G719" s="26">
        <f t="shared" si="88"/>
        <v>9.6267174758375695</v>
      </c>
      <c r="H719" s="26">
        <f t="shared" si="95"/>
        <v>0.42000000000003368</v>
      </c>
      <c r="I719" s="26">
        <f t="shared" si="89"/>
        <v>8.125</v>
      </c>
      <c r="J719" t="str">
        <f t="shared" si="90"/>
        <v>Steady</v>
      </c>
      <c r="K719" s="26" t="str">
        <f t="shared" si="91"/>
        <v/>
      </c>
      <c r="L719" s="26" t="str">
        <f t="shared" si="92"/>
        <v/>
      </c>
      <c r="N719" t="e">
        <f t="shared" si="93"/>
        <v>#N/A</v>
      </c>
      <c r="O719" t="e">
        <f t="shared" si="94"/>
        <v>#N/A</v>
      </c>
    </row>
    <row r="720" spans="1:15">
      <c r="A720" s="25">
        <v>46299.475694444453</v>
      </c>
      <c r="B720">
        <v>18.643000000000001</v>
      </c>
      <c r="C720">
        <v>56.091999999999999</v>
      </c>
      <c r="D720">
        <v>940.03499999999997</v>
      </c>
      <c r="E720">
        <v>10.574999999999999</v>
      </c>
      <c r="F720">
        <v>359.83300000000003</v>
      </c>
      <c r="G720" s="26">
        <f t="shared" si="88"/>
        <v>9.7154963352662467</v>
      </c>
      <c r="H720" s="26">
        <f t="shared" si="95"/>
        <v>0.52500000000000213</v>
      </c>
      <c r="I720" s="26">
        <f t="shared" si="89"/>
        <v>8.0680000000000014</v>
      </c>
      <c r="J720" t="str">
        <f t="shared" si="90"/>
        <v>Steady</v>
      </c>
      <c r="K720" s="26" t="str">
        <f t="shared" si="91"/>
        <v/>
      </c>
      <c r="L720" s="26" t="str">
        <f t="shared" si="92"/>
        <v/>
      </c>
      <c r="N720" t="e">
        <f t="shared" si="93"/>
        <v>#N/A</v>
      </c>
      <c r="O720" t="e">
        <f t="shared" si="94"/>
        <v>#N/A</v>
      </c>
    </row>
    <row r="721" spans="1:15">
      <c r="A721" s="25">
        <v>46299.476388888892</v>
      </c>
      <c r="B721">
        <v>18.638000000000002</v>
      </c>
      <c r="C721">
        <v>56.048000000000002</v>
      </c>
      <c r="D721">
        <v>940.00199999999995</v>
      </c>
      <c r="E721">
        <v>10.63</v>
      </c>
      <c r="F721">
        <v>362.06700000000001</v>
      </c>
      <c r="G721" s="26">
        <f t="shared" si="88"/>
        <v>9.6991291244997733</v>
      </c>
      <c r="H721" s="26">
        <f t="shared" si="95"/>
        <v>0.22500000000000853</v>
      </c>
      <c r="I721" s="26">
        <f t="shared" si="89"/>
        <v>8.0080000000000009</v>
      </c>
      <c r="J721" t="str">
        <f t="shared" si="90"/>
        <v>Steady</v>
      </c>
      <c r="K721" s="26" t="str">
        <f t="shared" si="91"/>
        <v/>
      </c>
      <c r="L721" s="26" t="str">
        <f t="shared" si="92"/>
        <v/>
      </c>
      <c r="N721" t="e">
        <f t="shared" si="93"/>
        <v>#N/A</v>
      </c>
      <c r="O721" t="e">
        <f t="shared" si="94"/>
        <v>#N/A</v>
      </c>
    </row>
    <row r="722" spans="1:15">
      <c r="A722" s="25">
        <v>46299.477083333331</v>
      </c>
      <c r="B722">
        <v>18.657</v>
      </c>
      <c r="C722">
        <v>55.994999999999997</v>
      </c>
      <c r="D722">
        <v>939.97199999999998</v>
      </c>
      <c r="E722">
        <v>10.685</v>
      </c>
      <c r="F722">
        <v>364.3</v>
      </c>
      <c r="G722" s="26">
        <f t="shared" si="88"/>
        <v>9.7027441887857417</v>
      </c>
      <c r="H722" s="26">
        <f t="shared" si="95"/>
        <v>0.22500000000000853</v>
      </c>
      <c r="I722" s="26">
        <f t="shared" si="89"/>
        <v>7.9719999999999995</v>
      </c>
      <c r="J722" t="str">
        <f t="shared" si="90"/>
        <v>Steady</v>
      </c>
      <c r="K722" s="26" t="str">
        <f t="shared" si="91"/>
        <v/>
      </c>
      <c r="L722" s="26" t="str">
        <f t="shared" si="92"/>
        <v/>
      </c>
      <c r="N722" t="e">
        <f t="shared" si="93"/>
        <v>#N/A</v>
      </c>
      <c r="O722" t="e">
        <f t="shared" si="94"/>
        <v>#N/A</v>
      </c>
    </row>
    <row r="723" spans="1:15">
      <c r="A723" s="25">
        <v>46299.477777777778</v>
      </c>
      <c r="B723">
        <v>18.66</v>
      </c>
      <c r="C723">
        <v>56.067</v>
      </c>
      <c r="D723">
        <v>939.96500000000003</v>
      </c>
      <c r="E723">
        <v>10.74</v>
      </c>
      <c r="F723">
        <v>366.53300000000002</v>
      </c>
      <c r="G723" s="26">
        <f t="shared" si="88"/>
        <v>9.7247068920055622</v>
      </c>
      <c r="H723" s="26">
        <f t="shared" si="95"/>
        <v>0.5549999999999855</v>
      </c>
      <c r="I723" s="26">
        <f t="shared" si="89"/>
        <v>7.92</v>
      </c>
      <c r="J723" t="str">
        <f t="shared" si="90"/>
        <v>Steady</v>
      </c>
      <c r="K723" s="26" t="str">
        <f t="shared" si="91"/>
        <v/>
      </c>
      <c r="L723" s="26" t="str">
        <f t="shared" si="92"/>
        <v/>
      </c>
      <c r="N723" t="e">
        <f t="shared" si="93"/>
        <v>#N/A</v>
      </c>
      <c r="O723" t="e">
        <f t="shared" si="94"/>
        <v>#N/A</v>
      </c>
    </row>
    <row r="724" spans="1:15">
      <c r="A724" s="25">
        <v>46299.478472222218</v>
      </c>
      <c r="B724">
        <v>18.658000000000001</v>
      </c>
      <c r="C724">
        <v>56.073</v>
      </c>
      <c r="D724">
        <v>939.96500000000003</v>
      </c>
      <c r="E724">
        <v>10.795</v>
      </c>
      <c r="F724">
        <v>368.767</v>
      </c>
      <c r="G724" s="26">
        <f t="shared" si="88"/>
        <v>9.7244371702703312</v>
      </c>
      <c r="H724" s="26">
        <f t="shared" si="95"/>
        <v>0.41999999999998039</v>
      </c>
      <c r="I724" s="26">
        <f t="shared" si="89"/>
        <v>7.8630000000000013</v>
      </c>
      <c r="J724" t="str">
        <f t="shared" si="90"/>
        <v>Steady</v>
      </c>
      <c r="K724" s="26" t="str">
        <f t="shared" si="91"/>
        <v/>
      </c>
      <c r="L724" s="26" t="str">
        <f t="shared" si="92"/>
        <v/>
      </c>
      <c r="N724" t="e">
        <f t="shared" si="93"/>
        <v>#N/A</v>
      </c>
      <c r="O724" t="e">
        <f t="shared" si="94"/>
        <v>#N/A</v>
      </c>
    </row>
    <row r="725" spans="1:15">
      <c r="A725" s="25">
        <v>46299.479166666657</v>
      </c>
      <c r="B725">
        <v>18.675000000000001</v>
      </c>
      <c r="C725">
        <v>56.057000000000002</v>
      </c>
      <c r="D725">
        <v>939.94799999999998</v>
      </c>
      <c r="E725">
        <v>10.85</v>
      </c>
      <c r="F725">
        <v>371</v>
      </c>
      <c r="G725" s="26">
        <f t="shared" si="88"/>
        <v>9.7360393223845243</v>
      </c>
      <c r="H725" s="26">
        <f t="shared" si="95"/>
        <v>0.45000000000001705</v>
      </c>
      <c r="I725" s="26">
        <f t="shared" si="89"/>
        <v>7.8250000000000011</v>
      </c>
      <c r="J725" t="str">
        <f t="shared" si="90"/>
        <v>Steady</v>
      </c>
      <c r="K725" s="26" t="str">
        <f t="shared" si="91"/>
        <v/>
      </c>
      <c r="L725" s="26" t="str">
        <f t="shared" si="92"/>
        <v/>
      </c>
      <c r="N725" t="e">
        <f t="shared" si="93"/>
        <v>#N/A</v>
      </c>
      <c r="O725" t="e">
        <f t="shared" si="94"/>
        <v>#N/A</v>
      </c>
    </row>
    <row r="726" spans="1:15">
      <c r="A726" s="25">
        <v>46299.479861111111</v>
      </c>
      <c r="B726">
        <v>18.684999999999999</v>
      </c>
      <c r="C726">
        <v>56.222000000000001</v>
      </c>
      <c r="D726">
        <v>939.95500000000004</v>
      </c>
      <c r="E726">
        <v>10.904999999999999</v>
      </c>
      <c r="F726">
        <v>373.233</v>
      </c>
      <c r="G726" s="26">
        <f t="shared" si="88"/>
        <v>9.7892197307578019</v>
      </c>
      <c r="H726" s="26">
        <f t="shared" si="95"/>
        <v>0.73499999999999233</v>
      </c>
      <c r="I726" s="26">
        <f t="shared" si="89"/>
        <v>7.7799999999999994</v>
      </c>
      <c r="J726" t="str">
        <f t="shared" si="90"/>
        <v>Heating</v>
      </c>
      <c r="K726" s="26" t="str">
        <f t="shared" si="91"/>
        <v/>
      </c>
      <c r="L726" s="26" t="str">
        <f t="shared" si="92"/>
        <v/>
      </c>
      <c r="N726" t="e">
        <f t="shared" si="93"/>
        <v>#N/A</v>
      </c>
      <c r="O726" t="e">
        <f t="shared" si="94"/>
        <v>#N/A</v>
      </c>
    </row>
    <row r="727" spans="1:15">
      <c r="A727" s="25">
        <v>46299.480555555558</v>
      </c>
      <c r="B727">
        <v>18.690000000000001</v>
      </c>
      <c r="C727">
        <v>55.756999999999998</v>
      </c>
      <c r="D727">
        <v>939.94</v>
      </c>
      <c r="E727">
        <v>10.96</v>
      </c>
      <c r="F727">
        <v>375.46699999999998</v>
      </c>
      <c r="G727" s="26">
        <f t="shared" si="88"/>
        <v>9.6700060419775244</v>
      </c>
      <c r="H727" s="26">
        <f t="shared" si="95"/>
        <v>0.52500000000000213</v>
      </c>
      <c r="I727" s="26">
        <f t="shared" si="89"/>
        <v>7.73</v>
      </c>
      <c r="J727" t="str">
        <f t="shared" si="90"/>
        <v>Steady</v>
      </c>
      <c r="K727" s="26" t="str">
        <f t="shared" si="91"/>
        <v/>
      </c>
      <c r="L727" s="26" t="str">
        <f t="shared" si="92"/>
        <v/>
      </c>
      <c r="N727" t="e">
        <f t="shared" si="93"/>
        <v>#N/A</v>
      </c>
      <c r="O727" t="e">
        <f t="shared" si="94"/>
        <v>#N/A</v>
      </c>
    </row>
    <row r="728" spans="1:15">
      <c r="A728" s="25">
        <v>46299.481249999997</v>
      </c>
      <c r="B728">
        <v>18.707000000000001</v>
      </c>
      <c r="C728">
        <v>56.045000000000002</v>
      </c>
      <c r="D728">
        <v>939.89800000000002</v>
      </c>
      <c r="E728">
        <v>11.015000000000001</v>
      </c>
      <c r="F728">
        <v>377.7</v>
      </c>
      <c r="G728" s="26">
        <f t="shared" si="88"/>
        <v>9.7626964040116864</v>
      </c>
      <c r="H728" s="26">
        <f t="shared" si="95"/>
        <v>0.70500000000000895</v>
      </c>
      <c r="I728" s="26">
        <f t="shared" si="89"/>
        <v>7.6920000000000002</v>
      </c>
      <c r="J728" t="str">
        <f t="shared" si="90"/>
        <v>Heating</v>
      </c>
      <c r="K728" s="26" t="str">
        <f t="shared" si="91"/>
        <v/>
      </c>
      <c r="L728" s="26" t="str">
        <f t="shared" si="92"/>
        <v/>
      </c>
      <c r="N728" t="e">
        <f t="shared" si="93"/>
        <v>#N/A</v>
      </c>
      <c r="O728" t="e">
        <f t="shared" si="94"/>
        <v>#N/A</v>
      </c>
    </row>
    <row r="729" spans="1:15">
      <c r="A729" s="25">
        <v>46299.481944444437</v>
      </c>
      <c r="B729">
        <v>18.71</v>
      </c>
      <c r="C729">
        <v>56.006999999999998</v>
      </c>
      <c r="D729">
        <v>939.88699999999994</v>
      </c>
      <c r="E729">
        <v>11.07</v>
      </c>
      <c r="F729">
        <v>379.93299999999999</v>
      </c>
      <c r="G729" s="26">
        <f t="shared" si="88"/>
        <v>9.7553757565716115</v>
      </c>
      <c r="H729" s="26">
        <f t="shared" si="95"/>
        <v>0.89999999999998082</v>
      </c>
      <c r="I729" s="26">
        <f t="shared" si="89"/>
        <v>7.6400000000000006</v>
      </c>
      <c r="J729" t="str">
        <f t="shared" si="90"/>
        <v>Heating</v>
      </c>
      <c r="K729" s="26" t="str">
        <f t="shared" si="91"/>
        <v/>
      </c>
      <c r="L729" s="26" t="str">
        <f t="shared" si="92"/>
        <v/>
      </c>
      <c r="N729" t="e">
        <f t="shared" si="93"/>
        <v>#N/A</v>
      </c>
      <c r="O729" t="e">
        <f t="shared" si="94"/>
        <v>#N/A</v>
      </c>
    </row>
    <row r="730" spans="1:15">
      <c r="A730" s="25">
        <v>46299.482638888891</v>
      </c>
      <c r="B730">
        <v>18.731999999999999</v>
      </c>
      <c r="C730">
        <v>55.863</v>
      </c>
      <c r="D730">
        <v>939.86800000000005</v>
      </c>
      <c r="E730">
        <v>11.125</v>
      </c>
      <c r="F730">
        <v>382.16699999999997</v>
      </c>
      <c r="G730" s="26">
        <f t="shared" si="88"/>
        <v>9.7374887729457118</v>
      </c>
      <c r="H730" s="26">
        <f t="shared" si="95"/>
        <v>0.53999999999996717</v>
      </c>
      <c r="I730" s="26">
        <f t="shared" si="89"/>
        <v>7.6069999999999993</v>
      </c>
      <c r="J730" t="str">
        <f t="shared" si="90"/>
        <v>Steady</v>
      </c>
      <c r="K730" s="26" t="str">
        <f t="shared" si="91"/>
        <v/>
      </c>
      <c r="L730" s="26" t="str">
        <f t="shared" si="92"/>
        <v/>
      </c>
      <c r="N730" t="e">
        <f t="shared" si="93"/>
        <v>#N/A</v>
      </c>
      <c r="O730" t="e">
        <f t="shared" si="94"/>
        <v>#N/A</v>
      </c>
    </row>
    <row r="731" spans="1:15">
      <c r="A731" s="25">
        <v>46299.48333333333</v>
      </c>
      <c r="B731">
        <v>18.75</v>
      </c>
      <c r="C731">
        <v>55.798000000000002</v>
      </c>
      <c r="D731">
        <v>939.86300000000006</v>
      </c>
      <c r="E731">
        <v>11.18</v>
      </c>
      <c r="F731">
        <v>384.4</v>
      </c>
      <c r="G731" s="26">
        <f t="shared" si="88"/>
        <v>9.7369054280292211</v>
      </c>
      <c r="H731" s="26">
        <f t="shared" si="95"/>
        <v>0.59999999999998721</v>
      </c>
      <c r="I731" s="26">
        <f t="shared" si="89"/>
        <v>7.57</v>
      </c>
      <c r="J731" t="str">
        <f t="shared" si="90"/>
        <v>Steady</v>
      </c>
      <c r="K731" s="26" t="str">
        <f t="shared" si="91"/>
        <v/>
      </c>
      <c r="L731" s="26" t="str">
        <f t="shared" si="92"/>
        <v/>
      </c>
      <c r="N731" t="e">
        <f t="shared" si="93"/>
        <v>#N/A</v>
      </c>
      <c r="O731" t="e">
        <f t="shared" si="94"/>
        <v>#N/A</v>
      </c>
    </row>
    <row r="732" spans="1:15">
      <c r="A732" s="25">
        <v>46299.484027777777</v>
      </c>
      <c r="B732">
        <v>18.742999999999999</v>
      </c>
      <c r="C732">
        <v>55.9</v>
      </c>
      <c r="D732">
        <v>939.86699999999996</v>
      </c>
      <c r="E732">
        <v>11.234999999999999</v>
      </c>
      <c r="F732">
        <v>386.63299999999998</v>
      </c>
      <c r="G732" s="26">
        <f t="shared" si="88"/>
        <v>9.757623522216198</v>
      </c>
      <c r="H732" s="26">
        <f t="shared" si="95"/>
        <v>0.38999999999999702</v>
      </c>
      <c r="I732" s="26">
        <f t="shared" si="89"/>
        <v>7.5079999999999991</v>
      </c>
      <c r="J732" t="str">
        <f t="shared" si="90"/>
        <v>Steady</v>
      </c>
      <c r="K732" s="26" t="str">
        <f t="shared" si="91"/>
        <v/>
      </c>
      <c r="L732" s="26" t="str">
        <f t="shared" si="92"/>
        <v/>
      </c>
      <c r="N732" t="e">
        <f t="shared" si="93"/>
        <v>#N/A</v>
      </c>
      <c r="O732" t="e">
        <f t="shared" si="94"/>
        <v>#N/A</v>
      </c>
    </row>
    <row r="733" spans="1:15">
      <c r="A733" s="25">
        <v>46299.484722222223</v>
      </c>
      <c r="B733">
        <v>18.75</v>
      </c>
      <c r="C733">
        <v>55.81</v>
      </c>
      <c r="D733">
        <v>939.84199999999998</v>
      </c>
      <c r="E733">
        <v>11.29</v>
      </c>
      <c r="F733">
        <v>388.86700000000002</v>
      </c>
      <c r="G733" s="26">
        <f t="shared" si="88"/>
        <v>9.7401130954419841</v>
      </c>
      <c r="H733" s="26">
        <f t="shared" si="95"/>
        <v>0.27000000000001023</v>
      </c>
      <c r="I733" s="26">
        <f t="shared" si="89"/>
        <v>7.4600000000000009</v>
      </c>
      <c r="J733" t="str">
        <f t="shared" si="90"/>
        <v>Steady</v>
      </c>
      <c r="K733" s="26" t="str">
        <f t="shared" si="91"/>
        <v/>
      </c>
      <c r="L733" s="26" t="str">
        <f t="shared" si="92"/>
        <v/>
      </c>
      <c r="N733" t="e">
        <f t="shared" si="93"/>
        <v>#N/A</v>
      </c>
      <c r="O733" t="e">
        <f t="shared" si="94"/>
        <v>#N/A</v>
      </c>
    </row>
    <row r="734" spans="1:15">
      <c r="A734" s="25">
        <v>46299.48541666667</v>
      </c>
      <c r="B734">
        <v>18.757999999999999</v>
      </c>
      <c r="C734">
        <v>55.932000000000002</v>
      </c>
      <c r="D734">
        <v>939.84299999999996</v>
      </c>
      <c r="E734">
        <v>11.345000000000001</v>
      </c>
      <c r="F734">
        <v>391.1</v>
      </c>
      <c r="G734" s="26">
        <f t="shared" si="88"/>
        <v>9.780150624831947</v>
      </c>
      <c r="H734" s="26">
        <f t="shared" si="95"/>
        <v>0.51000000000003709</v>
      </c>
      <c r="I734" s="26">
        <f t="shared" si="89"/>
        <v>7.4129999999999985</v>
      </c>
      <c r="J734" t="str">
        <f t="shared" si="90"/>
        <v>Steady</v>
      </c>
      <c r="K734" s="26" t="str">
        <f t="shared" si="91"/>
        <v/>
      </c>
      <c r="L734" s="26" t="str">
        <f t="shared" si="92"/>
        <v/>
      </c>
      <c r="N734" t="e">
        <f t="shared" si="93"/>
        <v>#N/A</v>
      </c>
      <c r="O734" t="e">
        <f t="shared" si="94"/>
        <v>#N/A</v>
      </c>
    </row>
    <row r="735" spans="1:15">
      <c r="A735" s="25">
        <v>46299.486111111109</v>
      </c>
      <c r="B735">
        <v>18.768000000000001</v>
      </c>
      <c r="C735">
        <v>55.9</v>
      </c>
      <c r="D735">
        <v>939.81700000000001</v>
      </c>
      <c r="E735">
        <v>11.4</v>
      </c>
      <c r="F735">
        <v>393.33300000000003</v>
      </c>
      <c r="G735" s="26">
        <f t="shared" si="88"/>
        <v>9.7809367108820648</v>
      </c>
      <c r="H735" s="26">
        <f t="shared" si="95"/>
        <v>0.40500000000001535</v>
      </c>
      <c r="I735" s="26">
        <f t="shared" si="89"/>
        <v>7.3680000000000003</v>
      </c>
      <c r="J735" t="str">
        <f t="shared" si="90"/>
        <v>Steady</v>
      </c>
      <c r="K735" s="26" t="str">
        <f t="shared" si="91"/>
        <v/>
      </c>
      <c r="L735" s="26" t="str">
        <f t="shared" si="92"/>
        <v/>
      </c>
      <c r="N735" t="e">
        <f t="shared" si="93"/>
        <v>#N/A</v>
      </c>
      <c r="O735" t="e">
        <f t="shared" si="94"/>
        <v>#N/A</v>
      </c>
    </row>
    <row r="736" spans="1:15">
      <c r="A736" s="25">
        <v>46299.486805555563</v>
      </c>
      <c r="B736">
        <v>18.777000000000001</v>
      </c>
      <c r="C736">
        <v>55.673000000000002</v>
      </c>
      <c r="D736">
        <v>939.79700000000003</v>
      </c>
      <c r="E736">
        <v>11.455</v>
      </c>
      <c r="F736">
        <v>395.56700000000001</v>
      </c>
      <c r="G736" s="26">
        <f t="shared" si="88"/>
        <v>9.7286220996776329</v>
      </c>
      <c r="H736" s="26">
        <f t="shared" si="95"/>
        <v>0.29999999999999361</v>
      </c>
      <c r="I736" s="26">
        <f t="shared" si="89"/>
        <v>7.322000000000001</v>
      </c>
      <c r="J736" t="str">
        <f t="shared" si="90"/>
        <v>Steady</v>
      </c>
      <c r="K736" s="26" t="str">
        <f t="shared" si="91"/>
        <v/>
      </c>
      <c r="L736" s="26" t="str">
        <f t="shared" si="92"/>
        <v/>
      </c>
      <c r="N736" t="e">
        <f t="shared" si="93"/>
        <v>#N/A</v>
      </c>
      <c r="O736" t="e">
        <f t="shared" si="94"/>
        <v>#N/A</v>
      </c>
    </row>
    <row r="737" spans="1:15">
      <c r="A737" s="25">
        <v>46299.487500000003</v>
      </c>
      <c r="B737">
        <v>18.777000000000001</v>
      </c>
      <c r="C737">
        <v>55.695</v>
      </c>
      <c r="D737">
        <v>939.75</v>
      </c>
      <c r="E737">
        <v>11.51</v>
      </c>
      <c r="F737">
        <v>397.8</v>
      </c>
      <c r="G737" s="26">
        <f t="shared" si="88"/>
        <v>9.7345151727543673</v>
      </c>
      <c r="H737" s="26">
        <f t="shared" si="95"/>
        <v>7.4999999999985079E-2</v>
      </c>
      <c r="I737" s="26">
        <f t="shared" si="89"/>
        <v>7.2670000000000012</v>
      </c>
      <c r="J737" t="str">
        <f t="shared" si="90"/>
        <v>Steady</v>
      </c>
      <c r="K737" s="26" t="str">
        <f t="shared" si="91"/>
        <v/>
      </c>
      <c r="L737" s="26" t="str">
        <f t="shared" si="92"/>
        <v/>
      </c>
      <c r="N737" t="e">
        <f t="shared" si="93"/>
        <v>#N/A</v>
      </c>
      <c r="O737" t="e">
        <f t="shared" si="94"/>
        <v>#N/A</v>
      </c>
    </row>
    <row r="738" spans="1:15">
      <c r="A738" s="25">
        <v>46299.488194444442</v>
      </c>
      <c r="B738">
        <v>18.777999999999999</v>
      </c>
      <c r="C738">
        <v>55.74</v>
      </c>
      <c r="D738">
        <v>939.745</v>
      </c>
      <c r="E738">
        <v>11.565</v>
      </c>
      <c r="F738">
        <v>400.03300000000002</v>
      </c>
      <c r="G738" s="26">
        <f t="shared" si="88"/>
        <v>9.7474950006773184</v>
      </c>
      <c r="H738" s="26">
        <f t="shared" si="95"/>
        <v>9.0000000000003411E-2</v>
      </c>
      <c r="I738" s="26">
        <f t="shared" si="89"/>
        <v>7.2129999999999992</v>
      </c>
      <c r="J738" t="str">
        <f t="shared" si="90"/>
        <v>Steady</v>
      </c>
      <c r="K738" s="26" t="str">
        <f t="shared" si="91"/>
        <v/>
      </c>
      <c r="L738" s="26" t="str">
        <f t="shared" si="92"/>
        <v/>
      </c>
      <c r="N738" t="e">
        <f t="shared" si="93"/>
        <v>#N/A</v>
      </c>
      <c r="O738" t="e">
        <f t="shared" si="94"/>
        <v>#N/A</v>
      </c>
    </row>
    <row r="739" spans="1:15">
      <c r="A739" s="25">
        <v>46299.488888888889</v>
      </c>
      <c r="B739">
        <v>18.773</v>
      </c>
      <c r="C739">
        <v>55.825000000000003</v>
      </c>
      <c r="D739">
        <v>939.71500000000003</v>
      </c>
      <c r="E739">
        <v>11.62</v>
      </c>
      <c r="F739">
        <v>402.267</v>
      </c>
      <c r="G739" s="26">
        <f t="shared" si="88"/>
        <v>9.7655665255962951</v>
      </c>
      <c r="H739" s="26">
        <f t="shared" si="95"/>
        <v>9.0000000000003411E-2</v>
      </c>
      <c r="I739" s="26">
        <f t="shared" si="89"/>
        <v>7.1530000000000005</v>
      </c>
      <c r="J739" t="str">
        <f t="shared" si="90"/>
        <v>Steady</v>
      </c>
      <c r="K739" s="26" t="str">
        <f t="shared" si="91"/>
        <v/>
      </c>
      <c r="L739" s="26" t="str">
        <f t="shared" si="92"/>
        <v/>
      </c>
      <c r="N739" t="e">
        <f t="shared" si="93"/>
        <v>#N/A</v>
      </c>
      <c r="O739" t="e">
        <f t="shared" si="94"/>
        <v>#N/A</v>
      </c>
    </row>
    <row r="740" spans="1:15">
      <c r="A740" s="25">
        <v>46299.489583333343</v>
      </c>
      <c r="B740">
        <v>18.783000000000001</v>
      </c>
      <c r="C740">
        <v>55.601999999999997</v>
      </c>
      <c r="D740">
        <v>939.68799999999999</v>
      </c>
      <c r="E740">
        <v>11.675000000000001</v>
      </c>
      <c r="F740">
        <v>404.5</v>
      </c>
      <c r="G740" s="26">
        <f t="shared" si="88"/>
        <v>9.7151811257433707</v>
      </c>
      <c r="H740" s="26">
        <f t="shared" si="95"/>
        <v>0.13500000000000512</v>
      </c>
      <c r="I740" s="26">
        <f t="shared" si="89"/>
        <v>7.1080000000000005</v>
      </c>
      <c r="J740" t="str">
        <f t="shared" si="90"/>
        <v>Steady</v>
      </c>
      <c r="K740" s="26" t="str">
        <f t="shared" si="91"/>
        <v/>
      </c>
      <c r="L740" s="26" t="str">
        <f t="shared" si="92"/>
        <v/>
      </c>
      <c r="N740" t="e">
        <f t="shared" si="93"/>
        <v>#N/A</v>
      </c>
      <c r="O740" t="e">
        <f t="shared" si="94"/>
        <v>#N/A</v>
      </c>
    </row>
    <row r="741" spans="1:15">
      <c r="A741" s="25">
        <v>46299.490277777782</v>
      </c>
      <c r="B741">
        <v>18.783000000000001</v>
      </c>
      <c r="C741">
        <v>55.752000000000002</v>
      </c>
      <c r="D741">
        <v>939.71299999999997</v>
      </c>
      <c r="E741">
        <v>11.73</v>
      </c>
      <c r="F741">
        <v>406.733</v>
      </c>
      <c r="G741" s="26">
        <f t="shared" si="88"/>
        <v>9.7553674228644152</v>
      </c>
      <c r="H741" s="26">
        <f t="shared" si="95"/>
        <v>0.37499999999997868</v>
      </c>
      <c r="I741" s="26">
        <f t="shared" si="89"/>
        <v>7.0530000000000008</v>
      </c>
      <c r="J741" t="str">
        <f t="shared" si="90"/>
        <v>Steady</v>
      </c>
      <c r="K741" s="26" t="str">
        <f t="shared" si="91"/>
        <v/>
      </c>
      <c r="L741" s="26" t="str">
        <f t="shared" si="92"/>
        <v/>
      </c>
      <c r="N741" t="e">
        <f t="shared" si="93"/>
        <v>#N/A</v>
      </c>
      <c r="O741" t="e">
        <f t="shared" si="94"/>
        <v>#N/A</v>
      </c>
    </row>
    <row r="742" spans="1:15">
      <c r="A742" s="25">
        <v>46299.490972222222</v>
      </c>
      <c r="B742">
        <v>18.786999999999999</v>
      </c>
      <c r="C742">
        <v>55.604999999999997</v>
      </c>
      <c r="D742">
        <v>939.68799999999999</v>
      </c>
      <c r="E742">
        <v>11.785</v>
      </c>
      <c r="F742">
        <v>408.96699999999998</v>
      </c>
      <c r="G742" s="26">
        <f t="shared" si="88"/>
        <v>9.7197135407440225</v>
      </c>
      <c r="H742" s="26">
        <f t="shared" si="95"/>
        <v>0.32999999999997698</v>
      </c>
      <c r="I742" s="26">
        <f t="shared" si="89"/>
        <v>7.0019999999999989</v>
      </c>
      <c r="J742" t="str">
        <f t="shared" si="90"/>
        <v>Steady</v>
      </c>
      <c r="K742" s="26" t="str">
        <f t="shared" si="91"/>
        <v/>
      </c>
      <c r="L742" s="26" t="str">
        <f t="shared" si="92"/>
        <v/>
      </c>
      <c r="N742" t="e">
        <f t="shared" si="93"/>
        <v>#N/A</v>
      </c>
      <c r="O742" t="e">
        <f t="shared" si="94"/>
        <v>#N/A</v>
      </c>
    </row>
    <row r="743" spans="1:15">
      <c r="A743" s="25">
        <v>46299.491666666669</v>
      </c>
      <c r="B743">
        <v>18.797999999999998</v>
      </c>
      <c r="C743">
        <v>55.677999999999997</v>
      </c>
      <c r="D743">
        <v>939.63300000000004</v>
      </c>
      <c r="E743">
        <v>11.84</v>
      </c>
      <c r="F743">
        <v>411.2</v>
      </c>
      <c r="G743" s="26">
        <f t="shared" si="88"/>
        <v>9.749535332996901</v>
      </c>
      <c r="H743" s="26">
        <f t="shared" si="95"/>
        <v>0.52500000000000213</v>
      </c>
      <c r="I743" s="26">
        <f t="shared" si="89"/>
        <v>6.9579999999999984</v>
      </c>
      <c r="J743" t="str">
        <f t="shared" si="90"/>
        <v>Steady</v>
      </c>
      <c r="K743" s="26" t="str">
        <f t="shared" si="91"/>
        <v/>
      </c>
      <c r="L743" s="26" t="str">
        <f t="shared" si="92"/>
        <v/>
      </c>
      <c r="N743" t="e">
        <f t="shared" si="93"/>
        <v>#N/A</v>
      </c>
      <c r="O743" t="e">
        <f t="shared" si="94"/>
        <v>#N/A</v>
      </c>
    </row>
    <row r="744" spans="1:15">
      <c r="A744" s="25">
        <v>46299.492361111108</v>
      </c>
      <c r="B744">
        <v>18.805</v>
      </c>
      <c r="C744">
        <v>55.512</v>
      </c>
      <c r="D744">
        <v>939.64200000000005</v>
      </c>
      <c r="E744">
        <v>11.895</v>
      </c>
      <c r="F744">
        <v>413.43299999999999</v>
      </c>
      <c r="G744" s="26">
        <f t="shared" si="88"/>
        <v>9.7115219674434119</v>
      </c>
      <c r="H744" s="26">
        <f t="shared" si="95"/>
        <v>0.54000000000002046</v>
      </c>
      <c r="I744" s="26">
        <f t="shared" si="89"/>
        <v>6.91</v>
      </c>
      <c r="J744" t="str">
        <f t="shared" si="90"/>
        <v>Steady</v>
      </c>
      <c r="K744" s="26" t="str">
        <f t="shared" si="91"/>
        <v/>
      </c>
      <c r="L744" s="26" t="str">
        <f t="shared" si="92"/>
        <v/>
      </c>
      <c r="N744" t="e">
        <f t="shared" si="93"/>
        <v>#N/A</v>
      </c>
      <c r="O744" t="e">
        <f t="shared" si="94"/>
        <v>#N/A</v>
      </c>
    </row>
    <row r="745" spans="1:15">
      <c r="A745" s="25">
        <v>46299.493055555547</v>
      </c>
      <c r="B745">
        <v>18.818000000000001</v>
      </c>
      <c r="C745">
        <v>55.662999999999997</v>
      </c>
      <c r="D745">
        <v>939.58699999999999</v>
      </c>
      <c r="E745">
        <v>11.95</v>
      </c>
      <c r="F745">
        <v>415.66699999999997</v>
      </c>
      <c r="G745" s="26">
        <f t="shared" si="88"/>
        <v>9.7641567895289594</v>
      </c>
      <c r="H745" s="26">
        <f t="shared" si="95"/>
        <v>0.36000000000001364</v>
      </c>
      <c r="I745" s="26">
        <f t="shared" si="89"/>
        <v>6.8680000000000021</v>
      </c>
      <c r="J745" t="str">
        <f t="shared" si="90"/>
        <v>Steady</v>
      </c>
      <c r="K745" s="26" t="str">
        <f t="shared" si="91"/>
        <v/>
      </c>
      <c r="L745" s="26" t="str">
        <f t="shared" si="92"/>
        <v/>
      </c>
      <c r="N745" t="e">
        <f t="shared" si="93"/>
        <v>#N/A</v>
      </c>
      <c r="O745" t="e">
        <f t="shared" si="94"/>
        <v>#N/A</v>
      </c>
    </row>
    <row r="746" spans="1:15">
      <c r="A746" s="25">
        <v>46299.493750000001</v>
      </c>
      <c r="B746">
        <v>18.823</v>
      </c>
      <c r="C746">
        <v>55.725000000000001</v>
      </c>
      <c r="D746">
        <v>939.60199999999998</v>
      </c>
      <c r="E746">
        <v>12.005000000000001</v>
      </c>
      <c r="F746">
        <v>417.9</v>
      </c>
      <c r="G746" s="26">
        <f t="shared" si="88"/>
        <v>9.7854277661958466</v>
      </c>
      <c r="H746" s="26">
        <f t="shared" si="95"/>
        <v>0.33000000000003027</v>
      </c>
      <c r="I746" s="26">
        <f t="shared" si="89"/>
        <v>6.8179999999999996</v>
      </c>
      <c r="J746" t="str">
        <f t="shared" si="90"/>
        <v>Steady</v>
      </c>
      <c r="K746" s="26" t="str">
        <f t="shared" si="91"/>
        <v/>
      </c>
      <c r="L746" s="26" t="str">
        <f t="shared" si="92"/>
        <v/>
      </c>
      <c r="N746" t="e">
        <f t="shared" si="93"/>
        <v>#N/A</v>
      </c>
      <c r="O746" t="e">
        <f t="shared" si="94"/>
        <v>#N/A</v>
      </c>
    </row>
    <row r="747" spans="1:15">
      <c r="A747" s="25">
        <v>46299.494444444441</v>
      </c>
      <c r="B747">
        <v>18.821999999999999</v>
      </c>
      <c r="C747">
        <v>55.734999999999999</v>
      </c>
      <c r="D747">
        <v>939.55499999999995</v>
      </c>
      <c r="E747">
        <v>12.06</v>
      </c>
      <c r="F747">
        <v>420.13299999999998</v>
      </c>
      <c r="G747" s="26">
        <f t="shared" si="88"/>
        <v>9.7871732080089338</v>
      </c>
      <c r="H747" s="26">
        <f t="shared" si="95"/>
        <v>0.43499999999999872</v>
      </c>
      <c r="I747" s="26">
        <f t="shared" si="89"/>
        <v>6.7619999999999987</v>
      </c>
      <c r="J747" t="str">
        <f t="shared" si="90"/>
        <v>Steady</v>
      </c>
      <c r="K747" s="26" t="str">
        <f t="shared" si="91"/>
        <v/>
      </c>
      <c r="L747" s="26" t="str">
        <f t="shared" si="92"/>
        <v/>
      </c>
      <c r="N747" t="e">
        <f t="shared" si="93"/>
        <v>#N/A</v>
      </c>
      <c r="O747" t="e">
        <f t="shared" si="94"/>
        <v>#N/A</v>
      </c>
    </row>
    <row r="748" spans="1:15">
      <c r="A748" s="25">
        <v>46299.495138888888</v>
      </c>
      <c r="B748">
        <v>18.827000000000002</v>
      </c>
      <c r="C748">
        <v>55.612000000000002</v>
      </c>
      <c r="D748">
        <v>939.54499999999996</v>
      </c>
      <c r="E748">
        <v>12.115</v>
      </c>
      <c r="F748">
        <v>422.36700000000002</v>
      </c>
      <c r="G748" s="26">
        <f t="shared" si="88"/>
        <v>9.7588688549844491</v>
      </c>
      <c r="H748" s="26">
        <f t="shared" si="95"/>
        <v>0.48000000000000043</v>
      </c>
      <c r="I748" s="26">
        <f t="shared" si="89"/>
        <v>6.7120000000000015</v>
      </c>
      <c r="J748" t="str">
        <f t="shared" si="90"/>
        <v>Steady</v>
      </c>
      <c r="K748" s="26" t="str">
        <f t="shared" si="91"/>
        <v/>
      </c>
      <c r="L748" s="26" t="str">
        <f t="shared" si="92"/>
        <v/>
      </c>
      <c r="N748" t="e">
        <f t="shared" si="93"/>
        <v>#N/A</v>
      </c>
      <c r="O748" t="e">
        <f t="shared" si="94"/>
        <v>#N/A</v>
      </c>
    </row>
    <row r="749" spans="1:15">
      <c r="A749" s="25">
        <v>46299.495833333327</v>
      </c>
      <c r="B749">
        <v>18.847000000000001</v>
      </c>
      <c r="C749">
        <v>55.627000000000002</v>
      </c>
      <c r="D749">
        <v>939.49699999999996</v>
      </c>
      <c r="E749">
        <v>12.17</v>
      </c>
      <c r="F749">
        <v>424.6</v>
      </c>
      <c r="G749" s="26">
        <f t="shared" si="88"/>
        <v>9.7815318283031516</v>
      </c>
      <c r="H749" s="26">
        <f t="shared" si="95"/>
        <v>0.84000000000001407</v>
      </c>
      <c r="I749" s="26">
        <f t="shared" si="89"/>
        <v>6.6770000000000014</v>
      </c>
      <c r="J749" t="str">
        <f t="shared" si="90"/>
        <v>Heating</v>
      </c>
      <c r="K749" s="26" t="str">
        <f t="shared" si="91"/>
        <v/>
      </c>
      <c r="L749" s="26" t="str">
        <f t="shared" si="92"/>
        <v/>
      </c>
      <c r="N749" t="e">
        <f t="shared" si="93"/>
        <v>#N/A</v>
      </c>
      <c r="O749" t="e">
        <f t="shared" si="94"/>
        <v>#N/A</v>
      </c>
    </row>
    <row r="750" spans="1:15">
      <c r="A750" s="25">
        <v>46299.496527777781</v>
      </c>
      <c r="B750">
        <v>18.855</v>
      </c>
      <c r="C750">
        <v>55.603000000000002</v>
      </c>
      <c r="D750">
        <v>939.48500000000001</v>
      </c>
      <c r="E750">
        <v>12.225</v>
      </c>
      <c r="F750">
        <v>426.83300000000003</v>
      </c>
      <c r="G750" s="26">
        <f t="shared" si="88"/>
        <v>9.7825480075878986</v>
      </c>
      <c r="H750" s="26">
        <f t="shared" si="95"/>
        <v>1.0949999999999527</v>
      </c>
      <c r="I750" s="26">
        <f t="shared" si="89"/>
        <v>6.6300000000000008</v>
      </c>
      <c r="J750" t="str">
        <f t="shared" si="90"/>
        <v>Heating</v>
      </c>
      <c r="K750" s="26" t="str">
        <f t="shared" si="91"/>
        <v/>
      </c>
      <c r="L750" s="26" t="str">
        <f t="shared" si="92"/>
        <v/>
      </c>
      <c r="N750" t="e">
        <f t="shared" si="93"/>
        <v>#N/A</v>
      </c>
      <c r="O750" t="e">
        <f t="shared" si="94"/>
        <v>#N/A</v>
      </c>
    </row>
    <row r="751" spans="1:15">
      <c r="A751" s="25">
        <v>46299.49722222222</v>
      </c>
      <c r="B751">
        <v>18.878</v>
      </c>
      <c r="C751">
        <v>55.692999999999998</v>
      </c>
      <c r="D751">
        <v>939.45799999999997</v>
      </c>
      <c r="E751">
        <v>12.28</v>
      </c>
      <c r="F751">
        <v>429.06700000000001</v>
      </c>
      <c r="G751" s="26">
        <f t="shared" si="88"/>
        <v>9.8281217868096213</v>
      </c>
      <c r="H751" s="26">
        <f t="shared" si="95"/>
        <v>0.94499999999998252</v>
      </c>
      <c r="I751" s="26">
        <f t="shared" si="89"/>
        <v>6.5980000000000008</v>
      </c>
      <c r="J751" t="str">
        <f t="shared" si="90"/>
        <v>Heating</v>
      </c>
      <c r="K751" s="26" t="str">
        <f t="shared" si="91"/>
        <v/>
      </c>
      <c r="L751" s="26" t="str">
        <f t="shared" si="92"/>
        <v/>
      </c>
      <c r="N751" t="e">
        <f t="shared" si="93"/>
        <v>#N/A</v>
      </c>
      <c r="O751" t="e">
        <f t="shared" si="94"/>
        <v>#N/A</v>
      </c>
    </row>
    <row r="752" spans="1:15">
      <c r="A752" s="25">
        <v>46299.497916666667</v>
      </c>
      <c r="B752">
        <v>18.899999999999999</v>
      </c>
      <c r="C752">
        <v>55.74</v>
      </c>
      <c r="D752">
        <v>939.44</v>
      </c>
      <c r="E752">
        <v>12.335000000000001</v>
      </c>
      <c r="F752">
        <v>431.3</v>
      </c>
      <c r="G752" s="26">
        <f t="shared" si="88"/>
        <v>9.8612223772891383</v>
      </c>
      <c r="H752" s="26">
        <f t="shared" si="95"/>
        <v>0.82499999999999574</v>
      </c>
      <c r="I752" s="26">
        <f t="shared" si="89"/>
        <v>6.5649999999999977</v>
      </c>
      <c r="J752" t="str">
        <f t="shared" si="90"/>
        <v>Heating</v>
      </c>
      <c r="K752" s="26" t="str">
        <f t="shared" si="91"/>
        <v/>
      </c>
      <c r="L752" s="26" t="str">
        <f t="shared" si="92"/>
        <v/>
      </c>
      <c r="N752" t="e">
        <f t="shared" si="93"/>
        <v>#N/A</v>
      </c>
      <c r="O752" t="e">
        <f t="shared" si="94"/>
        <v>#N/A</v>
      </c>
    </row>
    <row r="753" spans="1:15">
      <c r="A753" s="25">
        <v>46299.498611111107</v>
      </c>
      <c r="B753">
        <v>18.91</v>
      </c>
      <c r="C753">
        <v>55.78</v>
      </c>
      <c r="D753">
        <v>939.41800000000001</v>
      </c>
      <c r="E753">
        <v>12.39</v>
      </c>
      <c r="F753">
        <v>433.53300000000002</v>
      </c>
      <c r="G753" s="26">
        <f t="shared" si="88"/>
        <v>9.8812564289003681</v>
      </c>
      <c r="H753" s="26">
        <f t="shared" si="95"/>
        <v>0.58500000000002217</v>
      </c>
      <c r="I753" s="26">
        <f t="shared" si="89"/>
        <v>6.52</v>
      </c>
      <c r="J753" t="str">
        <f t="shared" si="90"/>
        <v>Steady</v>
      </c>
      <c r="K753" s="26" t="str">
        <f t="shared" si="91"/>
        <v/>
      </c>
      <c r="L753" s="26" t="str">
        <f t="shared" si="92"/>
        <v/>
      </c>
      <c r="N753" t="e">
        <f t="shared" si="93"/>
        <v>#N/A</v>
      </c>
      <c r="O753" t="e">
        <f t="shared" si="94"/>
        <v>#N/A</v>
      </c>
    </row>
    <row r="754" spans="1:15">
      <c r="A754" s="25">
        <v>46299.499305555553</v>
      </c>
      <c r="B754">
        <v>18.91</v>
      </c>
      <c r="C754">
        <v>55.542999999999999</v>
      </c>
      <c r="D754">
        <v>939.39800000000002</v>
      </c>
      <c r="E754">
        <v>12.445</v>
      </c>
      <c r="F754">
        <v>435.767</v>
      </c>
      <c r="G754" s="26">
        <f t="shared" si="88"/>
        <v>9.8176869420671853</v>
      </c>
      <c r="H754" s="26">
        <f t="shared" si="95"/>
        <v>0.37500000000003197</v>
      </c>
      <c r="I754" s="26">
        <f t="shared" si="89"/>
        <v>6.4649999999999999</v>
      </c>
      <c r="J754" t="str">
        <f t="shared" si="90"/>
        <v>Steady</v>
      </c>
      <c r="K754" s="26" t="str">
        <f t="shared" si="91"/>
        <v/>
      </c>
      <c r="L754" s="26" t="str">
        <f t="shared" si="92"/>
        <v/>
      </c>
      <c r="N754" t="e">
        <f t="shared" si="93"/>
        <v>#N/A</v>
      </c>
      <c r="O754" t="e">
        <f t="shared" si="94"/>
        <v>#N/A</v>
      </c>
    </row>
    <row r="755" spans="1:15">
      <c r="A755" s="25">
        <v>46299.5</v>
      </c>
      <c r="B755">
        <v>18.917000000000002</v>
      </c>
      <c r="C755">
        <v>55.728000000000002</v>
      </c>
      <c r="D755">
        <v>939.39700000000005</v>
      </c>
      <c r="E755">
        <v>12.5</v>
      </c>
      <c r="F755">
        <v>438</v>
      </c>
      <c r="G755" s="26">
        <f t="shared" si="88"/>
        <v>9.8738541673051046</v>
      </c>
      <c r="H755" s="26">
        <f t="shared" si="95"/>
        <v>0.32999999999997698</v>
      </c>
      <c r="I755" s="26">
        <f t="shared" si="89"/>
        <v>6.4170000000000016</v>
      </c>
      <c r="J755" t="str">
        <f t="shared" si="90"/>
        <v>Steady</v>
      </c>
      <c r="K755" s="26" t="str">
        <f t="shared" si="91"/>
        <v/>
      </c>
      <c r="L755" s="26" t="str">
        <f t="shared" si="92"/>
        <v/>
      </c>
      <c r="N755" t="e">
        <f t="shared" si="93"/>
        <v>#N/A</v>
      </c>
      <c r="O755" t="e">
        <f t="shared" si="94"/>
        <v>#N/A</v>
      </c>
    </row>
    <row r="756" spans="1:15">
      <c r="A756" s="25">
        <v>46299.500694444447</v>
      </c>
      <c r="B756">
        <v>18.925000000000001</v>
      </c>
      <c r="C756">
        <v>55.588000000000001</v>
      </c>
      <c r="D756">
        <v>939.36500000000001</v>
      </c>
      <c r="E756">
        <v>12.532999999999999</v>
      </c>
      <c r="F756">
        <v>438.91699999999997</v>
      </c>
      <c r="G756" s="26">
        <f t="shared" si="88"/>
        <v>9.8437535499027362</v>
      </c>
      <c r="H756" s="26">
        <f t="shared" si="95"/>
        <v>0.41999999999998039</v>
      </c>
      <c r="I756" s="26">
        <f t="shared" si="89"/>
        <v>6.3920000000000012</v>
      </c>
      <c r="J756" t="str">
        <f t="shared" si="90"/>
        <v>Steady</v>
      </c>
      <c r="K756" s="26" t="str">
        <f t="shared" si="91"/>
        <v/>
      </c>
      <c r="L756" s="26" t="str">
        <f t="shared" si="92"/>
        <v/>
      </c>
      <c r="N756" t="e">
        <f t="shared" si="93"/>
        <v>#N/A</v>
      </c>
      <c r="O756" t="e">
        <f t="shared" si="94"/>
        <v>#N/A</v>
      </c>
    </row>
    <row r="757" spans="1:15">
      <c r="A757" s="25">
        <v>46299.501388888893</v>
      </c>
      <c r="B757">
        <v>18.931999999999999</v>
      </c>
      <c r="C757">
        <v>55.534999999999997</v>
      </c>
      <c r="D757">
        <v>939.34500000000003</v>
      </c>
      <c r="E757">
        <v>12.567</v>
      </c>
      <c r="F757">
        <v>439.83300000000003</v>
      </c>
      <c r="G757" s="26">
        <f t="shared" si="88"/>
        <v>9.8360358179881491</v>
      </c>
      <c r="H757" s="26">
        <f t="shared" si="95"/>
        <v>0.38999999999999702</v>
      </c>
      <c r="I757" s="26">
        <f t="shared" si="89"/>
        <v>6.3649999999999984</v>
      </c>
      <c r="J757" t="str">
        <f t="shared" si="90"/>
        <v>Steady</v>
      </c>
      <c r="K757" s="26" t="str">
        <f t="shared" si="91"/>
        <v/>
      </c>
      <c r="L757" s="26" t="str">
        <f t="shared" si="92"/>
        <v/>
      </c>
      <c r="N757" t="e">
        <f t="shared" si="93"/>
        <v>#N/A</v>
      </c>
      <c r="O757" t="e">
        <f t="shared" si="94"/>
        <v>#N/A</v>
      </c>
    </row>
    <row r="758" spans="1:15">
      <c r="A758" s="25">
        <v>46299.502083333333</v>
      </c>
      <c r="B758">
        <v>18.937999999999999</v>
      </c>
      <c r="C758">
        <v>55.798000000000002</v>
      </c>
      <c r="D758">
        <v>939.32799999999997</v>
      </c>
      <c r="E758">
        <v>12.6</v>
      </c>
      <c r="F758">
        <v>440.75</v>
      </c>
      <c r="G758" s="26">
        <f t="shared" si="88"/>
        <v>9.9121787391447729</v>
      </c>
      <c r="H758" s="26">
        <f t="shared" si="95"/>
        <v>0.52500000000000213</v>
      </c>
      <c r="I758" s="26">
        <f t="shared" si="89"/>
        <v>6.3379999999999992</v>
      </c>
      <c r="J758" t="str">
        <f t="shared" si="90"/>
        <v>Steady</v>
      </c>
      <c r="K758" s="26" t="str">
        <f t="shared" si="91"/>
        <v/>
      </c>
      <c r="L758" s="26" t="str">
        <f t="shared" si="92"/>
        <v/>
      </c>
      <c r="N758" t="e">
        <f t="shared" si="93"/>
        <v>#N/A</v>
      </c>
      <c r="O758" t="e">
        <f t="shared" si="94"/>
        <v>#N/A</v>
      </c>
    </row>
    <row r="759" spans="1:15">
      <c r="A759" s="25">
        <v>46299.50277777778</v>
      </c>
      <c r="B759">
        <v>18.943000000000001</v>
      </c>
      <c r="C759">
        <v>55.552</v>
      </c>
      <c r="D759">
        <v>939.30200000000002</v>
      </c>
      <c r="E759">
        <v>12.632999999999999</v>
      </c>
      <c r="F759">
        <v>441.66699999999997</v>
      </c>
      <c r="G759" s="26">
        <f t="shared" si="88"/>
        <v>9.8508546837052204</v>
      </c>
      <c r="H759" s="26">
        <f t="shared" si="95"/>
        <v>0.42000000000003368</v>
      </c>
      <c r="I759" s="26">
        <f t="shared" si="89"/>
        <v>6.3100000000000023</v>
      </c>
      <c r="J759" t="str">
        <f t="shared" si="90"/>
        <v>Steady</v>
      </c>
      <c r="K759" s="26" t="str">
        <f t="shared" si="91"/>
        <v/>
      </c>
      <c r="L759" s="26" t="str">
        <f t="shared" si="92"/>
        <v/>
      </c>
      <c r="N759" t="e">
        <f t="shared" si="93"/>
        <v>#N/A</v>
      </c>
      <c r="O759" t="e">
        <f t="shared" si="94"/>
        <v>#N/A</v>
      </c>
    </row>
    <row r="760" spans="1:15">
      <c r="A760" s="25">
        <v>46299.503472222219</v>
      </c>
      <c r="B760">
        <v>18.96</v>
      </c>
      <c r="C760">
        <v>55.506999999999998</v>
      </c>
      <c r="D760">
        <v>939.30200000000002</v>
      </c>
      <c r="E760">
        <v>12.667</v>
      </c>
      <c r="F760">
        <v>442.58300000000003</v>
      </c>
      <c r="G760" s="26">
        <f t="shared" si="88"/>
        <v>9.8545952506919736</v>
      </c>
      <c r="H760" s="26">
        <f t="shared" si="95"/>
        <v>0.48000000000000043</v>
      </c>
      <c r="I760" s="26">
        <f t="shared" si="89"/>
        <v>6.293000000000001</v>
      </c>
      <c r="J760" t="str">
        <f t="shared" si="90"/>
        <v>Steady</v>
      </c>
      <c r="K760" s="26" t="str">
        <f t="shared" si="91"/>
        <v/>
      </c>
      <c r="L760" s="26" t="str">
        <f t="shared" si="92"/>
        <v/>
      </c>
      <c r="N760" t="e">
        <f t="shared" si="93"/>
        <v>#N/A</v>
      </c>
      <c r="O760" t="e">
        <f t="shared" si="94"/>
        <v>#N/A</v>
      </c>
    </row>
    <row r="761" spans="1:15">
      <c r="A761" s="25">
        <v>46299.504166666673</v>
      </c>
      <c r="B761">
        <v>18.96</v>
      </c>
      <c r="C761">
        <v>55.491999999999997</v>
      </c>
      <c r="D761">
        <v>939.25300000000004</v>
      </c>
      <c r="E761">
        <v>12.7</v>
      </c>
      <c r="F761">
        <v>443.5</v>
      </c>
      <c r="G761" s="26">
        <f t="shared" si="88"/>
        <v>9.8505600282981973</v>
      </c>
      <c r="H761" s="26">
        <f t="shared" si="95"/>
        <v>0.59999999999998721</v>
      </c>
      <c r="I761" s="26">
        <f t="shared" si="89"/>
        <v>6.2600000000000016</v>
      </c>
      <c r="J761" t="str">
        <f t="shared" si="90"/>
        <v>Steady</v>
      </c>
      <c r="K761" s="26" t="str">
        <f t="shared" si="91"/>
        <v/>
      </c>
      <c r="L761" s="26" t="str">
        <f t="shared" si="92"/>
        <v/>
      </c>
      <c r="N761" t="e">
        <f t="shared" si="93"/>
        <v>#N/A</v>
      </c>
      <c r="O761" t="e">
        <f t="shared" si="94"/>
        <v>#N/A</v>
      </c>
    </row>
    <row r="762" spans="1:15">
      <c r="A762" s="25">
        <v>46299.504861111112</v>
      </c>
      <c r="B762">
        <v>18.97</v>
      </c>
      <c r="C762">
        <v>55.356999999999999</v>
      </c>
      <c r="D762">
        <v>939.24300000000005</v>
      </c>
      <c r="E762">
        <v>12.733000000000001</v>
      </c>
      <c r="F762">
        <v>444.41699999999997</v>
      </c>
      <c r="G762" s="26">
        <f t="shared" si="88"/>
        <v>9.8235136943081827</v>
      </c>
      <c r="H762" s="26">
        <f t="shared" si="95"/>
        <v>0.5549999999999855</v>
      </c>
      <c r="I762" s="26">
        <f t="shared" si="89"/>
        <v>6.2369999999999983</v>
      </c>
      <c r="J762" t="str">
        <f t="shared" si="90"/>
        <v>Steady</v>
      </c>
      <c r="K762" s="26" t="str">
        <f t="shared" si="91"/>
        <v/>
      </c>
      <c r="L762" s="26" t="str">
        <f t="shared" si="92"/>
        <v/>
      </c>
      <c r="N762" t="e">
        <f t="shared" si="93"/>
        <v>#N/A</v>
      </c>
      <c r="O762" t="e">
        <f t="shared" si="94"/>
        <v>#N/A</v>
      </c>
    </row>
    <row r="763" spans="1:15">
      <c r="A763" s="25">
        <v>46299.505555555559</v>
      </c>
      <c r="B763">
        <v>18.983000000000001</v>
      </c>
      <c r="C763">
        <v>55.487000000000002</v>
      </c>
      <c r="D763">
        <v>939.25300000000004</v>
      </c>
      <c r="E763">
        <v>12.766999999999999</v>
      </c>
      <c r="F763">
        <v>445.33300000000003</v>
      </c>
      <c r="G763" s="26">
        <f t="shared" si="88"/>
        <v>9.8706428837611391</v>
      </c>
      <c r="H763" s="26">
        <f t="shared" si="95"/>
        <v>0.59999999999998721</v>
      </c>
      <c r="I763" s="26">
        <f t="shared" si="89"/>
        <v>6.2160000000000011</v>
      </c>
      <c r="J763" t="str">
        <f t="shared" si="90"/>
        <v>Steady</v>
      </c>
      <c r="K763" s="26" t="str">
        <f t="shared" si="91"/>
        <v/>
      </c>
      <c r="L763" s="26" t="str">
        <f t="shared" si="92"/>
        <v/>
      </c>
      <c r="N763" t="e">
        <f t="shared" si="93"/>
        <v>#N/A</v>
      </c>
      <c r="O763" t="e">
        <f t="shared" si="94"/>
        <v>#N/A</v>
      </c>
    </row>
    <row r="764" spans="1:15">
      <c r="A764" s="25">
        <v>46299.506249999999</v>
      </c>
      <c r="B764">
        <v>18.997</v>
      </c>
      <c r="C764">
        <v>55.45</v>
      </c>
      <c r="D764">
        <v>939.24</v>
      </c>
      <c r="E764">
        <v>12.8</v>
      </c>
      <c r="F764">
        <v>446.25</v>
      </c>
      <c r="G764" s="26">
        <f t="shared" si="88"/>
        <v>9.8737248677610765</v>
      </c>
      <c r="H764" s="26">
        <f t="shared" si="95"/>
        <v>0.40500000000001535</v>
      </c>
      <c r="I764" s="26">
        <f t="shared" si="89"/>
        <v>6.1969999999999992</v>
      </c>
      <c r="J764" t="str">
        <f t="shared" si="90"/>
        <v>Steady</v>
      </c>
      <c r="K764" s="26" t="str">
        <f t="shared" si="91"/>
        <v/>
      </c>
      <c r="L764" s="26" t="str">
        <f t="shared" si="92"/>
        <v/>
      </c>
      <c r="N764" t="e">
        <f t="shared" si="93"/>
        <v>#N/A</v>
      </c>
      <c r="O764" t="e">
        <f t="shared" si="94"/>
        <v>#N/A</v>
      </c>
    </row>
    <row r="765" spans="1:15">
      <c r="A765" s="25">
        <v>46299.506944444453</v>
      </c>
      <c r="B765">
        <v>19</v>
      </c>
      <c r="C765">
        <v>55.457000000000001</v>
      </c>
      <c r="D765">
        <v>939.19299999999998</v>
      </c>
      <c r="E765">
        <v>12.833</v>
      </c>
      <c r="F765">
        <v>447.16699999999997</v>
      </c>
      <c r="G765" s="26">
        <f t="shared" si="88"/>
        <v>9.8784046395730432</v>
      </c>
      <c r="H765" s="26">
        <f t="shared" si="95"/>
        <v>0.32999999999997698</v>
      </c>
      <c r="I765" s="26">
        <f t="shared" si="89"/>
        <v>6.1669999999999998</v>
      </c>
      <c r="J765" t="str">
        <f t="shared" si="90"/>
        <v>Steady</v>
      </c>
      <c r="K765" s="26" t="str">
        <f t="shared" si="91"/>
        <v/>
      </c>
      <c r="L765" s="26" t="str">
        <f t="shared" si="92"/>
        <v/>
      </c>
      <c r="N765" t="e">
        <f t="shared" si="93"/>
        <v>#N/A</v>
      </c>
      <c r="O765" t="e">
        <f t="shared" si="94"/>
        <v>#N/A</v>
      </c>
    </row>
    <row r="766" spans="1:15">
      <c r="A766" s="25">
        <v>46299.507638888892</v>
      </c>
      <c r="B766">
        <v>18.997</v>
      </c>
      <c r="C766">
        <v>55.402000000000001</v>
      </c>
      <c r="D766">
        <v>939.18</v>
      </c>
      <c r="E766">
        <v>12.867000000000001</v>
      </c>
      <c r="F766">
        <v>448.08300000000003</v>
      </c>
      <c r="G766" s="26">
        <f t="shared" si="88"/>
        <v>9.86079353061516</v>
      </c>
      <c r="H766" s="26">
        <f t="shared" si="95"/>
        <v>0.15000000000002345</v>
      </c>
      <c r="I766" s="26">
        <f t="shared" si="89"/>
        <v>6.129999999999999</v>
      </c>
      <c r="J766" t="str">
        <f t="shared" si="90"/>
        <v>Steady</v>
      </c>
      <c r="K766" s="26" t="str">
        <f t="shared" si="91"/>
        <v/>
      </c>
      <c r="L766" s="26" t="str">
        <f t="shared" si="92"/>
        <v/>
      </c>
      <c r="N766" t="e">
        <f t="shared" si="93"/>
        <v>#N/A</v>
      </c>
      <c r="O766" t="e">
        <f t="shared" si="94"/>
        <v>#N/A</v>
      </c>
    </row>
    <row r="767" spans="1:15">
      <c r="A767" s="25">
        <v>46299.508333333331</v>
      </c>
      <c r="B767">
        <v>19.004999999999999</v>
      </c>
      <c r="C767">
        <v>55.231999999999999</v>
      </c>
      <c r="D767">
        <v>939.178</v>
      </c>
      <c r="E767">
        <v>12.9</v>
      </c>
      <c r="F767">
        <v>449</v>
      </c>
      <c r="G767" s="26">
        <f t="shared" si="88"/>
        <v>9.8223645942009519</v>
      </c>
      <c r="H767" s="26">
        <f t="shared" si="95"/>
        <v>0.27000000000001023</v>
      </c>
      <c r="I767" s="26">
        <f t="shared" si="89"/>
        <v>6.1049999999999986</v>
      </c>
      <c r="J767" t="str">
        <f t="shared" si="90"/>
        <v>Steady</v>
      </c>
      <c r="K767" s="26" t="str">
        <f t="shared" si="91"/>
        <v/>
      </c>
      <c r="L767" s="26" t="str">
        <f t="shared" si="92"/>
        <v/>
      </c>
      <c r="N767" t="e">
        <f t="shared" si="93"/>
        <v>#N/A</v>
      </c>
      <c r="O767" t="e">
        <f t="shared" si="94"/>
        <v>#N/A</v>
      </c>
    </row>
    <row r="768" spans="1:15">
      <c r="A768" s="25">
        <v>46299.509027777778</v>
      </c>
      <c r="B768">
        <v>19.007000000000001</v>
      </c>
      <c r="C768">
        <v>55.283000000000001</v>
      </c>
      <c r="D768">
        <v>939.14200000000005</v>
      </c>
      <c r="E768">
        <v>12.933</v>
      </c>
      <c r="F768">
        <v>449.91699999999997</v>
      </c>
      <c r="G768" s="26">
        <f t="shared" si="88"/>
        <v>9.8380043846405236</v>
      </c>
      <c r="H768" s="26">
        <f t="shared" si="95"/>
        <v>0.38999999999999702</v>
      </c>
      <c r="I768" s="26">
        <f t="shared" si="89"/>
        <v>6.0740000000000016</v>
      </c>
      <c r="J768" t="str">
        <f t="shared" si="90"/>
        <v>Steady</v>
      </c>
      <c r="K768" s="26" t="str">
        <f t="shared" si="91"/>
        <v/>
      </c>
      <c r="L768" s="26" t="str">
        <f t="shared" si="92"/>
        <v/>
      </c>
      <c r="N768" t="e">
        <f t="shared" si="93"/>
        <v>#N/A</v>
      </c>
      <c r="O768" t="e">
        <f t="shared" si="94"/>
        <v>#N/A</v>
      </c>
    </row>
    <row r="769" spans="1:15">
      <c r="A769" s="25">
        <v>46299.509722222218</v>
      </c>
      <c r="B769">
        <v>19.018000000000001</v>
      </c>
      <c r="C769">
        <v>55.076999999999998</v>
      </c>
      <c r="D769">
        <v>939.125</v>
      </c>
      <c r="E769">
        <v>12.967000000000001</v>
      </c>
      <c r="F769">
        <v>450.83300000000003</v>
      </c>
      <c r="G769" s="26">
        <f t="shared" si="88"/>
        <v>9.7925242579507739</v>
      </c>
      <c r="H769" s="26">
        <f t="shared" si="95"/>
        <v>0.34499999999999531</v>
      </c>
      <c r="I769" s="26">
        <f t="shared" si="89"/>
        <v>6.0510000000000002</v>
      </c>
      <c r="J769" t="str">
        <f t="shared" si="90"/>
        <v>Steady</v>
      </c>
      <c r="K769" s="26" t="str">
        <f t="shared" si="91"/>
        <v/>
      </c>
      <c r="L769" s="26" t="str">
        <f t="shared" si="92"/>
        <v/>
      </c>
      <c r="N769" t="e">
        <f t="shared" si="93"/>
        <v>#N/A</v>
      </c>
      <c r="O769" t="e">
        <f t="shared" si="94"/>
        <v>#N/A</v>
      </c>
    </row>
    <row r="770" spans="1:15">
      <c r="A770" s="25">
        <v>46299.510416666657</v>
      </c>
      <c r="B770">
        <v>19.023</v>
      </c>
      <c r="C770">
        <v>54.991999999999997</v>
      </c>
      <c r="D770">
        <v>939.10299999999995</v>
      </c>
      <c r="E770">
        <v>13</v>
      </c>
      <c r="F770">
        <v>451.75</v>
      </c>
      <c r="G770" s="26">
        <f t="shared" ref="G770:G833" si="96">243.04*(LN(C770/100)+17.625*B770/(243.04+B770))/(17.625-LN(C770/100)-17.625*B770/(243.04+B770))</f>
        <v>9.774131147497263</v>
      </c>
      <c r="H770" s="26">
        <f t="shared" si="95"/>
        <v>0.34499999999999531</v>
      </c>
      <c r="I770" s="26">
        <f t="shared" ref="I770:I833" si="97">B770-E770</f>
        <v>6.0229999999999997</v>
      </c>
      <c r="J770" t="str">
        <f t="shared" ref="J770:J833" si="98">IF(H770="","",IF(H770&gt;0.6,"Heating",IF(H770&lt;-0.2,"Cooling","Steady")))</f>
        <v>Steady</v>
      </c>
      <c r="K770" s="26" t="str">
        <f t="shared" ref="K770:K833" si="99">IF(J770="Cooling",I770,"")</f>
        <v/>
      </c>
      <c r="L770" s="26" t="str">
        <f t="shared" ref="L770:L833" si="100">IF(J770="Cooling",H770,"")</f>
        <v/>
      </c>
      <c r="N770" t="e">
        <f t="shared" ref="N770:N833" si="101">IF(K770="",NA(),K770)</f>
        <v>#N/A</v>
      </c>
      <c r="O770" t="e">
        <f t="shared" ref="O770:O833" si="102">IF(L770="",NA(),L770)</f>
        <v>#N/A</v>
      </c>
    </row>
    <row r="771" spans="1:15">
      <c r="A771" s="25">
        <v>46299.511111111111</v>
      </c>
      <c r="B771">
        <v>19.027999999999999</v>
      </c>
      <c r="C771">
        <v>54.628</v>
      </c>
      <c r="D771">
        <v>939.09299999999996</v>
      </c>
      <c r="E771">
        <v>13.032999999999999</v>
      </c>
      <c r="F771">
        <v>452.66699999999997</v>
      </c>
      <c r="G771" s="26">
        <f t="shared" si="96"/>
        <v>9.6797275361474675</v>
      </c>
      <c r="H771" s="26">
        <f t="shared" si="95"/>
        <v>0.32999999999997698</v>
      </c>
      <c r="I771" s="26">
        <f t="shared" si="97"/>
        <v>5.9949999999999992</v>
      </c>
      <c r="J771" t="str">
        <f t="shared" si="98"/>
        <v>Steady</v>
      </c>
      <c r="K771" s="26" t="str">
        <f t="shared" si="99"/>
        <v/>
      </c>
      <c r="L771" s="26" t="str">
        <f t="shared" si="100"/>
        <v/>
      </c>
      <c r="N771" t="e">
        <f t="shared" si="101"/>
        <v>#N/A</v>
      </c>
      <c r="O771" t="e">
        <f t="shared" si="102"/>
        <v>#N/A</v>
      </c>
    </row>
    <row r="772" spans="1:15">
      <c r="A772" s="25">
        <v>46299.511805555558</v>
      </c>
      <c r="B772">
        <v>19.03</v>
      </c>
      <c r="C772">
        <v>53.587000000000003</v>
      </c>
      <c r="D772">
        <v>939.04</v>
      </c>
      <c r="E772">
        <v>13.067</v>
      </c>
      <c r="F772">
        <v>453.58300000000003</v>
      </c>
      <c r="G772" s="26">
        <f t="shared" si="96"/>
        <v>9.3950431045103606</v>
      </c>
      <c r="H772" s="26">
        <f t="shared" ref="H772:H835" si="103">(B774-B770)/4*60</f>
        <v>0.63000000000002387</v>
      </c>
      <c r="I772" s="26">
        <f t="shared" si="97"/>
        <v>5.963000000000001</v>
      </c>
      <c r="J772" t="str">
        <f t="shared" si="98"/>
        <v>Heating</v>
      </c>
      <c r="K772" s="26" t="str">
        <f t="shared" si="99"/>
        <v/>
      </c>
      <c r="L772" s="26" t="str">
        <f t="shared" si="100"/>
        <v/>
      </c>
      <c r="N772" t="e">
        <f t="shared" si="101"/>
        <v>#N/A</v>
      </c>
      <c r="O772" t="e">
        <f t="shared" si="102"/>
        <v>#N/A</v>
      </c>
    </row>
    <row r="773" spans="1:15">
      <c r="A773" s="25">
        <v>46299.512499999997</v>
      </c>
      <c r="B773">
        <v>19.04</v>
      </c>
      <c r="C773">
        <v>53.667999999999999</v>
      </c>
      <c r="D773">
        <v>939.00300000000004</v>
      </c>
      <c r="E773">
        <v>13.1</v>
      </c>
      <c r="F773">
        <v>454.5</v>
      </c>
      <c r="G773" s="26">
        <f t="shared" si="96"/>
        <v>9.4267942850451085</v>
      </c>
      <c r="H773" s="26">
        <f t="shared" si="103"/>
        <v>1.485000000000003</v>
      </c>
      <c r="I773" s="26">
        <f t="shared" si="97"/>
        <v>5.9399999999999995</v>
      </c>
      <c r="J773" t="str">
        <f t="shared" si="98"/>
        <v>Heating</v>
      </c>
      <c r="K773" s="26" t="str">
        <f t="shared" si="99"/>
        <v/>
      </c>
      <c r="L773" s="26" t="str">
        <f t="shared" si="100"/>
        <v/>
      </c>
      <c r="N773" t="e">
        <f t="shared" si="101"/>
        <v>#N/A</v>
      </c>
      <c r="O773" t="e">
        <f t="shared" si="102"/>
        <v>#N/A</v>
      </c>
    </row>
    <row r="774" spans="1:15">
      <c r="A774" s="25">
        <v>46299.513194444437</v>
      </c>
      <c r="B774">
        <v>19.065000000000001</v>
      </c>
      <c r="C774">
        <v>53.633000000000003</v>
      </c>
      <c r="D774">
        <v>939.01300000000003</v>
      </c>
      <c r="E774">
        <v>13.132999999999999</v>
      </c>
      <c r="F774">
        <v>455.41699999999997</v>
      </c>
      <c r="G774" s="26">
        <f t="shared" si="96"/>
        <v>9.4402851644426562</v>
      </c>
      <c r="H774" s="26">
        <f t="shared" si="103"/>
        <v>2.970000000000006</v>
      </c>
      <c r="I774" s="26">
        <f t="shared" si="97"/>
        <v>5.9320000000000022</v>
      </c>
      <c r="J774" t="str">
        <f t="shared" si="98"/>
        <v>Heating</v>
      </c>
      <c r="K774" s="26" t="str">
        <f t="shared" si="99"/>
        <v/>
      </c>
      <c r="L774" s="26" t="str">
        <f t="shared" si="100"/>
        <v/>
      </c>
      <c r="N774" t="e">
        <f t="shared" si="101"/>
        <v>#N/A</v>
      </c>
      <c r="O774" t="e">
        <f t="shared" si="102"/>
        <v>#N/A</v>
      </c>
    </row>
    <row r="775" spans="1:15">
      <c r="A775" s="25">
        <v>46299.513888888891</v>
      </c>
      <c r="B775">
        <v>19.126999999999999</v>
      </c>
      <c r="C775">
        <v>53.49</v>
      </c>
      <c r="D775">
        <v>939.01800000000003</v>
      </c>
      <c r="E775">
        <v>13.167</v>
      </c>
      <c r="F775">
        <v>456.33300000000003</v>
      </c>
      <c r="G775" s="26">
        <f t="shared" si="96"/>
        <v>9.4580718354612845</v>
      </c>
      <c r="H775" s="26">
        <f t="shared" si="103"/>
        <v>4.5000000000000107</v>
      </c>
      <c r="I775" s="26">
        <f t="shared" si="97"/>
        <v>5.9599999999999991</v>
      </c>
      <c r="J775" t="str">
        <f t="shared" si="98"/>
        <v>Heating</v>
      </c>
      <c r="K775" s="26" t="str">
        <f t="shared" si="99"/>
        <v/>
      </c>
      <c r="L775" s="26" t="str">
        <f t="shared" si="100"/>
        <v/>
      </c>
      <c r="N775" t="e">
        <f t="shared" si="101"/>
        <v>#N/A</v>
      </c>
      <c r="O775" t="e">
        <f t="shared" si="102"/>
        <v>#N/A</v>
      </c>
    </row>
    <row r="776" spans="1:15">
      <c r="A776" s="25">
        <v>46299.51458333333</v>
      </c>
      <c r="B776">
        <v>19.228000000000002</v>
      </c>
      <c r="C776">
        <v>53.101999999999997</v>
      </c>
      <c r="D776">
        <v>938.98500000000001</v>
      </c>
      <c r="E776">
        <v>13.2</v>
      </c>
      <c r="F776">
        <v>457.25</v>
      </c>
      <c r="G776" s="26">
        <f t="shared" si="96"/>
        <v>9.4433692399016298</v>
      </c>
      <c r="H776" s="26">
        <f t="shared" si="103"/>
        <v>5.9999999999999787</v>
      </c>
      <c r="I776" s="26">
        <f t="shared" si="97"/>
        <v>6.0280000000000022</v>
      </c>
      <c r="J776" t="str">
        <f t="shared" si="98"/>
        <v>Heating</v>
      </c>
      <c r="K776" s="26" t="str">
        <f t="shared" si="99"/>
        <v/>
      </c>
      <c r="L776" s="26" t="str">
        <f t="shared" si="100"/>
        <v/>
      </c>
      <c r="N776" t="e">
        <f t="shared" si="101"/>
        <v>#N/A</v>
      </c>
      <c r="O776" t="e">
        <f t="shared" si="102"/>
        <v>#N/A</v>
      </c>
    </row>
    <row r="777" spans="1:15">
      <c r="A777" s="25">
        <v>46299.515277777777</v>
      </c>
      <c r="B777">
        <v>19.34</v>
      </c>
      <c r="C777">
        <v>52.75</v>
      </c>
      <c r="D777">
        <v>938.89800000000002</v>
      </c>
      <c r="E777">
        <v>13.233000000000001</v>
      </c>
      <c r="F777">
        <v>458.16699999999997</v>
      </c>
      <c r="G777" s="26">
        <f t="shared" si="96"/>
        <v>9.4481470705783632</v>
      </c>
      <c r="H777" s="26">
        <f t="shared" si="103"/>
        <v>6.0750000000000171</v>
      </c>
      <c r="I777" s="26">
        <f t="shared" si="97"/>
        <v>6.1069999999999993</v>
      </c>
      <c r="J777" t="str">
        <f t="shared" si="98"/>
        <v>Heating</v>
      </c>
      <c r="K777" s="26" t="str">
        <f t="shared" si="99"/>
        <v/>
      </c>
      <c r="L777" s="26" t="str">
        <f t="shared" si="100"/>
        <v/>
      </c>
      <c r="N777" t="e">
        <f t="shared" si="101"/>
        <v>#N/A</v>
      </c>
      <c r="O777" t="e">
        <f t="shared" si="102"/>
        <v>#N/A</v>
      </c>
    </row>
    <row r="778" spans="1:15">
      <c r="A778" s="25">
        <v>46299.515972222223</v>
      </c>
      <c r="B778">
        <v>19.465</v>
      </c>
      <c r="C778">
        <v>51.966999999999999</v>
      </c>
      <c r="D778">
        <v>938.91700000000003</v>
      </c>
      <c r="E778">
        <v>13.266999999999999</v>
      </c>
      <c r="F778">
        <v>459.08300000000003</v>
      </c>
      <c r="G778" s="26">
        <f t="shared" si="96"/>
        <v>9.3413242494020157</v>
      </c>
      <c r="H778" s="26">
        <f t="shared" si="103"/>
        <v>4.3049999999999855</v>
      </c>
      <c r="I778" s="26">
        <f t="shared" si="97"/>
        <v>6.1980000000000004</v>
      </c>
      <c r="J778" t="str">
        <f t="shared" si="98"/>
        <v>Heating</v>
      </c>
      <c r="K778" s="26" t="str">
        <f t="shared" si="99"/>
        <v/>
      </c>
      <c r="L778" s="26" t="str">
        <f t="shared" si="100"/>
        <v/>
      </c>
      <c r="N778" t="e">
        <f t="shared" si="101"/>
        <v>#N/A</v>
      </c>
      <c r="O778" t="e">
        <f t="shared" si="102"/>
        <v>#N/A</v>
      </c>
    </row>
    <row r="779" spans="1:15">
      <c r="A779" s="25">
        <v>46299.51666666667</v>
      </c>
      <c r="B779">
        <v>19.532</v>
      </c>
      <c r="C779">
        <v>51.935000000000002</v>
      </c>
      <c r="D779">
        <v>938.88499999999999</v>
      </c>
      <c r="E779">
        <v>13.3</v>
      </c>
      <c r="F779">
        <v>460</v>
      </c>
      <c r="G779" s="26">
        <f t="shared" si="96"/>
        <v>9.3940920011012654</v>
      </c>
      <c r="H779" s="26">
        <f t="shared" si="103"/>
        <v>2.3550000000000004</v>
      </c>
      <c r="I779" s="26">
        <f t="shared" si="97"/>
        <v>6.2319999999999993</v>
      </c>
      <c r="J779" t="str">
        <f t="shared" si="98"/>
        <v>Heating</v>
      </c>
      <c r="K779" s="26" t="str">
        <f t="shared" si="99"/>
        <v/>
      </c>
      <c r="L779" s="26" t="str">
        <f t="shared" si="100"/>
        <v/>
      </c>
      <c r="N779" t="e">
        <f t="shared" si="101"/>
        <v>#N/A</v>
      </c>
      <c r="O779" t="e">
        <f t="shared" si="102"/>
        <v>#N/A</v>
      </c>
    </row>
    <row r="780" spans="1:15">
      <c r="A780" s="25">
        <v>46299.517361111109</v>
      </c>
      <c r="B780">
        <v>19.515000000000001</v>
      </c>
      <c r="C780">
        <v>52.02</v>
      </c>
      <c r="D780">
        <v>938.90200000000004</v>
      </c>
      <c r="E780">
        <v>13.333</v>
      </c>
      <c r="F780">
        <v>460.91699999999997</v>
      </c>
      <c r="G780" s="26">
        <f t="shared" si="96"/>
        <v>9.4027059115794174</v>
      </c>
      <c r="H780" s="26">
        <f t="shared" si="103"/>
        <v>0.27000000000001023</v>
      </c>
      <c r="I780" s="26">
        <f t="shared" si="97"/>
        <v>6.1820000000000004</v>
      </c>
      <c r="J780" t="str">
        <f t="shared" si="98"/>
        <v>Steady</v>
      </c>
      <c r="K780" s="26" t="str">
        <f t="shared" si="99"/>
        <v/>
      </c>
      <c r="L780" s="26" t="str">
        <f t="shared" si="100"/>
        <v/>
      </c>
      <c r="N780" t="e">
        <f t="shared" si="101"/>
        <v>#N/A</v>
      </c>
      <c r="O780" t="e">
        <f t="shared" si="102"/>
        <v>#N/A</v>
      </c>
    </row>
    <row r="781" spans="1:15">
      <c r="A781" s="25">
        <v>46299.518055555563</v>
      </c>
      <c r="B781">
        <v>19.497</v>
      </c>
      <c r="C781">
        <v>51.911999999999999</v>
      </c>
      <c r="D781">
        <v>938.85699999999997</v>
      </c>
      <c r="E781">
        <v>13.367000000000001</v>
      </c>
      <c r="F781">
        <v>461.83300000000003</v>
      </c>
      <c r="G781" s="26">
        <f t="shared" si="96"/>
        <v>9.3551547121043956</v>
      </c>
      <c r="H781" s="26">
        <f t="shared" si="103"/>
        <v>-1.0349999999999859</v>
      </c>
      <c r="I781" s="26">
        <f t="shared" si="97"/>
        <v>6.129999999999999</v>
      </c>
      <c r="J781" t="str">
        <f t="shared" si="98"/>
        <v>Cooling</v>
      </c>
      <c r="K781" s="26">
        <f t="shared" si="99"/>
        <v>6.129999999999999</v>
      </c>
      <c r="L781" s="26">
        <f t="shared" si="100"/>
        <v>-1.0349999999999859</v>
      </c>
      <c r="N781">
        <f t="shared" si="101"/>
        <v>6.129999999999999</v>
      </c>
      <c r="O781">
        <f t="shared" si="102"/>
        <v>-1.0349999999999859</v>
      </c>
    </row>
    <row r="782" spans="1:15">
      <c r="A782" s="25">
        <v>46299.518750000003</v>
      </c>
      <c r="B782">
        <v>19.483000000000001</v>
      </c>
      <c r="C782">
        <v>52.18</v>
      </c>
      <c r="D782">
        <v>938.85500000000002</v>
      </c>
      <c r="E782">
        <v>13.4</v>
      </c>
      <c r="F782">
        <v>462.75</v>
      </c>
      <c r="G782" s="26">
        <f t="shared" si="96"/>
        <v>9.4188087394719542</v>
      </c>
      <c r="H782" s="26">
        <f t="shared" si="103"/>
        <v>-1.095000000000006</v>
      </c>
      <c r="I782" s="26">
        <f t="shared" si="97"/>
        <v>6.0830000000000002</v>
      </c>
      <c r="J782" t="str">
        <f t="shared" si="98"/>
        <v>Cooling</v>
      </c>
      <c r="K782" s="26">
        <f t="shared" si="99"/>
        <v>6.0830000000000002</v>
      </c>
      <c r="L782" s="26">
        <f t="shared" si="100"/>
        <v>-1.095000000000006</v>
      </c>
      <c r="N782">
        <f t="shared" si="101"/>
        <v>6.0830000000000002</v>
      </c>
      <c r="O782">
        <f t="shared" si="102"/>
        <v>-1.095000000000006</v>
      </c>
    </row>
    <row r="783" spans="1:15">
      <c r="A783" s="25">
        <v>46299.519444444442</v>
      </c>
      <c r="B783">
        <v>19.463000000000001</v>
      </c>
      <c r="C783">
        <v>52.38</v>
      </c>
      <c r="D783">
        <v>938.827</v>
      </c>
      <c r="E783">
        <v>13.433</v>
      </c>
      <c r="F783">
        <v>463.66699999999997</v>
      </c>
      <c r="G783" s="26">
        <f t="shared" si="96"/>
        <v>9.4572377964958889</v>
      </c>
      <c r="H783" s="26">
        <f t="shared" si="103"/>
        <v>-1.1850000000000094</v>
      </c>
      <c r="I783" s="26">
        <f t="shared" si="97"/>
        <v>6.0300000000000011</v>
      </c>
      <c r="J783" t="str">
        <f t="shared" si="98"/>
        <v>Cooling</v>
      </c>
      <c r="K783" s="26">
        <f t="shared" si="99"/>
        <v>6.0300000000000011</v>
      </c>
      <c r="L783" s="26">
        <f t="shared" si="100"/>
        <v>-1.1850000000000094</v>
      </c>
      <c r="N783">
        <f t="shared" si="101"/>
        <v>6.0300000000000011</v>
      </c>
      <c r="O783">
        <f t="shared" si="102"/>
        <v>-1.1850000000000094</v>
      </c>
    </row>
    <row r="784" spans="1:15">
      <c r="A784" s="25">
        <v>46299.520138888889</v>
      </c>
      <c r="B784">
        <v>19.442</v>
      </c>
      <c r="C784">
        <v>52.287999999999997</v>
      </c>
      <c r="D784">
        <v>938.798</v>
      </c>
      <c r="E784">
        <v>13.467000000000001</v>
      </c>
      <c r="F784">
        <v>464.58300000000003</v>
      </c>
      <c r="G784" s="26">
        <f t="shared" si="96"/>
        <v>9.4116504906317004</v>
      </c>
      <c r="H784" s="26">
        <f t="shared" si="103"/>
        <v>-1.2750000000000128</v>
      </c>
      <c r="I784" s="26">
        <f t="shared" si="97"/>
        <v>5.9749999999999996</v>
      </c>
      <c r="J784" t="str">
        <f t="shared" si="98"/>
        <v>Cooling</v>
      </c>
      <c r="K784" s="26">
        <f t="shared" si="99"/>
        <v>5.9749999999999996</v>
      </c>
      <c r="L784" s="26">
        <f t="shared" si="100"/>
        <v>-1.2750000000000128</v>
      </c>
      <c r="N784">
        <f t="shared" si="101"/>
        <v>5.9749999999999996</v>
      </c>
      <c r="O784">
        <f t="shared" si="102"/>
        <v>-1.2750000000000128</v>
      </c>
    </row>
    <row r="785" spans="1:15">
      <c r="A785" s="25">
        <v>46299.520833333343</v>
      </c>
      <c r="B785">
        <v>19.417999999999999</v>
      </c>
      <c r="C785">
        <v>52.237000000000002</v>
      </c>
      <c r="D785">
        <v>938.77499999999998</v>
      </c>
      <c r="E785">
        <v>13.5</v>
      </c>
      <c r="F785">
        <v>465.5</v>
      </c>
      <c r="G785" s="26">
        <f t="shared" si="96"/>
        <v>9.3749342399356532</v>
      </c>
      <c r="H785" s="26">
        <f t="shared" si="103"/>
        <v>-1.2000000000000277</v>
      </c>
      <c r="I785" s="26">
        <f t="shared" si="97"/>
        <v>5.9179999999999993</v>
      </c>
      <c r="J785" t="str">
        <f t="shared" si="98"/>
        <v>Cooling</v>
      </c>
      <c r="K785" s="26">
        <f t="shared" si="99"/>
        <v>5.9179999999999993</v>
      </c>
      <c r="L785" s="26">
        <f t="shared" si="100"/>
        <v>-1.2000000000000277</v>
      </c>
      <c r="N785">
        <f t="shared" si="101"/>
        <v>5.9179999999999993</v>
      </c>
      <c r="O785">
        <f t="shared" si="102"/>
        <v>-1.2000000000000277</v>
      </c>
    </row>
    <row r="786" spans="1:15">
      <c r="A786" s="25">
        <v>46299.521527777782</v>
      </c>
      <c r="B786">
        <v>19.398</v>
      </c>
      <c r="C786">
        <v>52.337000000000003</v>
      </c>
      <c r="D786">
        <v>938.745</v>
      </c>
      <c r="E786">
        <v>13.532999999999999</v>
      </c>
      <c r="F786">
        <v>466.41699999999997</v>
      </c>
      <c r="G786" s="26">
        <f t="shared" si="96"/>
        <v>9.3848811051648955</v>
      </c>
      <c r="H786" s="26">
        <f t="shared" si="103"/>
        <v>-0.97500000000001918</v>
      </c>
      <c r="I786" s="26">
        <f t="shared" si="97"/>
        <v>5.8650000000000002</v>
      </c>
      <c r="J786" t="str">
        <f t="shared" si="98"/>
        <v>Cooling</v>
      </c>
      <c r="K786" s="26">
        <f t="shared" si="99"/>
        <v>5.8650000000000002</v>
      </c>
      <c r="L786" s="26">
        <f t="shared" si="100"/>
        <v>-0.97500000000001918</v>
      </c>
      <c r="N786">
        <f t="shared" si="101"/>
        <v>5.8650000000000002</v>
      </c>
      <c r="O786">
        <f t="shared" si="102"/>
        <v>-0.97500000000001918</v>
      </c>
    </row>
    <row r="787" spans="1:15">
      <c r="A787" s="25">
        <v>46299.522222222222</v>
      </c>
      <c r="B787">
        <v>19.382999999999999</v>
      </c>
      <c r="C787">
        <v>52.38</v>
      </c>
      <c r="D787">
        <v>938.75800000000004</v>
      </c>
      <c r="E787">
        <v>13.567</v>
      </c>
      <c r="F787">
        <v>467.33300000000003</v>
      </c>
      <c r="G787" s="26">
        <f t="shared" si="96"/>
        <v>9.3832193863113833</v>
      </c>
      <c r="H787" s="26">
        <f t="shared" si="103"/>
        <v>-0.59999999999998721</v>
      </c>
      <c r="I787" s="26">
        <f t="shared" si="97"/>
        <v>5.8159999999999989</v>
      </c>
      <c r="J787" t="str">
        <f t="shared" si="98"/>
        <v>Cooling</v>
      </c>
      <c r="K787" s="26">
        <f t="shared" si="99"/>
        <v>5.8159999999999989</v>
      </c>
      <c r="L787" s="26">
        <f t="shared" si="100"/>
        <v>-0.59999999999998721</v>
      </c>
      <c r="N787">
        <f t="shared" si="101"/>
        <v>5.8159999999999989</v>
      </c>
      <c r="O787">
        <f t="shared" si="102"/>
        <v>-0.59999999999998721</v>
      </c>
    </row>
    <row r="788" spans="1:15">
      <c r="A788" s="25">
        <v>46299.522916666669</v>
      </c>
      <c r="B788">
        <v>19.376999999999999</v>
      </c>
      <c r="C788">
        <v>52.642000000000003</v>
      </c>
      <c r="D788">
        <v>938.72699999999998</v>
      </c>
      <c r="E788">
        <v>13.6</v>
      </c>
      <c r="F788">
        <v>468.25</v>
      </c>
      <c r="G788" s="26">
        <f t="shared" si="96"/>
        <v>9.4519035370234619</v>
      </c>
      <c r="H788" s="26">
        <f t="shared" si="103"/>
        <v>-0.34499999999999531</v>
      </c>
      <c r="I788" s="26">
        <f t="shared" si="97"/>
        <v>5.7769999999999992</v>
      </c>
      <c r="J788" t="str">
        <f t="shared" si="98"/>
        <v>Cooling</v>
      </c>
      <c r="K788" s="26">
        <f t="shared" si="99"/>
        <v>5.7769999999999992</v>
      </c>
      <c r="L788" s="26">
        <f t="shared" si="100"/>
        <v>-0.34499999999999531</v>
      </c>
      <c r="N788">
        <f t="shared" si="101"/>
        <v>5.7769999999999992</v>
      </c>
      <c r="O788">
        <f t="shared" si="102"/>
        <v>-0.34499999999999531</v>
      </c>
    </row>
    <row r="789" spans="1:15">
      <c r="A789" s="25">
        <v>46299.523611111108</v>
      </c>
      <c r="B789">
        <v>19.378</v>
      </c>
      <c r="C789">
        <v>52.597000000000001</v>
      </c>
      <c r="D789">
        <v>938.69500000000005</v>
      </c>
      <c r="E789">
        <v>13.632999999999999</v>
      </c>
      <c r="F789">
        <v>469.16699999999997</v>
      </c>
      <c r="G789" s="26">
        <f t="shared" si="96"/>
        <v>9.4401020569193079</v>
      </c>
      <c r="H789" s="26">
        <f t="shared" si="103"/>
        <v>-0.34499999999999531</v>
      </c>
      <c r="I789" s="26">
        <f t="shared" si="97"/>
        <v>5.745000000000001</v>
      </c>
      <c r="J789" t="str">
        <f t="shared" si="98"/>
        <v>Cooling</v>
      </c>
      <c r="K789" s="26">
        <f t="shared" si="99"/>
        <v>5.745000000000001</v>
      </c>
      <c r="L789" s="26">
        <f t="shared" si="100"/>
        <v>-0.34499999999999531</v>
      </c>
      <c r="N789">
        <f t="shared" si="101"/>
        <v>5.745000000000001</v>
      </c>
      <c r="O789">
        <f t="shared" si="102"/>
        <v>-0.34499999999999531</v>
      </c>
    </row>
    <row r="790" spans="1:15">
      <c r="A790" s="25">
        <v>46299.524305555547</v>
      </c>
      <c r="B790">
        <v>19.375</v>
      </c>
      <c r="C790">
        <v>52.53</v>
      </c>
      <c r="D790">
        <v>938.67</v>
      </c>
      <c r="E790">
        <v>13.667</v>
      </c>
      <c r="F790">
        <v>470.08300000000003</v>
      </c>
      <c r="G790" s="26">
        <f t="shared" si="96"/>
        <v>9.4183580987113285</v>
      </c>
      <c r="H790" s="26">
        <f t="shared" si="103"/>
        <v>-0.20999999999999019</v>
      </c>
      <c r="I790" s="26">
        <f t="shared" si="97"/>
        <v>5.7080000000000002</v>
      </c>
      <c r="J790" t="str">
        <f t="shared" si="98"/>
        <v>Cooling</v>
      </c>
      <c r="K790" s="26">
        <f t="shared" si="99"/>
        <v>5.7080000000000002</v>
      </c>
      <c r="L790" s="26">
        <f t="shared" si="100"/>
        <v>-0.20999999999999019</v>
      </c>
      <c r="N790">
        <f t="shared" si="101"/>
        <v>5.7080000000000002</v>
      </c>
      <c r="O790">
        <f t="shared" si="102"/>
        <v>-0.20999999999999019</v>
      </c>
    </row>
    <row r="791" spans="1:15">
      <c r="A791" s="25">
        <v>46299.525000000001</v>
      </c>
      <c r="B791">
        <v>19.36</v>
      </c>
      <c r="C791">
        <v>52.777999999999999</v>
      </c>
      <c r="D791">
        <v>938.63699999999994</v>
      </c>
      <c r="E791">
        <v>13.7</v>
      </c>
      <c r="F791">
        <v>471</v>
      </c>
      <c r="G791" s="26">
        <f t="shared" si="96"/>
        <v>9.4745664358055173</v>
      </c>
      <c r="H791" s="26">
        <f t="shared" si="103"/>
        <v>-0.15000000000002345</v>
      </c>
      <c r="I791" s="26">
        <f t="shared" si="97"/>
        <v>5.66</v>
      </c>
      <c r="J791" t="str">
        <f t="shared" si="98"/>
        <v>Steady</v>
      </c>
      <c r="K791" s="26" t="str">
        <f t="shared" si="99"/>
        <v/>
      </c>
      <c r="L791" s="26" t="str">
        <f t="shared" si="100"/>
        <v/>
      </c>
      <c r="N791" t="e">
        <f t="shared" si="101"/>
        <v>#N/A</v>
      </c>
      <c r="O791" t="e">
        <f t="shared" si="102"/>
        <v>#N/A</v>
      </c>
    </row>
    <row r="792" spans="1:15">
      <c r="A792" s="25">
        <v>46299.525694444441</v>
      </c>
      <c r="B792">
        <v>19.363</v>
      </c>
      <c r="C792">
        <v>52.64</v>
      </c>
      <c r="D792">
        <v>938.66499999999996</v>
      </c>
      <c r="E792">
        <v>13.733000000000001</v>
      </c>
      <c r="F792">
        <v>471.91699999999997</v>
      </c>
      <c r="G792" s="26">
        <f t="shared" si="96"/>
        <v>9.4383771055068149</v>
      </c>
      <c r="H792" s="26">
        <f t="shared" si="103"/>
        <v>-2.9999999999983373E-2</v>
      </c>
      <c r="I792" s="26">
        <f t="shared" si="97"/>
        <v>5.629999999999999</v>
      </c>
      <c r="J792" t="str">
        <f t="shared" si="98"/>
        <v>Steady</v>
      </c>
      <c r="K792" s="26" t="str">
        <f t="shared" si="99"/>
        <v/>
      </c>
      <c r="L792" s="26" t="str">
        <f t="shared" si="100"/>
        <v/>
      </c>
      <c r="N792" t="e">
        <f t="shared" si="101"/>
        <v>#N/A</v>
      </c>
      <c r="O792" t="e">
        <f t="shared" si="102"/>
        <v>#N/A</v>
      </c>
    </row>
    <row r="793" spans="1:15">
      <c r="A793" s="25">
        <v>46299.526388888888</v>
      </c>
      <c r="B793">
        <v>19.367999999999999</v>
      </c>
      <c r="C793">
        <v>52.685000000000002</v>
      </c>
      <c r="D793">
        <v>938.64800000000002</v>
      </c>
      <c r="E793">
        <v>13.766999999999999</v>
      </c>
      <c r="F793">
        <v>472.83300000000003</v>
      </c>
      <c r="G793" s="26">
        <f t="shared" si="96"/>
        <v>9.455723200788972</v>
      </c>
      <c r="H793" s="26">
        <f t="shared" si="103"/>
        <v>0.40500000000001535</v>
      </c>
      <c r="I793" s="26">
        <f t="shared" si="97"/>
        <v>5.6009999999999991</v>
      </c>
      <c r="J793" t="str">
        <f t="shared" si="98"/>
        <v>Steady</v>
      </c>
      <c r="K793" s="26" t="str">
        <f t="shared" si="99"/>
        <v/>
      </c>
      <c r="L793" s="26" t="str">
        <f t="shared" si="100"/>
        <v/>
      </c>
      <c r="N793" t="e">
        <f t="shared" si="101"/>
        <v>#N/A</v>
      </c>
      <c r="O793" t="e">
        <f t="shared" si="102"/>
        <v>#N/A</v>
      </c>
    </row>
    <row r="794" spans="1:15">
      <c r="A794" s="25">
        <v>46299.527083333327</v>
      </c>
      <c r="B794">
        <v>19.373000000000001</v>
      </c>
      <c r="C794">
        <v>52.63</v>
      </c>
      <c r="D794">
        <v>938.60699999999997</v>
      </c>
      <c r="E794">
        <v>13.8</v>
      </c>
      <c r="F794">
        <v>473.75</v>
      </c>
      <c r="G794" s="26">
        <f t="shared" si="96"/>
        <v>9.4448075129892732</v>
      </c>
      <c r="H794" s="26">
        <f t="shared" si="103"/>
        <v>0.45000000000001705</v>
      </c>
      <c r="I794" s="26">
        <f t="shared" si="97"/>
        <v>5.5730000000000004</v>
      </c>
      <c r="J794" t="str">
        <f t="shared" si="98"/>
        <v>Steady</v>
      </c>
      <c r="K794" s="26" t="str">
        <f t="shared" si="99"/>
        <v/>
      </c>
      <c r="L794" s="26" t="str">
        <f t="shared" si="100"/>
        <v/>
      </c>
      <c r="N794" t="e">
        <f t="shared" si="101"/>
        <v>#N/A</v>
      </c>
      <c r="O794" t="e">
        <f t="shared" si="102"/>
        <v>#N/A</v>
      </c>
    </row>
    <row r="795" spans="1:15">
      <c r="A795" s="25">
        <v>46299.527777777781</v>
      </c>
      <c r="B795">
        <v>19.387</v>
      </c>
      <c r="C795">
        <v>52.517000000000003</v>
      </c>
      <c r="D795">
        <v>938.6</v>
      </c>
      <c r="E795">
        <v>13.833</v>
      </c>
      <c r="F795">
        <v>474.66699999999997</v>
      </c>
      <c r="G795" s="26">
        <f t="shared" si="96"/>
        <v>9.425781802279122</v>
      </c>
      <c r="H795" s="26">
        <f t="shared" si="103"/>
        <v>0.51000000000003709</v>
      </c>
      <c r="I795" s="26">
        <f t="shared" si="97"/>
        <v>5.5540000000000003</v>
      </c>
      <c r="J795" t="str">
        <f t="shared" si="98"/>
        <v>Steady</v>
      </c>
      <c r="K795" s="26" t="str">
        <f t="shared" si="99"/>
        <v/>
      </c>
      <c r="L795" s="26" t="str">
        <f t="shared" si="100"/>
        <v/>
      </c>
      <c r="N795" t="e">
        <f t="shared" si="101"/>
        <v>#N/A</v>
      </c>
      <c r="O795" t="e">
        <f t="shared" si="102"/>
        <v>#N/A</v>
      </c>
    </row>
    <row r="796" spans="1:15">
      <c r="A796" s="25">
        <v>46299.52847222222</v>
      </c>
      <c r="B796">
        <v>19.393000000000001</v>
      </c>
      <c r="C796">
        <v>52.523000000000003</v>
      </c>
      <c r="D796">
        <v>938.58199999999999</v>
      </c>
      <c r="E796">
        <v>13.867000000000001</v>
      </c>
      <c r="F796">
        <v>475.58300000000003</v>
      </c>
      <c r="G796" s="26">
        <f t="shared" si="96"/>
        <v>9.4330349371121844</v>
      </c>
      <c r="H796" s="26">
        <f t="shared" si="103"/>
        <v>0.5549999999999855</v>
      </c>
      <c r="I796" s="26">
        <f t="shared" si="97"/>
        <v>5.5259999999999998</v>
      </c>
      <c r="J796" t="str">
        <f t="shared" si="98"/>
        <v>Steady</v>
      </c>
      <c r="K796" s="26" t="str">
        <f t="shared" si="99"/>
        <v/>
      </c>
      <c r="L796" s="26" t="str">
        <f t="shared" si="100"/>
        <v/>
      </c>
      <c r="N796" t="e">
        <f t="shared" si="101"/>
        <v>#N/A</v>
      </c>
      <c r="O796" t="e">
        <f t="shared" si="102"/>
        <v>#N/A</v>
      </c>
    </row>
    <row r="797" spans="1:15">
      <c r="A797" s="25">
        <v>46299.529166666667</v>
      </c>
      <c r="B797">
        <v>19.402000000000001</v>
      </c>
      <c r="C797">
        <v>52.656999999999996</v>
      </c>
      <c r="D797">
        <v>938.55200000000002</v>
      </c>
      <c r="E797">
        <v>13.9</v>
      </c>
      <c r="F797">
        <v>476.5</v>
      </c>
      <c r="G797" s="26">
        <f t="shared" si="96"/>
        <v>9.4792891593485944</v>
      </c>
      <c r="H797" s="26">
        <f t="shared" si="103"/>
        <v>0.37499999999997868</v>
      </c>
      <c r="I797" s="26">
        <f t="shared" si="97"/>
        <v>5.5020000000000007</v>
      </c>
      <c r="J797" t="str">
        <f t="shared" si="98"/>
        <v>Steady</v>
      </c>
      <c r="K797" s="26" t="str">
        <f t="shared" si="99"/>
        <v/>
      </c>
      <c r="L797" s="26" t="str">
        <f t="shared" si="100"/>
        <v/>
      </c>
      <c r="N797" t="e">
        <f t="shared" si="101"/>
        <v>#N/A</v>
      </c>
      <c r="O797" t="e">
        <f t="shared" si="102"/>
        <v>#N/A</v>
      </c>
    </row>
    <row r="798" spans="1:15">
      <c r="A798" s="25">
        <v>46299.529861111107</v>
      </c>
      <c r="B798">
        <v>19.41</v>
      </c>
      <c r="C798">
        <v>52.423000000000002</v>
      </c>
      <c r="D798">
        <v>938.57299999999998</v>
      </c>
      <c r="E798">
        <v>13.933</v>
      </c>
      <c r="F798">
        <v>477.41699999999997</v>
      </c>
      <c r="G798" s="26">
        <f t="shared" si="96"/>
        <v>9.4204098861203747</v>
      </c>
      <c r="H798" s="26">
        <f t="shared" si="103"/>
        <v>0.36000000000001364</v>
      </c>
      <c r="I798" s="26">
        <f t="shared" si="97"/>
        <v>5.4770000000000003</v>
      </c>
      <c r="J798" t="str">
        <f t="shared" si="98"/>
        <v>Steady</v>
      </c>
      <c r="K798" s="26" t="str">
        <f t="shared" si="99"/>
        <v/>
      </c>
      <c r="L798" s="26" t="str">
        <f t="shared" si="100"/>
        <v/>
      </c>
      <c r="N798" t="e">
        <f t="shared" si="101"/>
        <v>#N/A</v>
      </c>
      <c r="O798" t="e">
        <f t="shared" si="102"/>
        <v>#N/A</v>
      </c>
    </row>
    <row r="799" spans="1:15">
      <c r="A799" s="25">
        <v>46299.530555555553</v>
      </c>
      <c r="B799">
        <v>19.411999999999999</v>
      </c>
      <c r="C799">
        <v>52.037999999999997</v>
      </c>
      <c r="D799">
        <v>938.548</v>
      </c>
      <c r="E799">
        <v>13.967000000000001</v>
      </c>
      <c r="F799">
        <v>478.33300000000003</v>
      </c>
      <c r="G799" s="26">
        <f t="shared" si="96"/>
        <v>9.3126288868994216</v>
      </c>
      <c r="H799" s="26">
        <f t="shared" si="103"/>
        <v>0.27000000000001023</v>
      </c>
      <c r="I799" s="26">
        <f t="shared" si="97"/>
        <v>5.4449999999999985</v>
      </c>
      <c r="J799" t="str">
        <f t="shared" si="98"/>
        <v>Steady</v>
      </c>
      <c r="K799" s="26" t="str">
        <f t="shared" si="99"/>
        <v/>
      </c>
      <c r="L799" s="26" t="str">
        <f t="shared" si="100"/>
        <v/>
      </c>
      <c r="N799" t="e">
        <f t="shared" si="101"/>
        <v>#N/A</v>
      </c>
      <c r="O799" t="e">
        <f t="shared" si="102"/>
        <v>#N/A</v>
      </c>
    </row>
    <row r="800" spans="1:15">
      <c r="A800" s="25">
        <v>46299.53125</v>
      </c>
      <c r="B800">
        <v>19.417000000000002</v>
      </c>
      <c r="C800">
        <v>52.29</v>
      </c>
      <c r="D800">
        <v>938.49199999999996</v>
      </c>
      <c r="E800">
        <v>14</v>
      </c>
      <c r="F800">
        <v>479.25</v>
      </c>
      <c r="G800" s="26">
        <f t="shared" si="96"/>
        <v>9.3890935451325763</v>
      </c>
      <c r="H800" s="26">
        <f t="shared" si="103"/>
        <v>0.22500000000000853</v>
      </c>
      <c r="I800" s="26">
        <f t="shared" si="97"/>
        <v>5.4170000000000016</v>
      </c>
      <c r="J800" t="str">
        <f t="shared" si="98"/>
        <v>Steady</v>
      </c>
      <c r="K800" s="26" t="str">
        <f t="shared" si="99"/>
        <v/>
      </c>
      <c r="L800" s="26" t="str">
        <f t="shared" si="100"/>
        <v/>
      </c>
      <c r="N800" t="e">
        <f t="shared" si="101"/>
        <v>#N/A</v>
      </c>
      <c r="O800" t="e">
        <f t="shared" si="102"/>
        <v>#N/A</v>
      </c>
    </row>
    <row r="801" spans="1:15">
      <c r="A801" s="25">
        <v>46299.531944444447</v>
      </c>
      <c r="B801">
        <v>19.420000000000002</v>
      </c>
      <c r="C801">
        <v>52.567999999999998</v>
      </c>
      <c r="D801">
        <v>938.48199999999997</v>
      </c>
      <c r="E801">
        <v>14.032999999999999</v>
      </c>
      <c r="F801">
        <v>480.16699999999997</v>
      </c>
      <c r="G801" s="26">
        <f t="shared" si="96"/>
        <v>9.4707713008141479</v>
      </c>
      <c r="H801" s="26">
        <f t="shared" si="103"/>
        <v>0.29999999999999361</v>
      </c>
      <c r="I801" s="26">
        <f t="shared" si="97"/>
        <v>5.3870000000000022</v>
      </c>
      <c r="J801" t="str">
        <f t="shared" si="98"/>
        <v>Steady</v>
      </c>
      <c r="K801" s="26" t="str">
        <f t="shared" si="99"/>
        <v/>
      </c>
      <c r="L801" s="26" t="str">
        <f t="shared" si="100"/>
        <v/>
      </c>
      <c r="N801" t="e">
        <f t="shared" si="101"/>
        <v>#N/A</v>
      </c>
      <c r="O801" t="e">
        <f t="shared" si="102"/>
        <v>#N/A</v>
      </c>
    </row>
    <row r="802" spans="1:15">
      <c r="A802" s="25">
        <v>46299.532638888893</v>
      </c>
      <c r="B802">
        <v>19.425000000000001</v>
      </c>
      <c r="C802">
        <v>52.548000000000002</v>
      </c>
      <c r="D802">
        <v>938.43499999999995</v>
      </c>
      <c r="E802">
        <v>14.067</v>
      </c>
      <c r="F802">
        <v>481.08300000000003</v>
      </c>
      <c r="G802" s="26">
        <f t="shared" si="96"/>
        <v>9.4697350537665859</v>
      </c>
      <c r="H802" s="26">
        <f t="shared" si="103"/>
        <v>0.44999999999996376</v>
      </c>
      <c r="I802" s="26">
        <f t="shared" si="97"/>
        <v>5.3580000000000005</v>
      </c>
      <c r="J802" t="str">
        <f t="shared" si="98"/>
        <v>Steady</v>
      </c>
      <c r="K802" s="26" t="str">
        <f t="shared" si="99"/>
        <v/>
      </c>
      <c r="L802" s="26" t="str">
        <f t="shared" si="100"/>
        <v/>
      </c>
      <c r="N802" t="e">
        <f t="shared" si="101"/>
        <v>#N/A</v>
      </c>
      <c r="O802" t="e">
        <f t="shared" si="102"/>
        <v>#N/A</v>
      </c>
    </row>
    <row r="803" spans="1:15">
      <c r="A803" s="25">
        <v>46299.533333333333</v>
      </c>
      <c r="B803">
        <v>19.431999999999999</v>
      </c>
      <c r="C803">
        <v>52.438000000000002</v>
      </c>
      <c r="D803">
        <v>938.452</v>
      </c>
      <c r="E803">
        <v>14.1</v>
      </c>
      <c r="F803">
        <v>482</v>
      </c>
      <c r="G803" s="26">
        <f t="shared" si="96"/>
        <v>9.4450245243162527</v>
      </c>
      <c r="H803" s="26">
        <f t="shared" si="103"/>
        <v>0.40499999999996206</v>
      </c>
      <c r="I803" s="26">
        <f t="shared" si="97"/>
        <v>5.331999999999999</v>
      </c>
      <c r="J803" t="str">
        <f t="shared" si="98"/>
        <v>Steady</v>
      </c>
      <c r="K803" s="26" t="str">
        <f t="shared" si="99"/>
        <v/>
      </c>
      <c r="L803" s="26" t="str">
        <f t="shared" si="100"/>
        <v/>
      </c>
      <c r="N803" t="e">
        <f t="shared" si="101"/>
        <v>#N/A</v>
      </c>
      <c r="O803" t="e">
        <f t="shared" si="102"/>
        <v>#N/A</v>
      </c>
    </row>
    <row r="804" spans="1:15">
      <c r="A804" s="25">
        <v>46299.53402777778</v>
      </c>
      <c r="B804">
        <v>19.446999999999999</v>
      </c>
      <c r="C804">
        <v>52.435000000000002</v>
      </c>
      <c r="D804">
        <v>938.45299999999997</v>
      </c>
      <c r="E804">
        <v>14.132999999999999</v>
      </c>
      <c r="F804">
        <v>482.91699999999997</v>
      </c>
      <c r="G804" s="26">
        <f t="shared" si="96"/>
        <v>9.4580531938397474</v>
      </c>
      <c r="H804" s="26">
        <f t="shared" si="103"/>
        <v>0.5549999999999855</v>
      </c>
      <c r="I804" s="26">
        <f t="shared" si="97"/>
        <v>5.3140000000000001</v>
      </c>
      <c r="J804" t="str">
        <f t="shared" si="98"/>
        <v>Steady</v>
      </c>
      <c r="K804" s="26" t="str">
        <f t="shared" si="99"/>
        <v/>
      </c>
      <c r="L804" s="26" t="str">
        <f t="shared" si="100"/>
        <v/>
      </c>
      <c r="N804" t="e">
        <f t="shared" si="101"/>
        <v>#N/A</v>
      </c>
      <c r="O804" t="e">
        <f t="shared" si="102"/>
        <v>#N/A</v>
      </c>
    </row>
    <row r="805" spans="1:15">
      <c r="A805" s="25">
        <v>46299.534722222219</v>
      </c>
      <c r="B805">
        <v>19.446999999999999</v>
      </c>
      <c r="C805">
        <v>51.988</v>
      </c>
      <c r="D805">
        <v>938.39800000000002</v>
      </c>
      <c r="E805">
        <v>14.167</v>
      </c>
      <c r="F805">
        <v>483.83300000000003</v>
      </c>
      <c r="G805" s="26">
        <f t="shared" si="96"/>
        <v>9.3306928926754651</v>
      </c>
      <c r="H805" s="26">
        <f t="shared" si="103"/>
        <v>0.54000000000002046</v>
      </c>
      <c r="I805" s="26">
        <f t="shared" si="97"/>
        <v>5.2799999999999994</v>
      </c>
      <c r="J805" t="str">
        <f t="shared" si="98"/>
        <v>Steady</v>
      </c>
      <c r="K805" s="26" t="str">
        <f t="shared" si="99"/>
        <v/>
      </c>
      <c r="L805" s="26" t="str">
        <f t="shared" si="100"/>
        <v/>
      </c>
      <c r="N805" t="e">
        <f t="shared" si="101"/>
        <v>#N/A</v>
      </c>
      <c r="O805" t="e">
        <f t="shared" si="102"/>
        <v>#N/A</v>
      </c>
    </row>
    <row r="806" spans="1:15">
      <c r="A806" s="25">
        <v>46299.535416666673</v>
      </c>
      <c r="B806">
        <v>19.462</v>
      </c>
      <c r="C806">
        <v>51.982999999999997</v>
      </c>
      <c r="D806">
        <v>938.38699999999994</v>
      </c>
      <c r="E806">
        <v>14.2</v>
      </c>
      <c r="F806">
        <v>484.75</v>
      </c>
      <c r="G806" s="26">
        <f t="shared" si="96"/>
        <v>9.343128711932799</v>
      </c>
      <c r="H806" s="26">
        <f t="shared" si="103"/>
        <v>0.49500000000001876</v>
      </c>
      <c r="I806" s="26">
        <f t="shared" si="97"/>
        <v>5.2620000000000005</v>
      </c>
      <c r="J806" t="str">
        <f t="shared" si="98"/>
        <v>Steady</v>
      </c>
      <c r="K806" s="26" t="str">
        <f t="shared" si="99"/>
        <v/>
      </c>
      <c r="L806" s="26" t="str">
        <f t="shared" si="100"/>
        <v/>
      </c>
      <c r="N806" t="e">
        <f t="shared" si="101"/>
        <v>#N/A</v>
      </c>
      <c r="O806" t="e">
        <f t="shared" si="102"/>
        <v>#N/A</v>
      </c>
    </row>
    <row r="807" spans="1:15">
      <c r="A807" s="25">
        <v>46299.536111111112</v>
      </c>
      <c r="B807">
        <v>19.468</v>
      </c>
      <c r="C807">
        <v>51.655000000000001</v>
      </c>
      <c r="D807">
        <v>938.37699999999995</v>
      </c>
      <c r="E807">
        <v>14.233000000000001</v>
      </c>
      <c r="F807">
        <v>485.66699999999997</v>
      </c>
      <c r="G807" s="26">
        <f t="shared" si="96"/>
        <v>9.2545820803069923</v>
      </c>
      <c r="H807" s="26">
        <f t="shared" si="103"/>
        <v>0.72000000000002728</v>
      </c>
      <c r="I807" s="26">
        <f t="shared" si="97"/>
        <v>5.2349999999999994</v>
      </c>
      <c r="J807" t="str">
        <f t="shared" si="98"/>
        <v>Heating</v>
      </c>
      <c r="K807" s="26" t="str">
        <f t="shared" si="99"/>
        <v/>
      </c>
      <c r="L807" s="26" t="str">
        <f t="shared" si="100"/>
        <v/>
      </c>
      <c r="N807" t="e">
        <f t="shared" si="101"/>
        <v>#N/A</v>
      </c>
      <c r="O807" t="e">
        <f t="shared" si="102"/>
        <v>#N/A</v>
      </c>
    </row>
    <row r="808" spans="1:15">
      <c r="A808" s="25">
        <v>46299.536805555559</v>
      </c>
      <c r="B808">
        <v>19.48</v>
      </c>
      <c r="C808">
        <v>51.78</v>
      </c>
      <c r="D808">
        <v>938.35</v>
      </c>
      <c r="E808">
        <v>14.266999999999999</v>
      </c>
      <c r="F808">
        <v>486.58300000000003</v>
      </c>
      <c r="G808" s="26">
        <f t="shared" si="96"/>
        <v>9.3015902054365824</v>
      </c>
      <c r="H808" s="26">
        <f t="shared" si="103"/>
        <v>0.57000000000000384</v>
      </c>
      <c r="I808" s="26">
        <f t="shared" si="97"/>
        <v>5.213000000000001</v>
      </c>
      <c r="J808" t="str">
        <f t="shared" si="98"/>
        <v>Steady</v>
      </c>
      <c r="K808" s="26" t="str">
        <f t="shared" si="99"/>
        <v/>
      </c>
      <c r="L808" s="26" t="str">
        <f t="shared" si="100"/>
        <v/>
      </c>
      <c r="N808" t="e">
        <f t="shared" si="101"/>
        <v>#N/A</v>
      </c>
      <c r="O808" t="e">
        <f t="shared" si="102"/>
        <v>#N/A</v>
      </c>
    </row>
    <row r="809" spans="1:15">
      <c r="A809" s="25">
        <v>46299.537499999999</v>
      </c>
      <c r="B809">
        <v>19.495000000000001</v>
      </c>
      <c r="C809">
        <v>51.89</v>
      </c>
      <c r="D809">
        <v>938.31700000000001</v>
      </c>
      <c r="E809">
        <v>14.3</v>
      </c>
      <c r="F809">
        <v>487.5</v>
      </c>
      <c r="G809" s="26">
        <f t="shared" si="96"/>
        <v>9.3470027020154234</v>
      </c>
      <c r="H809" s="26">
        <f t="shared" si="103"/>
        <v>0.37499999999997868</v>
      </c>
      <c r="I809" s="26">
        <f t="shared" si="97"/>
        <v>5.1950000000000003</v>
      </c>
      <c r="J809" t="str">
        <f t="shared" si="98"/>
        <v>Steady</v>
      </c>
      <c r="K809" s="26" t="str">
        <f t="shared" si="99"/>
        <v/>
      </c>
      <c r="L809" s="26" t="str">
        <f t="shared" si="100"/>
        <v/>
      </c>
      <c r="N809" t="e">
        <f t="shared" si="101"/>
        <v>#N/A</v>
      </c>
      <c r="O809" t="e">
        <f t="shared" si="102"/>
        <v>#N/A</v>
      </c>
    </row>
    <row r="810" spans="1:15">
      <c r="A810" s="25">
        <v>46299.538194444453</v>
      </c>
      <c r="B810">
        <v>19.5</v>
      </c>
      <c r="C810">
        <v>51.77</v>
      </c>
      <c r="D810">
        <v>938.30700000000002</v>
      </c>
      <c r="E810">
        <v>14.333</v>
      </c>
      <c r="F810">
        <v>488.41699999999997</v>
      </c>
      <c r="G810" s="26">
        <f t="shared" si="96"/>
        <v>9.3171978350295568</v>
      </c>
      <c r="H810" s="26">
        <f t="shared" si="103"/>
        <v>0</v>
      </c>
      <c r="I810" s="26">
        <f t="shared" si="97"/>
        <v>5.1669999999999998</v>
      </c>
      <c r="J810" t="str">
        <f t="shared" si="98"/>
        <v>Steady</v>
      </c>
      <c r="K810" s="26" t="str">
        <f t="shared" si="99"/>
        <v/>
      </c>
      <c r="L810" s="26" t="str">
        <f t="shared" si="100"/>
        <v/>
      </c>
      <c r="N810" t="e">
        <f t="shared" si="101"/>
        <v>#N/A</v>
      </c>
      <c r="O810" t="e">
        <f t="shared" si="102"/>
        <v>#N/A</v>
      </c>
    </row>
    <row r="811" spans="1:15">
      <c r="A811" s="25">
        <v>46299.538888888892</v>
      </c>
      <c r="B811">
        <v>19.492999999999999</v>
      </c>
      <c r="C811">
        <v>52.023000000000003</v>
      </c>
      <c r="D811">
        <v>938.31700000000001</v>
      </c>
      <c r="E811">
        <v>14.367000000000001</v>
      </c>
      <c r="F811">
        <v>489.33300000000003</v>
      </c>
      <c r="G811" s="26">
        <f t="shared" si="96"/>
        <v>9.3832256742902125</v>
      </c>
      <c r="H811" s="26">
        <f t="shared" si="103"/>
        <v>0</v>
      </c>
      <c r="I811" s="26">
        <f t="shared" si="97"/>
        <v>5.1259999999999977</v>
      </c>
      <c r="J811" t="str">
        <f t="shared" si="98"/>
        <v>Steady</v>
      </c>
      <c r="K811" s="26" t="str">
        <f t="shared" si="99"/>
        <v/>
      </c>
      <c r="L811" s="26" t="str">
        <f t="shared" si="100"/>
        <v/>
      </c>
      <c r="N811" t="e">
        <f t="shared" si="101"/>
        <v>#N/A</v>
      </c>
      <c r="O811" t="e">
        <f t="shared" si="102"/>
        <v>#N/A</v>
      </c>
    </row>
    <row r="812" spans="1:15">
      <c r="A812" s="25">
        <v>46299.539583333331</v>
      </c>
      <c r="B812">
        <v>19.48</v>
      </c>
      <c r="C812">
        <v>52.186999999999998</v>
      </c>
      <c r="D812">
        <v>938.26</v>
      </c>
      <c r="E812">
        <v>14.4</v>
      </c>
      <c r="F812">
        <v>490.25</v>
      </c>
      <c r="G812" s="26">
        <f t="shared" si="96"/>
        <v>9.4180302207003557</v>
      </c>
      <c r="H812" s="26">
        <f t="shared" si="103"/>
        <v>0.11999999999998678</v>
      </c>
      <c r="I812" s="26">
        <f t="shared" si="97"/>
        <v>5.08</v>
      </c>
      <c r="J812" t="str">
        <f t="shared" si="98"/>
        <v>Steady</v>
      </c>
      <c r="K812" s="26" t="str">
        <f t="shared" si="99"/>
        <v/>
      </c>
      <c r="L812" s="26" t="str">
        <f t="shared" si="100"/>
        <v/>
      </c>
      <c r="N812" t="e">
        <f t="shared" si="101"/>
        <v>#N/A</v>
      </c>
      <c r="O812" t="e">
        <f t="shared" si="102"/>
        <v>#N/A</v>
      </c>
    </row>
    <row r="813" spans="1:15">
      <c r="A813" s="25">
        <v>46299.540277777778</v>
      </c>
      <c r="B813">
        <v>19.495000000000001</v>
      </c>
      <c r="C813">
        <v>52.218000000000004</v>
      </c>
      <c r="D813">
        <v>938.28499999999997</v>
      </c>
      <c r="E813">
        <v>14.433</v>
      </c>
      <c r="F813">
        <v>491.16699999999997</v>
      </c>
      <c r="G813" s="26">
        <f t="shared" si="96"/>
        <v>9.4407393739643481</v>
      </c>
      <c r="H813" s="26">
        <f t="shared" si="103"/>
        <v>-0.31499999999995865</v>
      </c>
      <c r="I813" s="26">
        <f t="shared" si="97"/>
        <v>5.0620000000000012</v>
      </c>
      <c r="J813" t="str">
        <f t="shared" si="98"/>
        <v>Cooling</v>
      </c>
      <c r="K813" s="26">
        <f t="shared" si="99"/>
        <v>5.0620000000000012</v>
      </c>
      <c r="L813" s="26">
        <f t="shared" si="100"/>
        <v>-0.31499999999995865</v>
      </c>
      <c r="N813">
        <f t="shared" si="101"/>
        <v>5.0620000000000012</v>
      </c>
      <c r="O813">
        <f t="shared" si="102"/>
        <v>-0.31499999999995865</v>
      </c>
    </row>
    <row r="814" spans="1:15">
      <c r="A814" s="25">
        <v>46299.540972222218</v>
      </c>
      <c r="B814">
        <v>19.507999999999999</v>
      </c>
      <c r="C814">
        <v>52.57</v>
      </c>
      <c r="D814">
        <v>938.24300000000005</v>
      </c>
      <c r="E814">
        <v>14.467000000000001</v>
      </c>
      <c r="F814">
        <v>492.08300000000003</v>
      </c>
      <c r="G814" s="26">
        <f t="shared" si="96"/>
        <v>9.5527916580750585</v>
      </c>
      <c r="H814" s="26">
        <f t="shared" si="103"/>
        <v>-0.48000000000000043</v>
      </c>
      <c r="I814" s="26">
        <f t="shared" si="97"/>
        <v>5.0409999999999986</v>
      </c>
      <c r="J814" t="str">
        <f t="shared" si="98"/>
        <v>Cooling</v>
      </c>
      <c r="K814" s="26">
        <f t="shared" si="99"/>
        <v>5.0409999999999986</v>
      </c>
      <c r="L814" s="26">
        <f t="shared" si="100"/>
        <v>-0.48000000000000043</v>
      </c>
      <c r="N814">
        <f t="shared" si="101"/>
        <v>5.0409999999999986</v>
      </c>
      <c r="O814">
        <f t="shared" si="102"/>
        <v>-0.48000000000000043</v>
      </c>
    </row>
    <row r="815" spans="1:15">
      <c r="A815" s="25">
        <v>46299.541666666657</v>
      </c>
      <c r="B815">
        <v>19.472000000000001</v>
      </c>
      <c r="C815">
        <v>52.54</v>
      </c>
      <c r="D815">
        <v>938.21799999999996</v>
      </c>
      <c r="E815">
        <v>14.5</v>
      </c>
      <c r="F815">
        <v>493</v>
      </c>
      <c r="G815" s="26">
        <f t="shared" si="96"/>
        <v>9.5109699132166483</v>
      </c>
      <c r="H815" s="26">
        <f t="shared" si="103"/>
        <v>-0.77999999999999403</v>
      </c>
      <c r="I815" s="26">
        <f t="shared" si="97"/>
        <v>4.9720000000000013</v>
      </c>
      <c r="J815" t="str">
        <f t="shared" si="98"/>
        <v>Cooling</v>
      </c>
      <c r="K815" s="26">
        <f t="shared" si="99"/>
        <v>4.9720000000000013</v>
      </c>
      <c r="L815" s="26">
        <f t="shared" si="100"/>
        <v>-0.77999999999999403</v>
      </c>
      <c r="N815">
        <f t="shared" si="101"/>
        <v>4.9720000000000013</v>
      </c>
      <c r="O815">
        <f t="shared" si="102"/>
        <v>-0.77999999999999403</v>
      </c>
    </row>
    <row r="816" spans="1:15">
      <c r="A816" s="25">
        <v>46299.542361111111</v>
      </c>
      <c r="B816">
        <v>19.448</v>
      </c>
      <c r="C816">
        <v>52.707999999999998</v>
      </c>
      <c r="D816">
        <v>938.22799999999995</v>
      </c>
      <c r="E816">
        <v>14.52</v>
      </c>
      <c r="F816">
        <v>493.06700000000001</v>
      </c>
      <c r="G816" s="26">
        <f t="shared" si="96"/>
        <v>9.5362926099942218</v>
      </c>
      <c r="H816" s="26">
        <f t="shared" si="103"/>
        <v>-1.0500000000000043</v>
      </c>
      <c r="I816" s="26">
        <f t="shared" si="97"/>
        <v>4.9280000000000008</v>
      </c>
      <c r="J816" t="str">
        <f t="shared" si="98"/>
        <v>Cooling</v>
      </c>
      <c r="K816" s="26">
        <f t="shared" si="99"/>
        <v>4.9280000000000008</v>
      </c>
      <c r="L816" s="26">
        <f t="shared" si="100"/>
        <v>-1.0500000000000043</v>
      </c>
      <c r="N816">
        <f t="shared" si="101"/>
        <v>4.9280000000000008</v>
      </c>
      <c r="O816">
        <f t="shared" si="102"/>
        <v>-1.0500000000000043</v>
      </c>
    </row>
    <row r="817" spans="1:15">
      <c r="A817" s="25">
        <v>46299.543055555558</v>
      </c>
      <c r="B817">
        <v>19.443000000000001</v>
      </c>
      <c r="C817">
        <v>52.552</v>
      </c>
      <c r="D817">
        <v>938.21799999999996</v>
      </c>
      <c r="E817">
        <v>14.54</v>
      </c>
      <c r="F817">
        <v>493.13299999999998</v>
      </c>
      <c r="G817" s="26">
        <f t="shared" si="96"/>
        <v>9.4875286032085935</v>
      </c>
      <c r="H817" s="26">
        <f t="shared" si="103"/>
        <v>-0.52500000000000213</v>
      </c>
      <c r="I817" s="26">
        <f t="shared" si="97"/>
        <v>4.9030000000000022</v>
      </c>
      <c r="J817" t="str">
        <f t="shared" si="98"/>
        <v>Cooling</v>
      </c>
      <c r="K817" s="26">
        <f t="shared" si="99"/>
        <v>4.9030000000000022</v>
      </c>
      <c r="L817" s="26">
        <f t="shared" si="100"/>
        <v>-0.52500000000000213</v>
      </c>
      <c r="N817">
        <f t="shared" si="101"/>
        <v>4.9030000000000022</v>
      </c>
      <c r="O817">
        <f t="shared" si="102"/>
        <v>-0.52500000000000213</v>
      </c>
    </row>
    <row r="818" spans="1:15">
      <c r="A818" s="25">
        <v>46299.543749999997</v>
      </c>
      <c r="B818">
        <v>19.437999999999999</v>
      </c>
      <c r="C818">
        <v>52.795000000000002</v>
      </c>
      <c r="D818">
        <v>938.19</v>
      </c>
      <c r="E818">
        <v>14.56</v>
      </c>
      <c r="F818">
        <v>493.2</v>
      </c>
      <c r="G818" s="26">
        <f t="shared" si="96"/>
        <v>9.5515960869329621</v>
      </c>
      <c r="H818" s="26">
        <f t="shared" si="103"/>
        <v>-9.0000000000003411E-2</v>
      </c>
      <c r="I818" s="26">
        <f t="shared" si="97"/>
        <v>4.8779999999999983</v>
      </c>
      <c r="J818" t="str">
        <f t="shared" si="98"/>
        <v>Steady</v>
      </c>
      <c r="K818" s="26" t="str">
        <f t="shared" si="99"/>
        <v/>
      </c>
      <c r="L818" s="26" t="str">
        <f t="shared" si="100"/>
        <v/>
      </c>
      <c r="N818" t="e">
        <f t="shared" si="101"/>
        <v>#N/A</v>
      </c>
      <c r="O818" t="e">
        <f t="shared" si="102"/>
        <v>#N/A</v>
      </c>
    </row>
    <row r="819" spans="1:15">
      <c r="A819" s="25">
        <v>46299.544444444437</v>
      </c>
      <c r="B819">
        <v>19.437000000000001</v>
      </c>
      <c r="C819">
        <v>52.923000000000002</v>
      </c>
      <c r="D819">
        <v>938.14499999999998</v>
      </c>
      <c r="E819">
        <v>14.58</v>
      </c>
      <c r="F819">
        <v>493.267</v>
      </c>
      <c r="G819" s="26">
        <f t="shared" si="96"/>
        <v>9.5867428933062087</v>
      </c>
      <c r="H819" s="26">
        <f t="shared" si="103"/>
        <v>-7.5000000000038369E-2</v>
      </c>
      <c r="I819" s="26">
        <f t="shared" si="97"/>
        <v>4.8570000000000011</v>
      </c>
      <c r="J819" t="str">
        <f t="shared" si="98"/>
        <v>Steady</v>
      </c>
      <c r="K819" s="26" t="str">
        <f t="shared" si="99"/>
        <v/>
      </c>
      <c r="L819" s="26" t="str">
        <f t="shared" si="100"/>
        <v/>
      </c>
      <c r="N819" t="e">
        <f t="shared" si="101"/>
        <v>#N/A</v>
      </c>
      <c r="O819" t="e">
        <f t="shared" si="102"/>
        <v>#N/A</v>
      </c>
    </row>
    <row r="820" spans="1:15">
      <c r="A820" s="25">
        <v>46299.545138888891</v>
      </c>
      <c r="B820">
        <v>19.442</v>
      </c>
      <c r="C820">
        <v>52.755000000000003</v>
      </c>
      <c r="D820">
        <v>938.18</v>
      </c>
      <c r="E820">
        <v>14.6</v>
      </c>
      <c r="F820">
        <v>493.33300000000003</v>
      </c>
      <c r="G820" s="26">
        <f t="shared" si="96"/>
        <v>9.5440114204605191</v>
      </c>
      <c r="H820" s="26">
        <f t="shared" si="103"/>
        <v>0.13500000000000512</v>
      </c>
      <c r="I820" s="26">
        <f t="shared" si="97"/>
        <v>4.8420000000000005</v>
      </c>
      <c r="J820" t="str">
        <f t="shared" si="98"/>
        <v>Steady</v>
      </c>
      <c r="K820" s="26" t="str">
        <f t="shared" si="99"/>
        <v/>
      </c>
      <c r="L820" s="26" t="str">
        <f t="shared" si="100"/>
        <v/>
      </c>
      <c r="N820" t="e">
        <f t="shared" si="101"/>
        <v>#N/A</v>
      </c>
      <c r="O820" t="e">
        <f t="shared" si="102"/>
        <v>#N/A</v>
      </c>
    </row>
    <row r="821" spans="1:15">
      <c r="A821" s="25">
        <v>46299.54583333333</v>
      </c>
      <c r="B821">
        <v>19.437999999999999</v>
      </c>
      <c r="C821">
        <v>52.564999999999998</v>
      </c>
      <c r="D821">
        <v>938.10799999999995</v>
      </c>
      <c r="E821">
        <v>14.62</v>
      </c>
      <c r="F821">
        <v>493.4</v>
      </c>
      <c r="G821" s="26">
        <f t="shared" si="96"/>
        <v>9.4865828369872176</v>
      </c>
      <c r="H821" s="26">
        <f t="shared" si="103"/>
        <v>0.22500000000000853</v>
      </c>
      <c r="I821" s="26">
        <f t="shared" si="97"/>
        <v>4.8179999999999996</v>
      </c>
      <c r="J821" t="str">
        <f t="shared" si="98"/>
        <v>Steady</v>
      </c>
      <c r="K821" s="26" t="str">
        <f t="shared" si="99"/>
        <v/>
      </c>
      <c r="L821" s="26" t="str">
        <f t="shared" si="100"/>
        <v/>
      </c>
      <c r="N821" t="e">
        <f t="shared" si="101"/>
        <v>#N/A</v>
      </c>
      <c r="O821" t="e">
        <f t="shared" si="102"/>
        <v>#N/A</v>
      </c>
    </row>
    <row r="822" spans="1:15">
      <c r="A822" s="25">
        <v>46299.546527777777</v>
      </c>
      <c r="B822">
        <v>19.446999999999999</v>
      </c>
      <c r="C822">
        <v>52.542000000000002</v>
      </c>
      <c r="D822">
        <v>938.08799999999997</v>
      </c>
      <c r="E822">
        <v>14.64</v>
      </c>
      <c r="F822">
        <v>493.46699999999998</v>
      </c>
      <c r="G822" s="26">
        <f t="shared" si="96"/>
        <v>9.4883977745759918</v>
      </c>
      <c r="H822" s="26">
        <f t="shared" si="103"/>
        <v>9.0000000000003411E-2</v>
      </c>
      <c r="I822" s="26">
        <f t="shared" si="97"/>
        <v>4.8069999999999986</v>
      </c>
      <c r="J822" t="str">
        <f t="shared" si="98"/>
        <v>Steady</v>
      </c>
      <c r="K822" s="26" t="str">
        <f t="shared" si="99"/>
        <v/>
      </c>
      <c r="L822" s="26" t="str">
        <f t="shared" si="100"/>
        <v/>
      </c>
      <c r="N822" t="e">
        <f t="shared" si="101"/>
        <v>#N/A</v>
      </c>
      <c r="O822" t="e">
        <f t="shared" si="102"/>
        <v>#N/A</v>
      </c>
    </row>
    <row r="823" spans="1:15">
      <c r="A823" s="25">
        <v>46299.547222222223</v>
      </c>
      <c r="B823">
        <v>19.452000000000002</v>
      </c>
      <c r="C823">
        <v>52.521999999999998</v>
      </c>
      <c r="D823">
        <v>938.08</v>
      </c>
      <c r="E823">
        <v>14.66</v>
      </c>
      <c r="F823">
        <v>493.53300000000002</v>
      </c>
      <c r="G823" s="26">
        <f t="shared" si="96"/>
        <v>9.4873576268664142</v>
      </c>
      <c r="H823" s="26">
        <f t="shared" si="103"/>
        <v>0.13500000000000512</v>
      </c>
      <c r="I823" s="26">
        <f t="shared" si="97"/>
        <v>4.7920000000000016</v>
      </c>
      <c r="J823" t="str">
        <f t="shared" si="98"/>
        <v>Steady</v>
      </c>
      <c r="K823" s="26" t="str">
        <f t="shared" si="99"/>
        <v/>
      </c>
      <c r="L823" s="26" t="str">
        <f t="shared" si="100"/>
        <v/>
      </c>
      <c r="N823" t="e">
        <f t="shared" si="101"/>
        <v>#N/A</v>
      </c>
      <c r="O823" t="e">
        <f t="shared" si="102"/>
        <v>#N/A</v>
      </c>
    </row>
    <row r="824" spans="1:15">
      <c r="A824" s="25">
        <v>46299.54791666667</v>
      </c>
      <c r="B824">
        <v>19.448</v>
      </c>
      <c r="C824">
        <v>52.542999999999999</v>
      </c>
      <c r="D824">
        <v>938.03800000000001</v>
      </c>
      <c r="E824">
        <v>14.68</v>
      </c>
      <c r="F824">
        <v>493.6</v>
      </c>
      <c r="G824" s="26">
        <f t="shared" si="96"/>
        <v>9.4896066741136433</v>
      </c>
      <c r="H824" s="26">
        <f t="shared" si="103"/>
        <v>7.5000000000038369E-2</v>
      </c>
      <c r="I824" s="26">
        <f t="shared" si="97"/>
        <v>4.7680000000000007</v>
      </c>
      <c r="J824" t="str">
        <f t="shared" si="98"/>
        <v>Steady</v>
      </c>
      <c r="K824" s="26" t="str">
        <f t="shared" si="99"/>
        <v/>
      </c>
      <c r="L824" s="26" t="str">
        <f t="shared" si="100"/>
        <v/>
      </c>
      <c r="N824" t="e">
        <f t="shared" si="101"/>
        <v>#N/A</v>
      </c>
      <c r="O824" t="e">
        <f t="shared" si="102"/>
        <v>#N/A</v>
      </c>
    </row>
    <row r="825" spans="1:15">
      <c r="A825" s="25">
        <v>46299.548611111109</v>
      </c>
      <c r="B825">
        <v>19.446999999999999</v>
      </c>
      <c r="C825">
        <v>52.767000000000003</v>
      </c>
      <c r="D825">
        <v>938</v>
      </c>
      <c r="E825">
        <v>14.7</v>
      </c>
      <c r="F825">
        <v>493.66699999999997</v>
      </c>
      <c r="G825" s="26">
        <f t="shared" si="96"/>
        <v>9.552029055886651</v>
      </c>
      <c r="H825" s="26">
        <f t="shared" si="103"/>
        <v>0</v>
      </c>
      <c r="I825" s="26">
        <f t="shared" si="97"/>
        <v>4.7469999999999999</v>
      </c>
      <c r="J825" t="str">
        <f t="shared" si="98"/>
        <v>Steady</v>
      </c>
      <c r="K825" s="26" t="str">
        <f t="shared" si="99"/>
        <v/>
      </c>
      <c r="L825" s="26" t="str">
        <f t="shared" si="100"/>
        <v/>
      </c>
      <c r="N825" t="e">
        <f t="shared" si="101"/>
        <v>#N/A</v>
      </c>
      <c r="O825" t="e">
        <f t="shared" si="102"/>
        <v>#N/A</v>
      </c>
    </row>
    <row r="826" spans="1:15">
      <c r="A826" s="25">
        <v>46299.549305555563</v>
      </c>
      <c r="B826">
        <v>19.452000000000002</v>
      </c>
      <c r="C826">
        <v>52.631999999999998</v>
      </c>
      <c r="D826">
        <v>937.99199999999996</v>
      </c>
      <c r="E826">
        <v>14.72</v>
      </c>
      <c r="F826">
        <v>493.733</v>
      </c>
      <c r="G826" s="26">
        <f t="shared" si="96"/>
        <v>9.5185078094642872</v>
      </c>
      <c r="H826" s="26">
        <f t="shared" si="103"/>
        <v>2.9999999999983373E-2</v>
      </c>
      <c r="I826" s="26">
        <f t="shared" si="97"/>
        <v>4.7320000000000011</v>
      </c>
      <c r="J826" t="str">
        <f t="shared" si="98"/>
        <v>Steady</v>
      </c>
      <c r="K826" s="26" t="str">
        <f t="shared" si="99"/>
        <v/>
      </c>
      <c r="L826" s="26" t="str">
        <f t="shared" si="100"/>
        <v/>
      </c>
      <c r="N826" t="e">
        <f t="shared" si="101"/>
        <v>#N/A</v>
      </c>
      <c r="O826" t="e">
        <f t="shared" si="102"/>
        <v>#N/A</v>
      </c>
    </row>
    <row r="827" spans="1:15">
      <c r="A827" s="25">
        <v>46299.55</v>
      </c>
      <c r="B827">
        <v>19.452000000000002</v>
      </c>
      <c r="C827">
        <v>52.715000000000003</v>
      </c>
      <c r="D827">
        <v>937.97199999999998</v>
      </c>
      <c r="E827">
        <v>14.74</v>
      </c>
      <c r="F827">
        <v>493.8</v>
      </c>
      <c r="G827" s="26">
        <f t="shared" si="96"/>
        <v>9.5419740479053861</v>
      </c>
      <c r="H827" s="26">
        <f t="shared" si="103"/>
        <v>0.16499999999998849</v>
      </c>
      <c r="I827" s="26">
        <f t="shared" si="97"/>
        <v>4.7120000000000015</v>
      </c>
      <c r="J827" t="str">
        <f t="shared" si="98"/>
        <v>Steady</v>
      </c>
      <c r="K827" s="26" t="str">
        <f t="shared" si="99"/>
        <v/>
      </c>
      <c r="L827" s="26" t="str">
        <f t="shared" si="100"/>
        <v/>
      </c>
      <c r="N827" t="e">
        <f t="shared" si="101"/>
        <v>#N/A</v>
      </c>
      <c r="O827" t="e">
        <f t="shared" si="102"/>
        <v>#N/A</v>
      </c>
    </row>
    <row r="828" spans="1:15">
      <c r="A828" s="25">
        <v>46299.550694444442</v>
      </c>
      <c r="B828">
        <v>19.45</v>
      </c>
      <c r="C828">
        <v>52.862000000000002</v>
      </c>
      <c r="D828">
        <v>937.97199999999998</v>
      </c>
      <c r="E828">
        <v>14.76</v>
      </c>
      <c r="F828">
        <v>493.86700000000002</v>
      </c>
      <c r="G828" s="26">
        <f t="shared" si="96"/>
        <v>9.5816024326739822</v>
      </c>
      <c r="H828" s="26">
        <f t="shared" si="103"/>
        <v>0.14999999999997016</v>
      </c>
      <c r="I828" s="26">
        <f t="shared" si="97"/>
        <v>4.6899999999999995</v>
      </c>
      <c r="J828" t="str">
        <f t="shared" si="98"/>
        <v>Steady</v>
      </c>
      <c r="K828" s="26" t="str">
        <f t="shared" si="99"/>
        <v/>
      </c>
      <c r="L828" s="26" t="str">
        <f t="shared" si="100"/>
        <v/>
      </c>
      <c r="N828" t="e">
        <f t="shared" si="101"/>
        <v>#N/A</v>
      </c>
      <c r="O828" t="e">
        <f t="shared" si="102"/>
        <v>#N/A</v>
      </c>
    </row>
    <row r="829" spans="1:15">
      <c r="A829" s="25">
        <v>46299.551388888889</v>
      </c>
      <c r="B829">
        <v>19.457999999999998</v>
      </c>
      <c r="C829">
        <v>52.832000000000001</v>
      </c>
      <c r="D829">
        <v>937.95</v>
      </c>
      <c r="E829">
        <v>14.78</v>
      </c>
      <c r="F829">
        <v>493.93299999999999</v>
      </c>
      <c r="G829" s="26">
        <f t="shared" si="96"/>
        <v>9.5805546293349018</v>
      </c>
      <c r="H829" s="26">
        <f t="shared" si="103"/>
        <v>0.19499999999997186</v>
      </c>
      <c r="I829" s="26">
        <f t="shared" si="97"/>
        <v>4.677999999999999</v>
      </c>
      <c r="J829" t="str">
        <f t="shared" si="98"/>
        <v>Steady</v>
      </c>
      <c r="K829" s="26" t="str">
        <f t="shared" si="99"/>
        <v/>
      </c>
      <c r="L829" s="26" t="str">
        <f t="shared" si="100"/>
        <v/>
      </c>
      <c r="N829" t="e">
        <f t="shared" si="101"/>
        <v>#N/A</v>
      </c>
      <c r="O829" t="e">
        <f t="shared" si="102"/>
        <v>#N/A</v>
      </c>
    </row>
    <row r="830" spans="1:15">
      <c r="A830" s="25">
        <v>46299.552083333343</v>
      </c>
      <c r="B830">
        <v>19.462</v>
      </c>
      <c r="C830">
        <v>52.906999999999996</v>
      </c>
      <c r="D830">
        <v>937.93200000000002</v>
      </c>
      <c r="E830">
        <v>14.8</v>
      </c>
      <c r="F830">
        <v>494</v>
      </c>
      <c r="G830" s="26">
        <f t="shared" si="96"/>
        <v>9.6053958890972524</v>
      </c>
      <c r="H830" s="26">
        <f t="shared" si="103"/>
        <v>0.2549999999999919</v>
      </c>
      <c r="I830" s="26">
        <f t="shared" si="97"/>
        <v>4.661999999999999</v>
      </c>
      <c r="J830" t="str">
        <f t="shared" si="98"/>
        <v>Steady</v>
      </c>
      <c r="K830" s="26" t="str">
        <f t="shared" si="99"/>
        <v/>
      </c>
      <c r="L830" s="26" t="str">
        <f t="shared" si="100"/>
        <v/>
      </c>
      <c r="N830" t="e">
        <f t="shared" si="101"/>
        <v>#N/A</v>
      </c>
      <c r="O830" t="e">
        <f t="shared" si="102"/>
        <v>#N/A</v>
      </c>
    </row>
    <row r="831" spans="1:15">
      <c r="A831" s="25">
        <v>46299.552777777782</v>
      </c>
      <c r="B831">
        <v>19.465</v>
      </c>
      <c r="C831">
        <v>52.813000000000002</v>
      </c>
      <c r="D831">
        <v>937.90800000000002</v>
      </c>
      <c r="E831">
        <v>14.82</v>
      </c>
      <c r="F831">
        <v>494.06700000000001</v>
      </c>
      <c r="G831" s="26">
        <f t="shared" si="96"/>
        <v>9.5816788014825853</v>
      </c>
      <c r="H831" s="26">
        <f t="shared" si="103"/>
        <v>0.21000000000004349</v>
      </c>
      <c r="I831" s="26">
        <f t="shared" si="97"/>
        <v>4.6449999999999996</v>
      </c>
      <c r="J831" t="str">
        <f t="shared" si="98"/>
        <v>Steady</v>
      </c>
      <c r="K831" s="26" t="str">
        <f t="shared" si="99"/>
        <v/>
      </c>
      <c r="L831" s="26" t="str">
        <f t="shared" si="100"/>
        <v/>
      </c>
      <c r="N831" t="e">
        <f t="shared" si="101"/>
        <v>#N/A</v>
      </c>
      <c r="O831" t="e">
        <f t="shared" si="102"/>
        <v>#N/A</v>
      </c>
    </row>
    <row r="832" spans="1:15">
      <c r="A832" s="25">
        <v>46299.553472222222</v>
      </c>
      <c r="B832">
        <v>19.466999999999999</v>
      </c>
      <c r="C832">
        <v>52.843000000000004</v>
      </c>
      <c r="D832">
        <v>937.89</v>
      </c>
      <c r="E832">
        <v>14.84</v>
      </c>
      <c r="F832">
        <v>494.13299999999998</v>
      </c>
      <c r="G832" s="26">
        <f t="shared" si="96"/>
        <v>9.591991854062579</v>
      </c>
      <c r="H832" s="26">
        <f t="shared" si="103"/>
        <v>0.22500000000000853</v>
      </c>
      <c r="I832" s="26">
        <f t="shared" si="97"/>
        <v>4.6269999999999989</v>
      </c>
      <c r="J832" t="str">
        <f t="shared" si="98"/>
        <v>Steady</v>
      </c>
      <c r="K832" s="26" t="str">
        <f t="shared" si="99"/>
        <v/>
      </c>
      <c r="L832" s="26" t="str">
        <f t="shared" si="100"/>
        <v/>
      </c>
      <c r="N832" t="e">
        <f t="shared" si="101"/>
        <v>#N/A</v>
      </c>
      <c r="O832" t="e">
        <f t="shared" si="102"/>
        <v>#N/A</v>
      </c>
    </row>
    <row r="833" spans="1:15">
      <c r="A833" s="25">
        <v>46299.554166666669</v>
      </c>
      <c r="B833">
        <v>19.472000000000001</v>
      </c>
      <c r="C833">
        <v>52.878</v>
      </c>
      <c r="D833">
        <v>937.91300000000001</v>
      </c>
      <c r="E833">
        <v>14.86</v>
      </c>
      <c r="F833">
        <v>494.2</v>
      </c>
      <c r="G833" s="26">
        <f t="shared" si="96"/>
        <v>9.6064887086486852</v>
      </c>
      <c r="H833" s="26">
        <f t="shared" si="103"/>
        <v>0.2549999999999919</v>
      </c>
      <c r="I833" s="26">
        <f t="shared" si="97"/>
        <v>4.6120000000000019</v>
      </c>
      <c r="J833" t="str">
        <f t="shared" si="98"/>
        <v>Steady</v>
      </c>
      <c r="K833" s="26" t="str">
        <f t="shared" si="99"/>
        <v/>
      </c>
      <c r="L833" s="26" t="str">
        <f t="shared" si="100"/>
        <v/>
      </c>
      <c r="N833" t="e">
        <f t="shared" si="101"/>
        <v>#N/A</v>
      </c>
      <c r="O833" t="e">
        <f t="shared" si="102"/>
        <v>#N/A</v>
      </c>
    </row>
    <row r="834" spans="1:15">
      <c r="A834" s="25">
        <v>46299.554861111108</v>
      </c>
      <c r="B834">
        <v>19.477</v>
      </c>
      <c r="C834">
        <v>53.012</v>
      </c>
      <c r="D834">
        <v>937.91200000000003</v>
      </c>
      <c r="E834">
        <v>14.88</v>
      </c>
      <c r="F834">
        <v>494.267</v>
      </c>
      <c r="G834" s="26">
        <f t="shared" ref="G834:G897" si="104">243.04*(LN(C834/100)+17.625*B834/(243.04+B834))/(17.625-LN(C834/100)-17.625*B834/(243.04+B834))</f>
        <v>9.6488407197303658</v>
      </c>
      <c r="H834" s="26">
        <f t="shared" si="103"/>
        <v>0.22500000000000853</v>
      </c>
      <c r="I834" s="26">
        <f t="shared" ref="I834:I897" si="105">B834-E834</f>
        <v>4.5969999999999995</v>
      </c>
      <c r="J834" t="str">
        <f t="shared" ref="J834:J897" si="106">IF(H834="","",IF(H834&gt;0.6,"Heating",IF(H834&lt;-0.2,"Cooling","Steady")))</f>
        <v>Steady</v>
      </c>
      <c r="K834" s="26" t="str">
        <f t="shared" ref="K834:K897" si="107">IF(J834="Cooling",I834,"")</f>
        <v/>
      </c>
      <c r="L834" s="26" t="str">
        <f t="shared" ref="L834:L897" si="108">IF(J834="Cooling",H834,"")</f>
        <v/>
      </c>
      <c r="N834" t="e">
        <f t="shared" ref="N834:N897" si="109">IF(K834="",NA(),K834)</f>
        <v>#N/A</v>
      </c>
      <c r="O834" t="e">
        <f t="shared" ref="O834:O897" si="110">IF(L834="",NA(),L834)</f>
        <v>#N/A</v>
      </c>
    </row>
    <row r="835" spans="1:15">
      <c r="A835" s="25">
        <v>46299.555555555547</v>
      </c>
      <c r="B835">
        <v>19.481999999999999</v>
      </c>
      <c r="C835">
        <v>52.774999999999999</v>
      </c>
      <c r="D835">
        <v>937.92499999999995</v>
      </c>
      <c r="E835">
        <v>14.9</v>
      </c>
      <c r="F835">
        <v>494.33300000000003</v>
      </c>
      <c r="G835" s="26">
        <f t="shared" si="104"/>
        <v>9.5866984565442976</v>
      </c>
      <c r="H835" s="26">
        <f t="shared" si="103"/>
        <v>0.26999999999995694</v>
      </c>
      <c r="I835" s="26">
        <f t="shared" si="105"/>
        <v>4.581999999999999</v>
      </c>
      <c r="J835" t="str">
        <f t="shared" si="106"/>
        <v>Steady</v>
      </c>
      <c r="K835" s="26" t="str">
        <f t="shared" si="107"/>
        <v/>
      </c>
      <c r="L835" s="26" t="str">
        <f t="shared" si="108"/>
        <v/>
      </c>
      <c r="N835" t="e">
        <f t="shared" si="109"/>
        <v>#N/A</v>
      </c>
      <c r="O835" t="e">
        <f t="shared" si="110"/>
        <v>#N/A</v>
      </c>
    </row>
    <row r="836" spans="1:15">
      <c r="A836" s="25">
        <v>46299.556250000001</v>
      </c>
      <c r="B836">
        <v>19.481999999999999</v>
      </c>
      <c r="C836">
        <v>52.631999999999998</v>
      </c>
      <c r="D836">
        <v>937.9</v>
      </c>
      <c r="E836">
        <v>14.92</v>
      </c>
      <c r="F836">
        <v>494.4</v>
      </c>
      <c r="G836" s="26">
        <f t="shared" si="104"/>
        <v>9.5462800704922923</v>
      </c>
      <c r="H836" s="26">
        <f t="shared" ref="H836:H899" si="111">(B838-B834)/4*60</f>
        <v>0.27000000000001023</v>
      </c>
      <c r="I836" s="26">
        <f t="shared" si="105"/>
        <v>4.5619999999999994</v>
      </c>
      <c r="J836" t="str">
        <f t="shared" si="106"/>
        <v>Steady</v>
      </c>
      <c r="K836" s="26" t="str">
        <f t="shared" si="107"/>
        <v/>
      </c>
      <c r="L836" s="26" t="str">
        <f t="shared" si="108"/>
        <v/>
      </c>
      <c r="N836" t="e">
        <f t="shared" si="109"/>
        <v>#N/A</v>
      </c>
      <c r="O836" t="e">
        <f t="shared" si="110"/>
        <v>#N/A</v>
      </c>
    </row>
    <row r="837" spans="1:15">
      <c r="A837" s="25">
        <v>46299.556944444441</v>
      </c>
      <c r="B837">
        <v>19.489999999999998</v>
      </c>
      <c r="C837">
        <v>52.67</v>
      </c>
      <c r="D837">
        <v>937.92700000000002</v>
      </c>
      <c r="E837">
        <v>14.94</v>
      </c>
      <c r="F837">
        <v>494.46699999999998</v>
      </c>
      <c r="G837" s="26">
        <f t="shared" si="104"/>
        <v>9.5644365877355018</v>
      </c>
      <c r="H837" s="26">
        <f t="shared" si="111"/>
        <v>0.34499999999999531</v>
      </c>
      <c r="I837" s="26">
        <f t="shared" si="105"/>
        <v>4.5499999999999989</v>
      </c>
      <c r="J837" t="str">
        <f t="shared" si="106"/>
        <v>Steady</v>
      </c>
      <c r="K837" s="26" t="str">
        <f t="shared" si="107"/>
        <v/>
      </c>
      <c r="L837" s="26" t="str">
        <f t="shared" si="108"/>
        <v/>
      </c>
      <c r="N837" t="e">
        <f t="shared" si="109"/>
        <v>#N/A</v>
      </c>
      <c r="O837" t="e">
        <f t="shared" si="110"/>
        <v>#N/A</v>
      </c>
    </row>
    <row r="838" spans="1:15">
      <c r="A838" s="25">
        <v>46299.557638888888</v>
      </c>
      <c r="B838">
        <v>19.495000000000001</v>
      </c>
      <c r="C838">
        <v>52.777000000000001</v>
      </c>
      <c r="D838">
        <v>937.875</v>
      </c>
      <c r="E838">
        <v>14.96</v>
      </c>
      <c r="F838">
        <v>494.53300000000002</v>
      </c>
      <c r="G838" s="26">
        <f t="shared" si="104"/>
        <v>9.5993015408977342</v>
      </c>
      <c r="H838" s="26">
        <f t="shared" si="111"/>
        <v>0.42000000000003368</v>
      </c>
      <c r="I838" s="26">
        <f t="shared" si="105"/>
        <v>4.5350000000000001</v>
      </c>
      <c r="J838" t="str">
        <f t="shared" si="106"/>
        <v>Steady</v>
      </c>
      <c r="K838" s="26" t="str">
        <f t="shared" si="107"/>
        <v/>
      </c>
      <c r="L838" s="26" t="str">
        <f t="shared" si="108"/>
        <v/>
      </c>
      <c r="N838" t="e">
        <f t="shared" si="109"/>
        <v>#N/A</v>
      </c>
      <c r="O838" t="e">
        <f t="shared" si="110"/>
        <v>#N/A</v>
      </c>
    </row>
    <row r="839" spans="1:15">
      <c r="A839" s="25">
        <v>46299.558333333327</v>
      </c>
      <c r="B839">
        <v>19.504999999999999</v>
      </c>
      <c r="C839">
        <v>52.87</v>
      </c>
      <c r="D839">
        <v>937.93499999999995</v>
      </c>
      <c r="E839">
        <v>14.98</v>
      </c>
      <c r="F839">
        <v>494.6</v>
      </c>
      <c r="G839" s="26">
        <f t="shared" si="104"/>
        <v>9.6347996987128912</v>
      </c>
      <c r="H839" s="26">
        <f t="shared" si="111"/>
        <v>0.33000000000003027</v>
      </c>
      <c r="I839" s="26">
        <f t="shared" si="105"/>
        <v>4.5249999999999986</v>
      </c>
      <c r="J839" t="str">
        <f t="shared" si="106"/>
        <v>Steady</v>
      </c>
      <c r="K839" s="26" t="str">
        <f t="shared" si="107"/>
        <v/>
      </c>
      <c r="L839" s="26" t="str">
        <f t="shared" si="108"/>
        <v/>
      </c>
      <c r="N839" t="e">
        <f t="shared" si="109"/>
        <v>#N/A</v>
      </c>
      <c r="O839" t="e">
        <f t="shared" si="110"/>
        <v>#N/A</v>
      </c>
    </row>
    <row r="840" spans="1:15">
      <c r="A840" s="25">
        <v>46299.559027777781</v>
      </c>
      <c r="B840">
        <v>19.510000000000002</v>
      </c>
      <c r="C840">
        <v>52.722999999999999</v>
      </c>
      <c r="D840">
        <v>937.91</v>
      </c>
      <c r="E840">
        <v>15</v>
      </c>
      <c r="F840">
        <v>494.66699999999997</v>
      </c>
      <c r="G840" s="26">
        <f t="shared" si="104"/>
        <v>9.5979378932335813</v>
      </c>
      <c r="H840" s="26">
        <f t="shared" si="111"/>
        <v>0.37499999999997868</v>
      </c>
      <c r="I840" s="26">
        <f t="shared" si="105"/>
        <v>4.5100000000000016</v>
      </c>
      <c r="J840" t="str">
        <f t="shared" si="106"/>
        <v>Steady</v>
      </c>
      <c r="K840" s="26" t="str">
        <f t="shared" si="107"/>
        <v/>
      </c>
      <c r="L840" s="26" t="str">
        <f t="shared" si="108"/>
        <v/>
      </c>
      <c r="N840" t="e">
        <f t="shared" si="109"/>
        <v>#N/A</v>
      </c>
      <c r="O840" t="e">
        <f t="shared" si="110"/>
        <v>#N/A</v>
      </c>
    </row>
    <row r="841" spans="1:15">
      <c r="A841" s="25">
        <v>46299.55972222222</v>
      </c>
      <c r="B841">
        <v>19.512</v>
      </c>
      <c r="C841">
        <v>52.692999999999998</v>
      </c>
      <c r="D841">
        <v>937.86699999999996</v>
      </c>
      <c r="E841">
        <v>15.02</v>
      </c>
      <c r="F841">
        <v>494.733</v>
      </c>
      <c r="G841" s="26">
        <f t="shared" si="104"/>
        <v>9.5913091273695343</v>
      </c>
      <c r="H841" s="26">
        <f t="shared" si="111"/>
        <v>0.27000000000001023</v>
      </c>
      <c r="I841" s="26">
        <f t="shared" si="105"/>
        <v>4.4920000000000009</v>
      </c>
      <c r="J841" t="str">
        <f t="shared" si="106"/>
        <v>Steady</v>
      </c>
      <c r="K841" s="26" t="str">
        <f t="shared" si="107"/>
        <v/>
      </c>
      <c r="L841" s="26" t="str">
        <f t="shared" si="108"/>
        <v/>
      </c>
      <c r="N841" t="e">
        <f t="shared" si="109"/>
        <v>#N/A</v>
      </c>
      <c r="O841" t="e">
        <f t="shared" si="110"/>
        <v>#N/A</v>
      </c>
    </row>
    <row r="842" spans="1:15">
      <c r="A842" s="25">
        <v>46299.560416666667</v>
      </c>
      <c r="B842">
        <v>19.52</v>
      </c>
      <c r="C842">
        <v>52.677999999999997</v>
      </c>
      <c r="D842">
        <v>937.88300000000004</v>
      </c>
      <c r="E842">
        <v>15.04</v>
      </c>
      <c r="F842">
        <v>494.8</v>
      </c>
      <c r="G842" s="26">
        <f t="shared" si="104"/>
        <v>9.5944738231354272</v>
      </c>
      <c r="H842" s="26">
        <f t="shared" si="111"/>
        <v>0.26999999999995694</v>
      </c>
      <c r="I842" s="26">
        <f t="shared" si="105"/>
        <v>4.4800000000000004</v>
      </c>
      <c r="J842" t="str">
        <f t="shared" si="106"/>
        <v>Steady</v>
      </c>
      <c r="K842" s="26" t="str">
        <f t="shared" si="107"/>
        <v/>
      </c>
      <c r="L842" s="26" t="str">
        <f t="shared" si="108"/>
        <v/>
      </c>
      <c r="N842" t="e">
        <f t="shared" si="109"/>
        <v>#N/A</v>
      </c>
      <c r="O842" t="e">
        <f t="shared" si="110"/>
        <v>#N/A</v>
      </c>
    </row>
    <row r="843" spans="1:15">
      <c r="A843" s="25">
        <v>46299.561111111107</v>
      </c>
      <c r="B843">
        <v>19.523</v>
      </c>
      <c r="C843">
        <v>52.625</v>
      </c>
      <c r="D843">
        <v>937.85699999999997</v>
      </c>
      <c r="E843">
        <v>15.06</v>
      </c>
      <c r="F843">
        <v>494.86700000000002</v>
      </c>
      <c r="G843" s="26">
        <f t="shared" si="104"/>
        <v>9.5822535017899355</v>
      </c>
      <c r="H843" s="26">
        <f t="shared" si="111"/>
        <v>0.31500000000001194</v>
      </c>
      <c r="I843" s="26">
        <f t="shared" si="105"/>
        <v>4.4629999999999992</v>
      </c>
      <c r="J843" t="str">
        <f t="shared" si="106"/>
        <v>Steady</v>
      </c>
      <c r="K843" s="26" t="str">
        <f t="shared" si="107"/>
        <v/>
      </c>
      <c r="L843" s="26" t="str">
        <f t="shared" si="108"/>
        <v/>
      </c>
      <c r="N843" t="e">
        <f t="shared" si="109"/>
        <v>#N/A</v>
      </c>
      <c r="O843" t="e">
        <f t="shared" si="110"/>
        <v>#N/A</v>
      </c>
    </row>
    <row r="844" spans="1:15">
      <c r="A844" s="25">
        <v>46299.561805555553</v>
      </c>
      <c r="B844">
        <v>19.527999999999999</v>
      </c>
      <c r="C844">
        <v>52.646999999999998</v>
      </c>
      <c r="D844">
        <v>937.82799999999997</v>
      </c>
      <c r="E844">
        <v>15.08</v>
      </c>
      <c r="F844">
        <v>494.93299999999999</v>
      </c>
      <c r="G844" s="26">
        <f t="shared" si="104"/>
        <v>9.5931094038263591</v>
      </c>
      <c r="H844" s="26">
        <f t="shared" si="111"/>
        <v>0.19500000000002515</v>
      </c>
      <c r="I844" s="26">
        <f t="shared" si="105"/>
        <v>4.4479999999999986</v>
      </c>
      <c r="J844" t="str">
        <f t="shared" si="106"/>
        <v>Steady</v>
      </c>
      <c r="K844" s="26" t="str">
        <f t="shared" si="107"/>
        <v/>
      </c>
      <c r="L844" s="26" t="str">
        <f t="shared" si="108"/>
        <v/>
      </c>
      <c r="N844" t="e">
        <f t="shared" si="109"/>
        <v>#N/A</v>
      </c>
      <c r="O844" t="e">
        <f t="shared" si="110"/>
        <v>#N/A</v>
      </c>
    </row>
    <row r="845" spans="1:15">
      <c r="A845" s="25">
        <v>46299.5625</v>
      </c>
      <c r="B845">
        <v>19.533000000000001</v>
      </c>
      <c r="C845">
        <v>52.832000000000001</v>
      </c>
      <c r="D845">
        <v>937.78499999999997</v>
      </c>
      <c r="E845">
        <v>15.1</v>
      </c>
      <c r="F845">
        <v>495</v>
      </c>
      <c r="G845" s="26">
        <f t="shared" si="104"/>
        <v>9.6500157786953498</v>
      </c>
      <c r="H845" s="26">
        <f t="shared" si="111"/>
        <v>0.18000000000000682</v>
      </c>
      <c r="I845" s="26">
        <f t="shared" si="105"/>
        <v>4.4330000000000016</v>
      </c>
      <c r="J845" t="str">
        <f t="shared" si="106"/>
        <v>Steady</v>
      </c>
      <c r="K845" s="26" t="str">
        <f t="shared" si="107"/>
        <v/>
      </c>
      <c r="L845" s="26" t="str">
        <f t="shared" si="108"/>
        <v/>
      </c>
      <c r="N845" t="e">
        <f t="shared" si="109"/>
        <v>#N/A</v>
      </c>
      <c r="O845" t="e">
        <f t="shared" si="110"/>
        <v>#N/A</v>
      </c>
    </row>
    <row r="846" spans="1:15">
      <c r="A846" s="25">
        <v>46299.563194444447</v>
      </c>
      <c r="B846">
        <v>19.533000000000001</v>
      </c>
      <c r="C846">
        <v>52.825000000000003</v>
      </c>
      <c r="D846">
        <v>937.77700000000004</v>
      </c>
      <c r="E846">
        <v>15.12</v>
      </c>
      <c r="F846">
        <v>495.06700000000001</v>
      </c>
      <c r="G846" s="26">
        <f t="shared" si="104"/>
        <v>9.6480406488600394</v>
      </c>
      <c r="H846" s="26">
        <f t="shared" si="111"/>
        <v>0.22500000000000853</v>
      </c>
      <c r="I846" s="26">
        <f t="shared" si="105"/>
        <v>4.413000000000002</v>
      </c>
      <c r="J846" t="str">
        <f t="shared" si="106"/>
        <v>Steady</v>
      </c>
      <c r="K846" s="26" t="str">
        <f t="shared" si="107"/>
        <v/>
      </c>
      <c r="L846" s="26" t="str">
        <f t="shared" si="108"/>
        <v/>
      </c>
      <c r="N846" t="e">
        <f t="shared" si="109"/>
        <v>#N/A</v>
      </c>
      <c r="O846" t="e">
        <f t="shared" si="110"/>
        <v>#N/A</v>
      </c>
    </row>
    <row r="847" spans="1:15">
      <c r="A847" s="25">
        <v>46299.563888888893</v>
      </c>
      <c r="B847">
        <v>19.535</v>
      </c>
      <c r="C847">
        <v>52.71</v>
      </c>
      <c r="D847">
        <v>937.73</v>
      </c>
      <c r="E847">
        <v>15.14</v>
      </c>
      <c r="F847">
        <v>495.13299999999998</v>
      </c>
      <c r="G847" s="26">
        <f t="shared" si="104"/>
        <v>9.6174107650091898</v>
      </c>
      <c r="H847" s="26">
        <f t="shared" si="111"/>
        <v>0.28499999999997527</v>
      </c>
      <c r="I847" s="26">
        <f t="shared" si="105"/>
        <v>4.3949999999999996</v>
      </c>
      <c r="J847" t="str">
        <f t="shared" si="106"/>
        <v>Steady</v>
      </c>
      <c r="K847" s="26" t="str">
        <f t="shared" si="107"/>
        <v/>
      </c>
      <c r="L847" s="26" t="str">
        <f t="shared" si="108"/>
        <v/>
      </c>
      <c r="N847" t="e">
        <f t="shared" si="109"/>
        <v>#N/A</v>
      </c>
      <c r="O847" t="e">
        <f t="shared" si="110"/>
        <v>#N/A</v>
      </c>
    </row>
    <row r="848" spans="1:15">
      <c r="A848" s="25">
        <v>46299.564583333333</v>
      </c>
      <c r="B848">
        <v>19.542999999999999</v>
      </c>
      <c r="C848">
        <v>52.738</v>
      </c>
      <c r="D848">
        <v>937.69799999999998</v>
      </c>
      <c r="E848">
        <v>15.16</v>
      </c>
      <c r="F848">
        <v>495.2</v>
      </c>
      <c r="G848" s="26">
        <f t="shared" si="104"/>
        <v>9.63273275095119</v>
      </c>
      <c r="H848" s="26">
        <f t="shared" si="111"/>
        <v>0.35999999999996035</v>
      </c>
      <c r="I848" s="26">
        <f t="shared" si="105"/>
        <v>4.3829999999999991</v>
      </c>
      <c r="J848" t="str">
        <f t="shared" si="106"/>
        <v>Steady</v>
      </c>
      <c r="K848" s="26" t="str">
        <f t="shared" si="107"/>
        <v/>
      </c>
      <c r="L848" s="26" t="str">
        <f t="shared" si="108"/>
        <v/>
      </c>
      <c r="N848" t="e">
        <f t="shared" si="109"/>
        <v>#N/A</v>
      </c>
      <c r="O848" t="e">
        <f t="shared" si="110"/>
        <v>#N/A</v>
      </c>
    </row>
    <row r="849" spans="1:15">
      <c r="A849" s="25">
        <v>46299.56527777778</v>
      </c>
      <c r="B849">
        <v>19.552</v>
      </c>
      <c r="C849">
        <v>52.68</v>
      </c>
      <c r="D849">
        <v>937.66700000000003</v>
      </c>
      <c r="E849">
        <v>15.18</v>
      </c>
      <c r="F849">
        <v>495.267</v>
      </c>
      <c r="G849" s="26">
        <f t="shared" si="104"/>
        <v>9.6246658456353522</v>
      </c>
      <c r="H849" s="26">
        <f t="shared" si="111"/>
        <v>0.37499999999997868</v>
      </c>
      <c r="I849" s="26">
        <f t="shared" si="105"/>
        <v>4.3719999999999999</v>
      </c>
      <c r="J849" t="str">
        <f t="shared" si="106"/>
        <v>Steady</v>
      </c>
      <c r="K849" s="26" t="str">
        <f t="shared" si="107"/>
        <v/>
      </c>
      <c r="L849" s="26" t="str">
        <f t="shared" si="108"/>
        <v/>
      </c>
      <c r="N849" t="e">
        <f t="shared" si="109"/>
        <v>#N/A</v>
      </c>
      <c r="O849" t="e">
        <f t="shared" si="110"/>
        <v>#N/A</v>
      </c>
    </row>
    <row r="850" spans="1:15">
      <c r="A850" s="25">
        <v>46299.565972222219</v>
      </c>
      <c r="B850">
        <v>19.556999999999999</v>
      </c>
      <c r="C850">
        <v>52.615000000000002</v>
      </c>
      <c r="D850">
        <v>937.61</v>
      </c>
      <c r="E850">
        <v>15.2</v>
      </c>
      <c r="F850">
        <v>495.33300000000003</v>
      </c>
      <c r="G850" s="26">
        <f t="shared" si="104"/>
        <v>9.610895603483792</v>
      </c>
      <c r="H850" s="26">
        <f t="shared" si="111"/>
        <v>0.37500000000003197</v>
      </c>
      <c r="I850" s="26">
        <f t="shared" si="105"/>
        <v>4.3569999999999993</v>
      </c>
      <c r="J850" t="str">
        <f t="shared" si="106"/>
        <v>Steady</v>
      </c>
      <c r="K850" s="26" t="str">
        <f t="shared" si="107"/>
        <v/>
      </c>
      <c r="L850" s="26" t="str">
        <f t="shared" si="108"/>
        <v/>
      </c>
      <c r="N850" t="e">
        <f t="shared" si="109"/>
        <v>#N/A</v>
      </c>
      <c r="O850" t="e">
        <f t="shared" si="110"/>
        <v>#N/A</v>
      </c>
    </row>
    <row r="851" spans="1:15">
      <c r="A851" s="25">
        <v>46299.566666666673</v>
      </c>
      <c r="B851">
        <v>19.559999999999999</v>
      </c>
      <c r="C851">
        <v>52.813000000000002</v>
      </c>
      <c r="D851">
        <v>937.62199999999996</v>
      </c>
      <c r="E851">
        <v>15.22</v>
      </c>
      <c r="F851">
        <v>495.4</v>
      </c>
      <c r="G851" s="26">
        <f t="shared" si="104"/>
        <v>9.669658761815656</v>
      </c>
      <c r="H851" s="26">
        <f t="shared" si="111"/>
        <v>0.34499999999999531</v>
      </c>
      <c r="I851" s="26">
        <f t="shared" si="105"/>
        <v>4.3399999999999981</v>
      </c>
      <c r="J851" t="str">
        <f t="shared" si="106"/>
        <v>Steady</v>
      </c>
      <c r="K851" s="26" t="str">
        <f t="shared" si="107"/>
        <v/>
      </c>
      <c r="L851" s="26" t="str">
        <f t="shared" si="108"/>
        <v/>
      </c>
      <c r="N851" t="e">
        <f t="shared" si="109"/>
        <v>#N/A</v>
      </c>
      <c r="O851" t="e">
        <f t="shared" si="110"/>
        <v>#N/A</v>
      </c>
    </row>
    <row r="852" spans="1:15">
      <c r="A852" s="25">
        <v>46299.567361111112</v>
      </c>
      <c r="B852">
        <v>19.568000000000001</v>
      </c>
      <c r="C852">
        <v>52.762999999999998</v>
      </c>
      <c r="D852">
        <v>937.548</v>
      </c>
      <c r="E852">
        <v>15.24</v>
      </c>
      <c r="F852">
        <v>495.46699999999998</v>
      </c>
      <c r="G852" s="26">
        <f t="shared" si="104"/>
        <v>9.6629462514198465</v>
      </c>
      <c r="H852" s="26">
        <f t="shared" si="111"/>
        <v>0.31500000000001194</v>
      </c>
      <c r="I852" s="26">
        <f t="shared" si="105"/>
        <v>4.3280000000000012</v>
      </c>
      <c r="J852" t="str">
        <f t="shared" si="106"/>
        <v>Steady</v>
      </c>
      <c r="K852" s="26" t="str">
        <f t="shared" si="107"/>
        <v/>
      </c>
      <c r="L852" s="26" t="str">
        <f t="shared" si="108"/>
        <v/>
      </c>
      <c r="N852" t="e">
        <f t="shared" si="109"/>
        <v>#N/A</v>
      </c>
      <c r="O852" t="e">
        <f t="shared" si="110"/>
        <v>#N/A</v>
      </c>
    </row>
    <row r="853" spans="1:15">
      <c r="A853" s="25">
        <v>46299.568055555559</v>
      </c>
      <c r="B853">
        <v>19.574999999999999</v>
      </c>
      <c r="C853">
        <v>52.698</v>
      </c>
      <c r="D853">
        <v>937.50699999999995</v>
      </c>
      <c r="E853">
        <v>15.26</v>
      </c>
      <c r="F853">
        <v>495.53300000000002</v>
      </c>
      <c r="G853" s="26">
        <f t="shared" si="104"/>
        <v>9.6510519410352966</v>
      </c>
      <c r="H853" s="26">
        <f t="shared" si="111"/>
        <v>0.33000000000003027</v>
      </c>
      <c r="I853" s="26">
        <f t="shared" si="105"/>
        <v>4.3149999999999995</v>
      </c>
      <c r="J853" t="str">
        <f t="shared" si="106"/>
        <v>Steady</v>
      </c>
      <c r="K853" s="26" t="str">
        <f t="shared" si="107"/>
        <v/>
      </c>
      <c r="L853" s="26" t="str">
        <f t="shared" si="108"/>
        <v/>
      </c>
      <c r="N853" t="e">
        <f t="shared" si="109"/>
        <v>#N/A</v>
      </c>
      <c r="O853" t="e">
        <f t="shared" si="110"/>
        <v>#N/A</v>
      </c>
    </row>
    <row r="854" spans="1:15">
      <c r="A854" s="25">
        <v>46299.568749999999</v>
      </c>
      <c r="B854">
        <v>19.577999999999999</v>
      </c>
      <c r="C854">
        <v>52.787999999999997</v>
      </c>
      <c r="D854">
        <v>937.49300000000005</v>
      </c>
      <c r="E854">
        <v>15.28</v>
      </c>
      <c r="F854">
        <v>495.6</v>
      </c>
      <c r="G854" s="26">
        <f t="shared" si="104"/>
        <v>9.6792687163000881</v>
      </c>
      <c r="H854" s="26">
        <f t="shared" si="111"/>
        <v>0.2549999999999919</v>
      </c>
      <c r="I854" s="26">
        <f t="shared" si="105"/>
        <v>4.298</v>
      </c>
      <c r="J854" t="str">
        <f t="shared" si="106"/>
        <v>Steady</v>
      </c>
      <c r="K854" s="26" t="str">
        <f t="shared" si="107"/>
        <v/>
      </c>
      <c r="L854" s="26" t="str">
        <f t="shared" si="108"/>
        <v/>
      </c>
      <c r="N854" t="e">
        <f t="shared" si="109"/>
        <v>#N/A</v>
      </c>
      <c r="O854" t="e">
        <f t="shared" si="110"/>
        <v>#N/A</v>
      </c>
    </row>
    <row r="855" spans="1:15">
      <c r="A855" s="25">
        <v>46299.569444444453</v>
      </c>
      <c r="B855">
        <v>19.582000000000001</v>
      </c>
      <c r="C855">
        <v>52.451999999999998</v>
      </c>
      <c r="D855">
        <v>937.51300000000003</v>
      </c>
      <c r="E855">
        <v>15.3</v>
      </c>
      <c r="F855">
        <v>495.66699999999997</v>
      </c>
      <c r="G855" s="26">
        <f t="shared" si="104"/>
        <v>9.5878009239551556</v>
      </c>
      <c r="H855" s="26">
        <f t="shared" si="111"/>
        <v>0.19500000000002515</v>
      </c>
      <c r="I855" s="26">
        <f t="shared" si="105"/>
        <v>4.282</v>
      </c>
      <c r="J855" t="str">
        <f t="shared" si="106"/>
        <v>Steady</v>
      </c>
      <c r="K855" s="26" t="str">
        <f t="shared" si="107"/>
        <v/>
      </c>
      <c r="L855" s="26" t="str">
        <f t="shared" si="108"/>
        <v/>
      </c>
      <c r="N855" t="e">
        <f t="shared" si="109"/>
        <v>#N/A</v>
      </c>
      <c r="O855" t="e">
        <f t="shared" si="110"/>
        <v>#N/A</v>
      </c>
    </row>
    <row r="856" spans="1:15">
      <c r="A856" s="25">
        <v>46299.570138888892</v>
      </c>
      <c r="B856">
        <v>19.585000000000001</v>
      </c>
      <c r="C856">
        <v>52.811999999999998</v>
      </c>
      <c r="D856">
        <v>937.46299999999997</v>
      </c>
      <c r="E856">
        <v>15.32</v>
      </c>
      <c r="F856">
        <v>495.733</v>
      </c>
      <c r="G856" s="26">
        <f t="shared" si="104"/>
        <v>9.6925286400910995</v>
      </c>
      <c r="H856" s="26">
        <f t="shared" si="111"/>
        <v>0.2549999999999919</v>
      </c>
      <c r="I856" s="26">
        <f t="shared" si="105"/>
        <v>4.2650000000000006</v>
      </c>
      <c r="J856" t="str">
        <f t="shared" si="106"/>
        <v>Steady</v>
      </c>
      <c r="K856" s="26" t="str">
        <f t="shared" si="107"/>
        <v/>
      </c>
      <c r="L856" s="26" t="str">
        <f t="shared" si="108"/>
        <v/>
      </c>
      <c r="N856" t="e">
        <f t="shared" si="109"/>
        <v>#N/A</v>
      </c>
      <c r="O856" t="e">
        <f t="shared" si="110"/>
        <v>#N/A</v>
      </c>
    </row>
    <row r="857" spans="1:15">
      <c r="A857" s="25">
        <v>46299.570833333331</v>
      </c>
      <c r="B857">
        <v>19.588000000000001</v>
      </c>
      <c r="C857">
        <v>52.645000000000003</v>
      </c>
      <c r="D857">
        <v>937.38199999999995</v>
      </c>
      <c r="E857">
        <v>15.34</v>
      </c>
      <c r="F857">
        <v>495.8</v>
      </c>
      <c r="G857" s="26">
        <f t="shared" si="104"/>
        <v>9.6480880595128777</v>
      </c>
      <c r="H857" s="26">
        <f t="shared" si="111"/>
        <v>0.29999999999999361</v>
      </c>
      <c r="I857" s="26">
        <f t="shared" si="105"/>
        <v>4.2480000000000011</v>
      </c>
      <c r="J857" t="str">
        <f t="shared" si="106"/>
        <v>Steady</v>
      </c>
      <c r="K857" s="26" t="str">
        <f t="shared" si="107"/>
        <v/>
      </c>
      <c r="L857" s="26" t="str">
        <f t="shared" si="108"/>
        <v/>
      </c>
      <c r="N857" t="e">
        <f t="shared" si="109"/>
        <v>#N/A</v>
      </c>
      <c r="O857" t="e">
        <f t="shared" si="110"/>
        <v>#N/A</v>
      </c>
    </row>
    <row r="858" spans="1:15">
      <c r="A858" s="25">
        <v>46299.571527777778</v>
      </c>
      <c r="B858">
        <v>19.594999999999999</v>
      </c>
      <c r="C858">
        <v>52.618000000000002</v>
      </c>
      <c r="D858">
        <v>937.42</v>
      </c>
      <c r="E858">
        <v>15.36</v>
      </c>
      <c r="F858">
        <v>495.86700000000002</v>
      </c>
      <c r="G858" s="26">
        <f t="shared" si="104"/>
        <v>9.6469212324079212</v>
      </c>
      <c r="H858" s="26">
        <f t="shared" si="111"/>
        <v>0.2549999999999919</v>
      </c>
      <c r="I858" s="26">
        <f t="shared" si="105"/>
        <v>4.2349999999999994</v>
      </c>
      <c r="J858" t="str">
        <f t="shared" si="106"/>
        <v>Steady</v>
      </c>
      <c r="K858" s="26" t="str">
        <f t="shared" si="107"/>
        <v/>
      </c>
      <c r="L858" s="26" t="str">
        <f t="shared" si="108"/>
        <v/>
      </c>
      <c r="N858" t="e">
        <f t="shared" si="109"/>
        <v>#N/A</v>
      </c>
      <c r="O858" t="e">
        <f t="shared" si="110"/>
        <v>#N/A</v>
      </c>
    </row>
    <row r="859" spans="1:15">
      <c r="A859" s="25">
        <v>46299.572222222218</v>
      </c>
      <c r="B859">
        <v>19.602</v>
      </c>
      <c r="C859">
        <v>52.537999999999997</v>
      </c>
      <c r="D859">
        <v>937.40200000000004</v>
      </c>
      <c r="E859">
        <v>15.38</v>
      </c>
      <c r="F859">
        <v>495.93299999999999</v>
      </c>
      <c r="G859" s="26">
        <f t="shared" si="104"/>
        <v>9.6307217662290654</v>
      </c>
      <c r="H859" s="26">
        <f t="shared" si="111"/>
        <v>0.2549999999999919</v>
      </c>
      <c r="I859" s="26">
        <f t="shared" si="105"/>
        <v>4.2219999999999995</v>
      </c>
      <c r="J859" t="str">
        <f t="shared" si="106"/>
        <v>Steady</v>
      </c>
      <c r="K859" s="26" t="str">
        <f t="shared" si="107"/>
        <v/>
      </c>
      <c r="L859" s="26" t="str">
        <f t="shared" si="108"/>
        <v/>
      </c>
      <c r="N859" t="e">
        <f t="shared" si="109"/>
        <v>#N/A</v>
      </c>
      <c r="O859" t="e">
        <f t="shared" si="110"/>
        <v>#N/A</v>
      </c>
    </row>
    <row r="860" spans="1:15">
      <c r="A860" s="25">
        <v>46299.572916666657</v>
      </c>
      <c r="B860">
        <v>19.602</v>
      </c>
      <c r="C860">
        <v>52.508000000000003</v>
      </c>
      <c r="D860">
        <v>937.37699999999995</v>
      </c>
      <c r="E860">
        <v>15.4</v>
      </c>
      <c r="F860">
        <v>496</v>
      </c>
      <c r="G860" s="26">
        <f t="shared" si="104"/>
        <v>9.6222092084958746</v>
      </c>
      <c r="H860" s="26">
        <f t="shared" si="111"/>
        <v>0.22500000000000853</v>
      </c>
      <c r="I860" s="26">
        <f t="shared" si="105"/>
        <v>4.202</v>
      </c>
      <c r="J860" t="str">
        <f t="shared" si="106"/>
        <v>Steady</v>
      </c>
      <c r="K860" s="26" t="str">
        <f t="shared" si="107"/>
        <v/>
      </c>
      <c r="L860" s="26" t="str">
        <f t="shared" si="108"/>
        <v/>
      </c>
      <c r="N860" t="e">
        <f t="shared" si="109"/>
        <v>#N/A</v>
      </c>
      <c r="O860" t="e">
        <f t="shared" si="110"/>
        <v>#N/A</v>
      </c>
    </row>
    <row r="861" spans="1:15">
      <c r="A861" s="25">
        <v>46299.573611111111</v>
      </c>
      <c r="B861">
        <v>19.605</v>
      </c>
      <c r="C861">
        <v>52.447000000000003</v>
      </c>
      <c r="D861">
        <v>937.33799999999997</v>
      </c>
      <c r="E861">
        <v>15.42</v>
      </c>
      <c r="F861">
        <v>496.06700000000001</v>
      </c>
      <c r="G861" s="26">
        <f t="shared" si="104"/>
        <v>9.6076630669018854</v>
      </c>
      <c r="H861" s="26">
        <f t="shared" si="111"/>
        <v>0.14999999999997016</v>
      </c>
      <c r="I861" s="26">
        <f t="shared" si="105"/>
        <v>4.1850000000000005</v>
      </c>
      <c r="J861" t="str">
        <f t="shared" si="106"/>
        <v>Steady</v>
      </c>
      <c r="K861" s="26" t="str">
        <f t="shared" si="107"/>
        <v/>
      </c>
      <c r="L861" s="26" t="str">
        <f t="shared" si="108"/>
        <v/>
      </c>
      <c r="N861" t="e">
        <f t="shared" si="109"/>
        <v>#N/A</v>
      </c>
      <c r="O861" t="e">
        <f t="shared" si="110"/>
        <v>#N/A</v>
      </c>
    </row>
    <row r="862" spans="1:15">
      <c r="A862" s="25">
        <v>46299.574305555558</v>
      </c>
      <c r="B862">
        <v>19.61</v>
      </c>
      <c r="C862">
        <v>52.537999999999997</v>
      </c>
      <c r="D862">
        <v>937.33500000000004</v>
      </c>
      <c r="E862">
        <v>15.44</v>
      </c>
      <c r="F862">
        <v>496.13299999999998</v>
      </c>
      <c r="G862" s="26">
        <f t="shared" si="104"/>
        <v>9.6381258440185658</v>
      </c>
      <c r="H862" s="26">
        <f t="shared" si="111"/>
        <v>0.29999999999999361</v>
      </c>
      <c r="I862" s="26">
        <f t="shared" si="105"/>
        <v>4.17</v>
      </c>
      <c r="J862" t="str">
        <f t="shared" si="106"/>
        <v>Steady</v>
      </c>
      <c r="K862" s="26" t="str">
        <f t="shared" si="107"/>
        <v/>
      </c>
      <c r="L862" s="26" t="str">
        <f t="shared" si="108"/>
        <v/>
      </c>
      <c r="N862" t="e">
        <f t="shared" si="109"/>
        <v>#N/A</v>
      </c>
      <c r="O862" t="e">
        <f t="shared" si="110"/>
        <v>#N/A</v>
      </c>
    </row>
    <row r="863" spans="1:15">
      <c r="A863" s="25">
        <v>46299.574999999997</v>
      </c>
      <c r="B863">
        <v>19.611999999999998</v>
      </c>
      <c r="C863">
        <v>52.573</v>
      </c>
      <c r="D863">
        <v>937.29300000000001</v>
      </c>
      <c r="E863">
        <v>15.46</v>
      </c>
      <c r="F863">
        <v>496.2</v>
      </c>
      <c r="G863" s="26">
        <f t="shared" si="104"/>
        <v>9.6499034882641102</v>
      </c>
      <c r="H863" s="26">
        <f t="shared" si="111"/>
        <v>0.22500000000000853</v>
      </c>
      <c r="I863" s="26">
        <f t="shared" si="105"/>
        <v>4.1519999999999975</v>
      </c>
      <c r="J863" t="str">
        <f t="shared" si="106"/>
        <v>Steady</v>
      </c>
      <c r="K863" s="26" t="str">
        <f t="shared" si="107"/>
        <v/>
      </c>
      <c r="L863" s="26" t="str">
        <f t="shared" si="108"/>
        <v/>
      </c>
      <c r="N863" t="e">
        <f t="shared" si="109"/>
        <v>#N/A</v>
      </c>
      <c r="O863" t="e">
        <f t="shared" si="110"/>
        <v>#N/A</v>
      </c>
    </row>
    <row r="864" spans="1:15">
      <c r="A864" s="25">
        <v>46299.575694444437</v>
      </c>
      <c r="B864">
        <v>19.622</v>
      </c>
      <c r="C864">
        <v>52.442</v>
      </c>
      <c r="D864">
        <v>937.28</v>
      </c>
      <c r="E864">
        <v>15.48</v>
      </c>
      <c r="F864">
        <v>496.267</v>
      </c>
      <c r="G864" s="26">
        <f t="shared" si="104"/>
        <v>9.6219726400331957</v>
      </c>
      <c r="H864" s="26">
        <f t="shared" si="111"/>
        <v>0.19500000000002515</v>
      </c>
      <c r="I864" s="26">
        <f t="shared" si="105"/>
        <v>4.1419999999999995</v>
      </c>
      <c r="J864" t="str">
        <f t="shared" si="106"/>
        <v>Steady</v>
      </c>
      <c r="K864" s="26" t="str">
        <f t="shared" si="107"/>
        <v/>
      </c>
      <c r="L864" s="26" t="str">
        <f t="shared" si="108"/>
        <v/>
      </c>
      <c r="N864" t="e">
        <f t="shared" si="109"/>
        <v>#N/A</v>
      </c>
      <c r="O864" t="e">
        <f t="shared" si="110"/>
        <v>#N/A</v>
      </c>
    </row>
    <row r="865" spans="1:15">
      <c r="A865" s="25">
        <v>46299.576388888891</v>
      </c>
      <c r="B865">
        <v>19.62</v>
      </c>
      <c r="C865">
        <v>52.314999999999998</v>
      </c>
      <c r="D865">
        <v>937.25199999999995</v>
      </c>
      <c r="E865">
        <v>15.5</v>
      </c>
      <c r="F865">
        <v>496.33300000000003</v>
      </c>
      <c r="G865" s="26">
        <f t="shared" si="104"/>
        <v>9.5839930819876837</v>
      </c>
      <c r="H865" s="26">
        <f t="shared" si="111"/>
        <v>0.19500000000002515</v>
      </c>
      <c r="I865" s="26">
        <f t="shared" si="105"/>
        <v>4.120000000000001</v>
      </c>
      <c r="J865" t="str">
        <f t="shared" si="106"/>
        <v>Steady</v>
      </c>
      <c r="K865" s="26" t="str">
        <f t="shared" si="107"/>
        <v/>
      </c>
      <c r="L865" s="26" t="str">
        <f t="shared" si="108"/>
        <v/>
      </c>
      <c r="N865" t="e">
        <f t="shared" si="109"/>
        <v>#N/A</v>
      </c>
      <c r="O865" t="e">
        <f t="shared" si="110"/>
        <v>#N/A</v>
      </c>
    </row>
    <row r="866" spans="1:15">
      <c r="A866" s="25">
        <v>46299.57708333333</v>
      </c>
      <c r="B866">
        <v>19.623000000000001</v>
      </c>
      <c r="C866">
        <v>52.204999999999998</v>
      </c>
      <c r="D866">
        <v>937.22699999999998</v>
      </c>
      <c r="E866">
        <v>15.52</v>
      </c>
      <c r="F866">
        <v>496.4</v>
      </c>
      <c r="G866" s="26">
        <f t="shared" si="104"/>
        <v>9.5554121534105025</v>
      </c>
      <c r="H866" s="26">
        <f t="shared" si="111"/>
        <v>0.16499999999998849</v>
      </c>
      <c r="I866" s="26">
        <f t="shared" si="105"/>
        <v>4.1030000000000015</v>
      </c>
      <c r="J866" t="str">
        <f t="shared" si="106"/>
        <v>Steady</v>
      </c>
      <c r="K866" s="26" t="str">
        <f t="shared" si="107"/>
        <v/>
      </c>
      <c r="L866" s="26" t="str">
        <f t="shared" si="108"/>
        <v/>
      </c>
      <c r="N866" t="e">
        <f t="shared" si="109"/>
        <v>#N/A</v>
      </c>
      <c r="O866" t="e">
        <f t="shared" si="110"/>
        <v>#N/A</v>
      </c>
    </row>
    <row r="867" spans="1:15">
      <c r="A867" s="25">
        <v>46299.577777777777</v>
      </c>
      <c r="B867">
        <v>19.625</v>
      </c>
      <c r="C867">
        <v>52.258000000000003</v>
      </c>
      <c r="D867">
        <v>937.19200000000001</v>
      </c>
      <c r="E867">
        <v>15.54</v>
      </c>
      <c r="F867">
        <v>496.46699999999998</v>
      </c>
      <c r="G867" s="26">
        <f t="shared" si="104"/>
        <v>9.5723771805082905</v>
      </c>
      <c r="H867" s="26">
        <f t="shared" si="111"/>
        <v>0.18000000000000682</v>
      </c>
      <c r="I867" s="26">
        <f t="shared" si="105"/>
        <v>4.0850000000000009</v>
      </c>
      <c r="J867" t="str">
        <f t="shared" si="106"/>
        <v>Steady</v>
      </c>
      <c r="K867" s="26" t="str">
        <f t="shared" si="107"/>
        <v/>
      </c>
      <c r="L867" s="26" t="str">
        <f t="shared" si="108"/>
        <v/>
      </c>
      <c r="N867" t="e">
        <f t="shared" si="109"/>
        <v>#N/A</v>
      </c>
      <c r="O867" t="e">
        <f t="shared" si="110"/>
        <v>#N/A</v>
      </c>
    </row>
    <row r="868" spans="1:15">
      <c r="A868" s="25">
        <v>46299.578472222223</v>
      </c>
      <c r="B868">
        <v>19.632999999999999</v>
      </c>
      <c r="C868">
        <v>52.357999999999997</v>
      </c>
      <c r="D868">
        <v>937.21199999999999</v>
      </c>
      <c r="E868">
        <v>15.56</v>
      </c>
      <c r="F868">
        <v>496.53300000000002</v>
      </c>
      <c r="G868" s="26">
        <f t="shared" si="104"/>
        <v>9.6082610560045012</v>
      </c>
      <c r="H868" s="26">
        <f t="shared" si="111"/>
        <v>0.18000000000000682</v>
      </c>
      <c r="I868" s="26">
        <f t="shared" si="105"/>
        <v>4.0729999999999986</v>
      </c>
      <c r="J868" t="str">
        <f t="shared" si="106"/>
        <v>Steady</v>
      </c>
      <c r="K868" s="26" t="str">
        <f t="shared" si="107"/>
        <v/>
      </c>
      <c r="L868" s="26" t="str">
        <f t="shared" si="108"/>
        <v/>
      </c>
      <c r="N868" t="e">
        <f t="shared" si="109"/>
        <v>#N/A</v>
      </c>
      <c r="O868" t="e">
        <f t="shared" si="110"/>
        <v>#N/A</v>
      </c>
    </row>
    <row r="869" spans="1:15">
      <c r="A869" s="25">
        <v>46299.57916666667</v>
      </c>
      <c r="B869">
        <v>19.632000000000001</v>
      </c>
      <c r="C869">
        <v>52.383000000000003</v>
      </c>
      <c r="D869">
        <v>937.16300000000001</v>
      </c>
      <c r="E869">
        <v>15.58</v>
      </c>
      <c r="F869">
        <v>496.6</v>
      </c>
      <c r="G869" s="26">
        <f t="shared" si="104"/>
        <v>9.6144495058609252</v>
      </c>
      <c r="H869" s="26">
        <f t="shared" si="111"/>
        <v>0.2549999999999919</v>
      </c>
      <c r="I869" s="26">
        <f t="shared" si="105"/>
        <v>4.0520000000000014</v>
      </c>
      <c r="J869" t="str">
        <f t="shared" si="106"/>
        <v>Steady</v>
      </c>
      <c r="K869" s="26" t="str">
        <f t="shared" si="107"/>
        <v/>
      </c>
      <c r="L869" s="26" t="str">
        <f t="shared" si="108"/>
        <v/>
      </c>
      <c r="N869" t="e">
        <f t="shared" si="109"/>
        <v>#N/A</v>
      </c>
      <c r="O869" t="e">
        <f t="shared" si="110"/>
        <v>#N/A</v>
      </c>
    </row>
    <row r="870" spans="1:15">
      <c r="A870" s="25">
        <v>46299.579861111109</v>
      </c>
      <c r="B870">
        <v>19.635000000000002</v>
      </c>
      <c r="C870">
        <v>52.247999999999998</v>
      </c>
      <c r="D870">
        <v>937.14700000000005</v>
      </c>
      <c r="E870">
        <v>15.6</v>
      </c>
      <c r="F870">
        <v>496.66699999999997</v>
      </c>
      <c r="G870" s="26">
        <f t="shared" si="104"/>
        <v>9.5787752445254117</v>
      </c>
      <c r="H870" s="26">
        <f t="shared" si="111"/>
        <v>0.22500000000000853</v>
      </c>
      <c r="I870" s="26">
        <f t="shared" si="105"/>
        <v>4.0350000000000019</v>
      </c>
      <c r="J870" t="str">
        <f t="shared" si="106"/>
        <v>Steady</v>
      </c>
      <c r="K870" s="26" t="str">
        <f t="shared" si="107"/>
        <v/>
      </c>
      <c r="L870" s="26" t="str">
        <f t="shared" si="108"/>
        <v/>
      </c>
      <c r="N870" t="e">
        <f t="shared" si="109"/>
        <v>#N/A</v>
      </c>
      <c r="O870" t="e">
        <f t="shared" si="110"/>
        <v>#N/A</v>
      </c>
    </row>
    <row r="871" spans="1:15">
      <c r="A871" s="25">
        <v>46299.580555555563</v>
      </c>
      <c r="B871">
        <v>19.641999999999999</v>
      </c>
      <c r="C871">
        <v>52.204999999999998</v>
      </c>
      <c r="D871">
        <v>937.11199999999997</v>
      </c>
      <c r="E871">
        <v>15.62</v>
      </c>
      <c r="F871">
        <v>496.733</v>
      </c>
      <c r="G871" s="26">
        <f t="shared" si="104"/>
        <v>9.572983518925188</v>
      </c>
      <c r="H871" s="26">
        <f t="shared" si="111"/>
        <v>0.22499999999995524</v>
      </c>
      <c r="I871" s="26">
        <f t="shared" si="105"/>
        <v>4.0220000000000002</v>
      </c>
      <c r="J871" t="str">
        <f t="shared" si="106"/>
        <v>Steady</v>
      </c>
      <c r="K871" s="26" t="str">
        <f t="shared" si="107"/>
        <v/>
      </c>
      <c r="L871" s="26" t="str">
        <f t="shared" si="108"/>
        <v/>
      </c>
      <c r="N871" t="e">
        <f t="shared" si="109"/>
        <v>#N/A</v>
      </c>
      <c r="O871" t="e">
        <f t="shared" si="110"/>
        <v>#N/A</v>
      </c>
    </row>
    <row r="872" spans="1:15">
      <c r="A872" s="25">
        <v>46299.581250000003</v>
      </c>
      <c r="B872">
        <v>19.648</v>
      </c>
      <c r="C872">
        <v>52.177999999999997</v>
      </c>
      <c r="D872">
        <v>937.07500000000005</v>
      </c>
      <c r="E872">
        <v>15.64</v>
      </c>
      <c r="F872">
        <v>496.8</v>
      </c>
      <c r="G872" s="26">
        <f t="shared" si="104"/>
        <v>9.5708255475788704</v>
      </c>
      <c r="H872" s="26">
        <f t="shared" si="111"/>
        <v>0.2549999999999919</v>
      </c>
      <c r="I872" s="26">
        <f t="shared" si="105"/>
        <v>4.0079999999999991</v>
      </c>
      <c r="J872" t="str">
        <f t="shared" si="106"/>
        <v>Steady</v>
      </c>
      <c r="K872" s="26" t="str">
        <f t="shared" si="107"/>
        <v/>
      </c>
      <c r="L872" s="26" t="str">
        <f t="shared" si="108"/>
        <v/>
      </c>
      <c r="N872" t="e">
        <f t="shared" si="109"/>
        <v>#N/A</v>
      </c>
      <c r="O872" t="e">
        <f t="shared" si="110"/>
        <v>#N/A</v>
      </c>
    </row>
    <row r="873" spans="1:15">
      <c r="A873" s="25">
        <v>46299.581944444442</v>
      </c>
      <c r="B873">
        <v>19.646999999999998</v>
      </c>
      <c r="C873">
        <v>52.057000000000002</v>
      </c>
      <c r="D873">
        <v>937.04</v>
      </c>
      <c r="E873">
        <v>15.66</v>
      </c>
      <c r="F873">
        <v>496.86700000000002</v>
      </c>
      <c r="G873" s="26">
        <f t="shared" si="104"/>
        <v>9.5353198916867754</v>
      </c>
      <c r="H873" s="26">
        <f t="shared" si="111"/>
        <v>0.16499999999998849</v>
      </c>
      <c r="I873" s="26">
        <f t="shared" si="105"/>
        <v>3.9869999999999983</v>
      </c>
      <c r="J873" t="str">
        <f t="shared" si="106"/>
        <v>Steady</v>
      </c>
      <c r="K873" s="26" t="str">
        <f t="shared" si="107"/>
        <v/>
      </c>
      <c r="L873" s="26" t="str">
        <f t="shared" si="108"/>
        <v/>
      </c>
      <c r="N873" t="e">
        <f t="shared" si="109"/>
        <v>#N/A</v>
      </c>
      <c r="O873" t="e">
        <f t="shared" si="110"/>
        <v>#N/A</v>
      </c>
    </row>
    <row r="874" spans="1:15">
      <c r="A874" s="25">
        <v>46299.582638888889</v>
      </c>
      <c r="B874">
        <v>19.652000000000001</v>
      </c>
      <c r="C874">
        <v>52.164999999999999</v>
      </c>
      <c r="D874">
        <v>937.03</v>
      </c>
      <c r="E874">
        <v>15.68</v>
      </c>
      <c r="F874">
        <v>496.93299999999999</v>
      </c>
      <c r="G874" s="26">
        <f t="shared" si="104"/>
        <v>9.5708124913729584</v>
      </c>
      <c r="H874" s="26">
        <f t="shared" si="111"/>
        <v>6.0000000000020037E-2</v>
      </c>
      <c r="I874" s="26">
        <f t="shared" si="105"/>
        <v>3.9720000000000013</v>
      </c>
      <c r="J874" t="str">
        <f t="shared" si="106"/>
        <v>Steady</v>
      </c>
      <c r="K874" s="26" t="str">
        <f t="shared" si="107"/>
        <v/>
      </c>
      <c r="L874" s="26" t="str">
        <f t="shared" si="108"/>
        <v/>
      </c>
      <c r="N874" t="e">
        <f t="shared" si="109"/>
        <v>#N/A</v>
      </c>
      <c r="O874" t="e">
        <f t="shared" si="110"/>
        <v>#N/A</v>
      </c>
    </row>
    <row r="875" spans="1:15">
      <c r="A875" s="25">
        <v>46299.583333333343</v>
      </c>
      <c r="B875">
        <v>19.652999999999999</v>
      </c>
      <c r="C875">
        <v>52.298000000000002</v>
      </c>
      <c r="D875">
        <v>936.98699999999997</v>
      </c>
      <c r="E875">
        <v>15.7</v>
      </c>
      <c r="F875">
        <v>497</v>
      </c>
      <c r="G875" s="26">
        <f t="shared" si="104"/>
        <v>9.6096761138558513</v>
      </c>
      <c r="H875" s="26">
        <f t="shared" si="111"/>
        <v>0.15000000000002345</v>
      </c>
      <c r="I875" s="26">
        <f t="shared" si="105"/>
        <v>3.9529999999999994</v>
      </c>
      <c r="J875" t="str">
        <f t="shared" si="106"/>
        <v>Steady</v>
      </c>
      <c r="K875" s="26" t="str">
        <f t="shared" si="107"/>
        <v/>
      </c>
      <c r="L875" s="26" t="str">
        <f t="shared" si="108"/>
        <v/>
      </c>
      <c r="N875" t="e">
        <f t="shared" si="109"/>
        <v>#N/A</v>
      </c>
      <c r="O875" t="e">
        <f t="shared" si="110"/>
        <v>#N/A</v>
      </c>
    </row>
    <row r="876" spans="1:15">
      <c r="A876" s="25">
        <v>46299.584027777782</v>
      </c>
      <c r="B876">
        <v>19.652000000000001</v>
      </c>
      <c r="C876">
        <v>52.375</v>
      </c>
      <c r="D876">
        <v>936.92499999999995</v>
      </c>
      <c r="E876">
        <v>15.715</v>
      </c>
      <c r="F876">
        <v>496.483</v>
      </c>
      <c r="G876" s="26">
        <f t="shared" si="104"/>
        <v>9.6306767041461114</v>
      </c>
      <c r="H876" s="26">
        <f t="shared" si="111"/>
        <v>0.11999999999998678</v>
      </c>
      <c r="I876" s="26">
        <f t="shared" si="105"/>
        <v>3.9370000000000012</v>
      </c>
      <c r="J876" t="str">
        <f t="shared" si="106"/>
        <v>Steady</v>
      </c>
      <c r="K876" s="26" t="str">
        <f t="shared" si="107"/>
        <v/>
      </c>
      <c r="L876" s="26" t="str">
        <f t="shared" si="108"/>
        <v/>
      </c>
      <c r="N876" t="e">
        <f t="shared" si="109"/>
        <v>#N/A</v>
      </c>
      <c r="O876" t="e">
        <f t="shared" si="110"/>
        <v>#N/A</v>
      </c>
    </row>
    <row r="877" spans="1:15">
      <c r="A877" s="25">
        <v>46299.584722222222</v>
      </c>
      <c r="B877">
        <v>19.657</v>
      </c>
      <c r="C877">
        <v>52.351999999999997</v>
      </c>
      <c r="D877">
        <v>936.94799999999998</v>
      </c>
      <c r="E877">
        <v>15.73</v>
      </c>
      <c r="F877">
        <v>495.96699999999998</v>
      </c>
      <c r="G877" s="26">
        <f t="shared" si="104"/>
        <v>9.6287560300063326</v>
      </c>
      <c r="H877" s="26">
        <f t="shared" si="111"/>
        <v>0.18000000000000682</v>
      </c>
      <c r="I877" s="26">
        <f t="shared" si="105"/>
        <v>3.9269999999999996</v>
      </c>
      <c r="J877" t="str">
        <f t="shared" si="106"/>
        <v>Steady</v>
      </c>
      <c r="K877" s="26" t="str">
        <f t="shared" si="107"/>
        <v/>
      </c>
      <c r="L877" s="26" t="str">
        <f t="shared" si="108"/>
        <v/>
      </c>
      <c r="N877" t="e">
        <f t="shared" si="109"/>
        <v>#N/A</v>
      </c>
      <c r="O877" t="e">
        <f t="shared" si="110"/>
        <v>#N/A</v>
      </c>
    </row>
    <row r="878" spans="1:15">
      <c r="A878" s="25">
        <v>46299.585416666669</v>
      </c>
      <c r="B878">
        <v>19.66</v>
      </c>
      <c r="C878">
        <v>52.594999999999999</v>
      </c>
      <c r="D878">
        <v>936.92499999999995</v>
      </c>
      <c r="E878">
        <v>15.744999999999999</v>
      </c>
      <c r="F878">
        <v>495.45</v>
      </c>
      <c r="G878" s="26">
        <f t="shared" si="104"/>
        <v>9.7005698651479744</v>
      </c>
      <c r="H878" s="26">
        <f t="shared" si="111"/>
        <v>0.19499999999997186</v>
      </c>
      <c r="I878" s="26">
        <f t="shared" si="105"/>
        <v>3.9150000000000009</v>
      </c>
      <c r="J878" t="str">
        <f t="shared" si="106"/>
        <v>Steady</v>
      </c>
      <c r="K878" s="26" t="str">
        <f t="shared" si="107"/>
        <v/>
      </c>
      <c r="L878" s="26" t="str">
        <f t="shared" si="108"/>
        <v/>
      </c>
      <c r="N878" t="e">
        <f t="shared" si="109"/>
        <v>#N/A</v>
      </c>
      <c r="O878" t="e">
        <f t="shared" si="110"/>
        <v>#N/A</v>
      </c>
    </row>
    <row r="879" spans="1:15">
      <c r="A879" s="25">
        <v>46299.586111111108</v>
      </c>
      <c r="B879">
        <v>19.664999999999999</v>
      </c>
      <c r="C879">
        <v>52.661999999999999</v>
      </c>
      <c r="D879">
        <v>936.91200000000003</v>
      </c>
      <c r="E879">
        <v>15.76</v>
      </c>
      <c r="F879">
        <v>494.93299999999999</v>
      </c>
      <c r="G879" s="26">
        <f t="shared" si="104"/>
        <v>9.7241844531761128</v>
      </c>
      <c r="H879" s="26">
        <f t="shared" si="111"/>
        <v>0.16499999999998849</v>
      </c>
      <c r="I879" s="26">
        <f t="shared" si="105"/>
        <v>3.9049999999999994</v>
      </c>
      <c r="J879" t="str">
        <f t="shared" si="106"/>
        <v>Steady</v>
      </c>
      <c r="K879" s="26" t="str">
        <f t="shared" si="107"/>
        <v/>
      </c>
      <c r="L879" s="26" t="str">
        <f t="shared" si="108"/>
        <v/>
      </c>
      <c r="N879" t="e">
        <f t="shared" si="109"/>
        <v>#N/A</v>
      </c>
      <c r="O879" t="e">
        <f t="shared" si="110"/>
        <v>#N/A</v>
      </c>
    </row>
    <row r="880" spans="1:15">
      <c r="A880" s="25">
        <v>46299.586805555547</v>
      </c>
      <c r="B880">
        <v>19.664999999999999</v>
      </c>
      <c r="C880">
        <v>52.68</v>
      </c>
      <c r="D880">
        <v>936.86</v>
      </c>
      <c r="E880">
        <v>15.775</v>
      </c>
      <c r="F880">
        <v>494.41699999999997</v>
      </c>
      <c r="G880" s="26">
        <f t="shared" si="104"/>
        <v>9.7292816792260819</v>
      </c>
      <c r="H880" s="26">
        <f t="shared" si="111"/>
        <v>0.15000000000002345</v>
      </c>
      <c r="I880" s="26">
        <f t="shared" si="105"/>
        <v>3.8899999999999988</v>
      </c>
      <c r="J880" t="str">
        <f t="shared" si="106"/>
        <v>Steady</v>
      </c>
      <c r="K880" s="26" t="str">
        <f t="shared" si="107"/>
        <v/>
      </c>
      <c r="L880" s="26" t="str">
        <f t="shared" si="108"/>
        <v/>
      </c>
      <c r="N880" t="e">
        <f t="shared" si="109"/>
        <v>#N/A</v>
      </c>
      <c r="O880" t="e">
        <f t="shared" si="110"/>
        <v>#N/A</v>
      </c>
    </row>
    <row r="881" spans="1:15">
      <c r="A881" s="25">
        <v>46299.587500000001</v>
      </c>
      <c r="B881">
        <v>19.667999999999999</v>
      </c>
      <c r="C881">
        <v>52.71</v>
      </c>
      <c r="D881">
        <v>936.81700000000001</v>
      </c>
      <c r="E881">
        <v>15.79</v>
      </c>
      <c r="F881">
        <v>493.9</v>
      </c>
      <c r="G881" s="26">
        <f t="shared" si="104"/>
        <v>9.7405511951639081</v>
      </c>
      <c r="H881" s="26">
        <f t="shared" si="111"/>
        <v>7.5000000000038369E-2</v>
      </c>
      <c r="I881" s="26">
        <f t="shared" si="105"/>
        <v>3.8780000000000001</v>
      </c>
      <c r="J881" t="str">
        <f t="shared" si="106"/>
        <v>Steady</v>
      </c>
      <c r="K881" s="26" t="str">
        <f t="shared" si="107"/>
        <v/>
      </c>
      <c r="L881" s="26" t="str">
        <f t="shared" si="108"/>
        <v/>
      </c>
      <c r="N881" t="e">
        <f t="shared" si="109"/>
        <v>#N/A</v>
      </c>
      <c r="O881" t="e">
        <f t="shared" si="110"/>
        <v>#N/A</v>
      </c>
    </row>
    <row r="882" spans="1:15">
      <c r="A882" s="25">
        <v>46299.588194444441</v>
      </c>
      <c r="B882">
        <v>19.670000000000002</v>
      </c>
      <c r="C882">
        <v>52.698</v>
      </c>
      <c r="D882">
        <v>936.745</v>
      </c>
      <c r="E882">
        <v>15.805</v>
      </c>
      <c r="F882">
        <v>493.38299999999998</v>
      </c>
      <c r="G882" s="26">
        <f t="shared" si="104"/>
        <v>9.7390064965886669</v>
      </c>
      <c r="H882" s="26">
        <f t="shared" si="111"/>
        <v>7.5000000000038369E-2</v>
      </c>
      <c r="I882" s="26">
        <f t="shared" si="105"/>
        <v>3.865000000000002</v>
      </c>
      <c r="J882" t="str">
        <f t="shared" si="106"/>
        <v>Steady</v>
      </c>
      <c r="K882" s="26" t="str">
        <f t="shared" si="107"/>
        <v/>
      </c>
      <c r="L882" s="26" t="str">
        <f t="shared" si="108"/>
        <v/>
      </c>
      <c r="N882" t="e">
        <f t="shared" si="109"/>
        <v>#N/A</v>
      </c>
      <c r="O882" t="e">
        <f t="shared" si="110"/>
        <v>#N/A</v>
      </c>
    </row>
    <row r="883" spans="1:15">
      <c r="A883" s="25">
        <v>46299.588888888888</v>
      </c>
      <c r="B883">
        <v>19.670000000000002</v>
      </c>
      <c r="C883">
        <v>52.66</v>
      </c>
      <c r="D883">
        <v>936.69500000000005</v>
      </c>
      <c r="E883">
        <v>15.82</v>
      </c>
      <c r="F883">
        <v>492.86700000000002</v>
      </c>
      <c r="G883" s="26">
        <f t="shared" si="104"/>
        <v>9.7282467329869391</v>
      </c>
      <c r="H883" s="26">
        <f t="shared" si="111"/>
        <v>0</v>
      </c>
      <c r="I883" s="26">
        <f t="shared" si="105"/>
        <v>3.8500000000000014</v>
      </c>
      <c r="J883" t="str">
        <f t="shared" si="106"/>
        <v>Steady</v>
      </c>
      <c r="K883" s="26" t="str">
        <f t="shared" si="107"/>
        <v/>
      </c>
      <c r="L883" s="26" t="str">
        <f t="shared" si="108"/>
        <v/>
      </c>
      <c r="N883" t="e">
        <f t="shared" si="109"/>
        <v>#N/A</v>
      </c>
      <c r="O883" t="e">
        <f t="shared" si="110"/>
        <v>#N/A</v>
      </c>
    </row>
    <row r="884" spans="1:15">
      <c r="A884" s="25">
        <v>46299.589583333327</v>
      </c>
      <c r="B884">
        <v>19.670000000000002</v>
      </c>
      <c r="C884">
        <v>52.332999999999998</v>
      </c>
      <c r="D884">
        <v>936.69200000000001</v>
      </c>
      <c r="E884">
        <v>15.835000000000001</v>
      </c>
      <c r="F884">
        <v>492.35</v>
      </c>
      <c r="G884" s="26">
        <f t="shared" si="104"/>
        <v>9.6353720476955722</v>
      </c>
      <c r="H884" s="26">
        <f t="shared" si="111"/>
        <v>7.4999999999985079E-2</v>
      </c>
      <c r="I884" s="26">
        <f t="shared" si="105"/>
        <v>3.8350000000000009</v>
      </c>
      <c r="J884" t="str">
        <f t="shared" si="106"/>
        <v>Steady</v>
      </c>
      <c r="K884" s="26" t="str">
        <f t="shared" si="107"/>
        <v/>
      </c>
      <c r="L884" s="26" t="str">
        <f t="shared" si="108"/>
        <v/>
      </c>
      <c r="N884" t="e">
        <f t="shared" si="109"/>
        <v>#N/A</v>
      </c>
      <c r="O884" t="e">
        <f t="shared" si="110"/>
        <v>#N/A</v>
      </c>
    </row>
    <row r="885" spans="1:15">
      <c r="A885" s="25">
        <v>46299.590277777781</v>
      </c>
      <c r="B885">
        <v>19.667999999999999</v>
      </c>
      <c r="C885">
        <v>52.307000000000002</v>
      </c>
      <c r="D885">
        <v>936.65800000000002</v>
      </c>
      <c r="E885">
        <v>15.85</v>
      </c>
      <c r="F885">
        <v>491.83300000000003</v>
      </c>
      <c r="G885" s="26">
        <f t="shared" si="104"/>
        <v>9.6261155443471296</v>
      </c>
      <c r="H885" s="26">
        <f t="shared" si="111"/>
        <v>0.19499999999997186</v>
      </c>
      <c r="I885" s="26">
        <f t="shared" si="105"/>
        <v>3.8179999999999996</v>
      </c>
      <c r="J885" t="str">
        <f t="shared" si="106"/>
        <v>Steady</v>
      </c>
      <c r="K885" s="26" t="str">
        <f t="shared" si="107"/>
        <v/>
      </c>
      <c r="L885" s="26" t="str">
        <f t="shared" si="108"/>
        <v/>
      </c>
      <c r="N885" t="e">
        <f t="shared" si="109"/>
        <v>#N/A</v>
      </c>
      <c r="O885" t="e">
        <f t="shared" si="110"/>
        <v>#N/A</v>
      </c>
    </row>
    <row r="886" spans="1:15">
      <c r="A886" s="25">
        <v>46299.59097222222</v>
      </c>
      <c r="B886">
        <v>19.675000000000001</v>
      </c>
      <c r="C886">
        <v>52.601999999999997</v>
      </c>
      <c r="D886">
        <v>936.61500000000001</v>
      </c>
      <c r="E886">
        <v>15.865</v>
      </c>
      <c r="F886">
        <v>491.31700000000001</v>
      </c>
      <c r="G886" s="26">
        <f t="shared" si="104"/>
        <v>9.7164388501979513</v>
      </c>
      <c r="H886" s="26">
        <f t="shared" si="111"/>
        <v>0.17999999999995353</v>
      </c>
      <c r="I886" s="26">
        <f t="shared" si="105"/>
        <v>3.8100000000000005</v>
      </c>
      <c r="J886" t="str">
        <f t="shared" si="106"/>
        <v>Steady</v>
      </c>
      <c r="K886" s="26" t="str">
        <f t="shared" si="107"/>
        <v/>
      </c>
      <c r="L886" s="26" t="str">
        <f t="shared" si="108"/>
        <v/>
      </c>
      <c r="N886" t="e">
        <f t="shared" si="109"/>
        <v>#N/A</v>
      </c>
      <c r="O886" t="e">
        <f t="shared" si="110"/>
        <v>#N/A</v>
      </c>
    </row>
    <row r="887" spans="1:15">
      <c r="A887" s="25">
        <v>46299.591666666667</v>
      </c>
      <c r="B887">
        <v>19.683</v>
      </c>
      <c r="C887">
        <v>52.604999999999997</v>
      </c>
      <c r="D887">
        <v>936.60699999999997</v>
      </c>
      <c r="E887">
        <v>15.88</v>
      </c>
      <c r="F887">
        <v>490.8</v>
      </c>
      <c r="G887" s="26">
        <f t="shared" si="104"/>
        <v>9.7246944467061596</v>
      </c>
      <c r="H887" s="26">
        <f t="shared" si="111"/>
        <v>0.15000000000002345</v>
      </c>
      <c r="I887" s="26">
        <f t="shared" si="105"/>
        <v>3.802999999999999</v>
      </c>
      <c r="J887" t="str">
        <f t="shared" si="106"/>
        <v>Steady</v>
      </c>
      <c r="K887" s="26" t="str">
        <f t="shared" si="107"/>
        <v/>
      </c>
      <c r="L887" s="26" t="str">
        <f t="shared" si="108"/>
        <v/>
      </c>
      <c r="N887" t="e">
        <f t="shared" si="109"/>
        <v>#N/A</v>
      </c>
      <c r="O887" t="e">
        <f t="shared" si="110"/>
        <v>#N/A</v>
      </c>
    </row>
    <row r="888" spans="1:15">
      <c r="A888" s="25">
        <v>46299.592361111107</v>
      </c>
      <c r="B888">
        <v>19.681999999999999</v>
      </c>
      <c r="C888">
        <v>52.572000000000003</v>
      </c>
      <c r="D888">
        <v>936.56299999999999</v>
      </c>
      <c r="E888">
        <v>15.895</v>
      </c>
      <c r="F888">
        <v>490.28300000000002</v>
      </c>
      <c r="G888" s="26">
        <f t="shared" si="104"/>
        <v>9.7144098095207916</v>
      </c>
      <c r="H888" s="26">
        <f t="shared" si="111"/>
        <v>0.14999999999997016</v>
      </c>
      <c r="I888" s="26">
        <f t="shared" si="105"/>
        <v>3.786999999999999</v>
      </c>
      <c r="J888" t="str">
        <f t="shared" si="106"/>
        <v>Steady</v>
      </c>
      <c r="K888" s="26" t="str">
        <f t="shared" si="107"/>
        <v/>
      </c>
      <c r="L888" s="26" t="str">
        <f t="shared" si="108"/>
        <v/>
      </c>
      <c r="N888" t="e">
        <f t="shared" si="109"/>
        <v>#N/A</v>
      </c>
      <c r="O888" t="e">
        <f t="shared" si="110"/>
        <v>#N/A</v>
      </c>
    </row>
    <row r="889" spans="1:15">
      <c r="A889" s="25">
        <v>46299.593055555553</v>
      </c>
      <c r="B889">
        <v>19.678000000000001</v>
      </c>
      <c r="C889">
        <v>52.357999999999997</v>
      </c>
      <c r="D889">
        <v>936.56500000000005</v>
      </c>
      <c r="E889">
        <v>15.91</v>
      </c>
      <c r="F889">
        <v>489.767</v>
      </c>
      <c r="G889" s="26">
        <f t="shared" si="104"/>
        <v>9.6498915373783483</v>
      </c>
      <c r="H889" s="26">
        <f t="shared" si="111"/>
        <v>6.0000000000020037E-2</v>
      </c>
      <c r="I889" s="26">
        <f t="shared" si="105"/>
        <v>3.7680000000000007</v>
      </c>
      <c r="J889" t="str">
        <f t="shared" si="106"/>
        <v>Steady</v>
      </c>
      <c r="K889" s="26" t="str">
        <f t="shared" si="107"/>
        <v/>
      </c>
      <c r="L889" s="26" t="str">
        <f t="shared" si="108"/>
        <v/>
      </c>
      <c r="N889" t="e">
        <f t="shared" si="109"/>
        <v>#N/A</v>
      </c>
      <c r="O889" t="e">
        <f t="shared" si="110"/>
        <v>#N/A</v>
      </c>
    </row>
    <row r="890" spans="1:15">
      <c r="A890" s="25">
        <v>46299.59375</v>
      </c>
      <c r="B890">
        <v>19.684999999999999</v>
      </c>
      <c r="C890">
        <v>52.396999999999998</v>
      </c>
      <c r="D890">
        <v>936.57299999999998</v>
      </c>
      <c r="E890">
        <v>15.925000000000001</v>
      </c>
      <c r="F890">
        <v>489.25</v>
      </c>
      <c r="G890" s="26">
        <f t="shared" si="104"/>
        <v>9.6674675219362776</v>
      </c>
      <c r="H890" s="26">
        <f t="shared" si="111"/>
        <v>0.12000000000004007</v>
      </c>
      <c r="I890" s="26">
        <f t="shared" si="105"/>
        <v>3.759999999999998</v>
      </c>
      <c r="J890" t="str">
        <f t="shared" si="106"/>
        <v>Steady</v>
      </c>
      <c r="K890" s="26" t="str">
        <f t="shared" si="107"/>
        <v/>
      </c>
      <c r="L890" s="26" t="str">
        <f t="shared" si="108"/>
        <v/>
      </c>
      <c r="N890" t="e">
        <f t="shared" si="109"/>
        <v>#N/A</v>
      </c>
      <c r="O890" t="e">
        <f t="shared" si="110"/>
        <v>#N/A</v>
      </c>
    </row>
    <row r="891" spans="1:15">
      <c r="A891" s="25">
        <v>46299.594444444447</v>
      </c>
      <c r="B891">
        <v>19.687000000000001</v>
      </c>
      <c r="C891">
        <v>52.1</v>
      </c>
      <c r="D891">
        <v>936.48699999999997</v>
      </c>
      <c r="E891">
        <v>15.94</v>
      </c>
      <c r="F891">
        <v>488.733</v>
      </c>
      <c r="G891" s="26">
        <f t="shared" si="104"/>
        <v>9.5846002803673063</v>
      </c>
      <c r="H891" s="26">
        <f t="shared" si="111"/>
        <v>0.14999999999997016</v>
      </c>
      <c r="I891" s="26">
        <f t="shared" si="105"/>
        <v>3.7470000000000017</v>
      </c>
      <c r="J891" t="str">
        <f t="shared" si="106"/>
        <v>Steady</v>
      </c>
      <c r="K891" s="26" t="str">
        <f t="shared" si="107"/>
        <v/>
      </c>
      <c r="L891" s="26" t="str">
        <f t="shared" si="108"/>
        <v/>
      </c>
      <c r="N891" t="e">
        <f t="shared" si="109"/>
        <v>#N/A</v>
      </c>
      <c r="O891" t="e">
        <f t="shared" si="110"/>
        <v>#N/A</v>
      </c>
    </row>
    <row r="892" spans="1:15">
      <c r="A892" s="25">
        <v>46299.595138888893</v>
      </c>
      <c r="B892">
        <v>19.690000000000001</v>
      </c>
      <c r="C892">
        <v>51.963000000000001</v>
      </c>
      <c r="D892">
        <v>936.49800000000005</v>
      </c>
      <c r="E892">
        <v>15.955</v>
      </c>
      <c r="F892">
        <v>488.21699999999998</v>
      </c>
      <c r="G892" s="26">
        <f t="shared" si="104"/>
        <v>9.5481509876143509</v>
      </c>
      <c r="H892" s="26">
        <f t="shared" si="111"/>
        <v>4.5000000000001705E-2</v>
      </c>
      <c r="I892" s="26">
        <f t="shared" si="105"/>
        <v>3.7350000000000012</v>
      </c>
      <c r="J892" t="str">
        <f t="shared" si="106"/>
        <v>Steady</v>
      </c>
      <c r="K892" s="26" t="str">
        <f t="shared" si="107"/>
        <v/>
      </c>
      <c r="L892" s="26" t="str">
        <f t="shared" si="108"/>
        <v/>
      </c>
      <c r="N892" t="e">
        <f t="shared" si="109"/>
        <v>#N/A</v>
      </c>
      <c r="O892" t="e">
        <f t="shared" si="110"/>
        <v>#N/A</v>
      </c>
    </row>
    <row r="893" spans="1:15">
      <c r="A893" s="25">
        <v>46299.595833333333</v>
      </c>
      <c r="B893">
        <v>19.687999999999999</v>
      </c>
      <c r="C893">
        <v>52.158000000000001</v>
      </c>
      <c r="D893">
        <v>936.47699999999998</v>
      </c>
      <c r="E893">
        <v>15.97</v>
      </c>
      <c r="F893">
        <v>487.7</v>
      </c>
      <c r="G893" s="26">
        <f t="shared" si="104"/>
        <v>9.6021025715072472</v>
      </c>
      <c r="H893" s="26">
        <f t="shared" si="111"/>
        <v>1.4999999999965041E-2</v>
      </c>
      <c r="I893" s="26">
        <f t="shared" si="105"/>
        <v>3.7179999999999982</v>
      </c>
      <c r="J893" t="str">
        <f t="shared" si="106"/>
        <v>Steady</v>
      </c>
      <c r="K893" s="26" t="str">
        <f t="shared" si="107"/>
        <v/>
      </c>
      <c r="L893" s="26" t="str">
        <f t="shared" si="108"/>
        <v/>
      </c>
      <c r="N893" t="e">
        <f t="shared" si="109"/>
        <v>#N/A</v>
      </c>
      <c r="O893" t="e">
        <f t="shared" si="110"/>
        <v>#N/A</v>
      </c>
    </row>
    <row r="894" spans="1:15">
      <c r="A894" s="25">
        <v>46299.59652777778</v>
      </c>
      <c r="B894">
        <v>19.687999999999999</v>
      </c>
      <c r="C894">
        <v>52.17</v>
      </c>
      <c r="D894">
        <v>936.46699999999998</v>
      </c>
      <c r="E894">
        <v>15.984999999999999</v>
      </c>
      <c r="F894">
        <v>487.18299999999999</v>
      </c>
      <c r="G894" s="26">
        <f t="shared" si="104"/>
        <v>9.6055304137466244</v>
      </c>
      <c r="H894" s="26">
        <f t="shared" si="111"/>
        <v>0</v>
      </c>
      <c r="I894" s="26">
        <f t="shared" si="105"/>
        <v>3.7029999999999994</v>
      </c>
      <c r="J894" t="str">
        <f t="shared" si="106"/>
        <v>Steady</v>
      </c>
      <c r="K894" s="26" t="str">
        <f t="shared" si="107"/>
        <v/>
      </c>
      <c r="L894" s="26" t="str">
        <f t="shared" si="108"/>
        <v/>
      </c>
      <c r="N894" t="e">
        <f t="shared" si="109"/>
        <v>#N/A</v>
      </c>
      <c r="O894" t="e">
        <f t="shared" si="110"/>
        <v>#N/A</v>
      </c>
    </row>
    <row r="895" spans="1:15">
      <c r="A895" s="25">
        <v>46299.597222222219</v>
      </c>
      <c r="B895">
        <v>19.687999999999999</v>
      </c>
      <c r="C895">
        <v>52.226999999999997</v>
      </c>
      <c r="D895">
        <v>936.41700000000003</v>
      </c>
      <c r="E895">
        <v>16</v>
      </c>
      <c r="F895">
        <v>486.66699999999997</v>
      </c>
      <c r="G895" s="26">
        <f t="shared" si="104"/>
        <v>9.621803173185123</v>
      </c>
      <c r="H895" s="26">
        <f t="shared" si="111"/>
        <v>3.0000000000036664E-2</v>
      </c>
      <c r="I895" s="26">
        <f t="shared" si="105"/>
        <v>3.6879999999999988</v>
      </c>
      <c r="J895" t="str">
        <f t="shared" si="106"/>
        <v>Steady</v>
      </c>
      <c r="K895" s="26" t="str">
        <f t="shared" si="107"/>
        <v/>
      </c>
      <c r="L895" s="26" t="str">
        <f t="shared" si="108"/>
        <v/>
      </c>
      <c r="N895" t="e">
        <f t="shared" si="109"/>
        <v>#N/A</v>
      </c>
      <c r="O895" t="e">
        <f t="shared" si="110"/>
        <v>#N/A</v>
      </c>
    </row>
    <row r="896" spans="1:15">
      <c r="A896" s="25">
        <v>46299.597916666673</v>
      </c>
      <c r="B896">
        <v>19.690000000000001</v>
      </c>
      <c r="C896">
        <v>52.308</v>
      </c>
      <c r="D896">
        <v>936.38499999999999</v>
      </c>
      <c r="E896">
        <v>16.015000000000001</v>
      </c>
      <c r="F896">
        <v>486.15</v>
      </c>
      <c r="G896" s="26">
        <f t="shared" si="104"/>
        <v>9.6467507116410971</v>
      </c>
      <c r="H896" s="26">
        <f t="shared" si="111"/>
        <v>6.0000000000020037E-2</v>
      </c>
      <c r="I896" s="26">
        <f t="shared" si="105"/>
        <v>3.6750000000000007</v>
      </c>
      <c r="J896" t="str">
        <f t="shared" si="106"/>
        <v>Steady</v>
      </c>
      <c r="K896" s="26" t="str">
        <f t="shared" si="107"/>
        <v/>
      </c>
      <c r="L896" s="26" t="str">
        <f t="shared" si="108"/>
        <v/>
      </c>
      <c r="N896" t="e">
        <f t="shared" si="109"/>
        <v>#N/A</v>
      </c>
      <c r="O896" t="e">
        <f t="shared" si="110"/>
        <v>#N/A</v>
      </c>
    </row>
    <row r="897" spans="1:15">
      <c r="A897" s="25">
        <v>46299.598611111112</v>
      </c>
      <c r="B897">
        <v>19.690000000000001</v>
      </c>
      <c r="C897">
        <v>52.287999999999997</v>
      </c>
      <c r="D897">
        <v>936.39200000000005</v>
      </c>
      <c r="E897">
        <v>16.03</v>
      </c>
      <c r="F897">
        <v>485.63299999999998</v>
      </c>
      <c r="G897" s="26">
        <f t="shared" si="104"/>
        <v>9.6410504710994829</v>
      </c>
      <c r="H897" s="26">
        <f t="shared" si="111"/>
        <v>6.0000000000020037E-2</v>
      </c>
      <c r="I897" s="26">
        <f t="shared" si="105"/>
        <v>3.66</v>
      </c>
      <c r="J897" t="str">
        <f t="shared" si="106"/>
        <v>Steady</v>
      </c>
      <c r="K897" s="26" t="str">
        <f t="shared" si="107"/>
        <v/>
      </c>
      <c r="L897" s="26" t="str">
        <f t="shared" si="108"/>
        <v/>
      </c>
      <c r="N897" t="e">
        <f t="shared" si="109"/>
        <v>#N/A</v>
      </c>
      <c r="O897" t="e">
        <f t="shared" si="110"/>
        <v>#N/A</v>
      </c>
    </row>
    <row r="898" spans="1:15">
      <c r="A898" s="25">
        <v>46299.599305555559</v>
      </c>
      <c r="B898">
        <v>19.692</v>
      </c>
      <c r="C898">
        <v>52.396999999999998</v>
      </c>
      <c r="D898">
        <v>936.35699999999997</v>
      </c>
      <c r="E898">
        <v>16.045000000000002</v>
      </c>
      <c r="F898">
        <v>485.11700000000002</v>
      </c>
      <c r="G898" s="26">
        <f t="shared" ref="G898:G961" si="112">243.04*(LN(C898/100)+17.625*B898/(243.04+B898))/(17.625-LN(C898/100)-17.625*B898/(243.04+B898))</f>
        <v>9.6739438814394791</v>
      </c>
      <c r="H898" s="26">
        <f t="shared" si="111"/>
        <v>2.9999999999983373E-2</v>
      </c>
      <c r="I898" s="26">
        <f t="shared" ref="I898:I961" si="113">B898-E898</f>
        <v>3.6469999999999985</v>
      </c>
      <c r="J898" t="str">
        <f t="shared" ref="J898:J961" si="114">IF(H898="","",IF(H898&gt;0.6,"Heating",IF(H898&lt;-0.2,"Cooling","Steady")))</f>
        <v>Steady</v>
      </c>
      <c r="K898" s="26" t="str">
        <f t="shared" ref="K898:K961" si="115">IF(J898="Cooling",I898,"")</f>
        <v/>
      </c>
      <c r="L898" s="26" t="str">
        <f t="shared" ref="L898:L961" si="116">IF(J898="Cooling",H898,"")</f>
        <v/>
      </c>
      <c r="N898" t="e">
        <f t="shared" ref="N898:N961" si="117">IF(K898="",NA(),K898)</f>
        <v>#N/A</v>
      </c>
      <c r="O898" t="e">
        <f t="shared" ref="O898:O961" si="118">IF(L898="",NA(),L898)</f>
        <v>#N/A</v>
      </c>
    </row>
    <row r="899" spans="1:15">
      <c r="A899" s="25">
        <v>46299.6</v>
      </c>
      <c r="B899">
        <v>19.692</v>
      </c>
      <c r="C899">
        <v>52.377000000000002</v>
      </c>
      <c r="D899">
        <v>936.33</v>
      </c>
      <c r="E899">
        <v>16.059999999999999</v>
      </c>
      <c r="F899">
        <v>484.6</v>
      </c>
      <c r="G899" s="26">
        <f t="shared" si="112"/>
        <v>9.6682520999453629</v>
      </c>
      <c r="H899" s="26">
        <f t="shared" si="111"/>
        <v>0</v>
      </c>
      <c r="I899" s="26">
        <f t="shared" si="113"/>
        <v>3.6320000000000014</v>
      </c>
      <c r="J899" t="str">
        <f t="shared" si="114"/>
        <v>Steady</v>
      </c>
      <c r="K899" s="26" t="str">
        <f t="shared" si="115"/>
        <v/>
      </c>
      <c r="L899" s="26" t="str">
        <f t="shared" si="116"/>
        <v/>
      </c>
      <c r="N899" t="e">
        <f t="shared" si="117"/>
        <v>#N/A</v>
      </c>
      <c r="O899" t="e">
        <f t="shared" si="118"/>
        <v>#N/A</v>
      </c>
    </row>
    <row r="900" spans="1:15">
      <c r="A900" s="25">
        <v>46299.600694444453</v>
      </c>
      <c r="B900">
        <v>19.692</v>
      </c>
      <c r="C900">
        <v>52.457000000000001</v>
      </c>
      <c r="D900">
        <v>936.32799999999997</v>
      </c>
      <c r="E900">
        <v>16.074999999999999</v>
      </c>
      <c r="F900">
        <v>484.08300000000003</v>
      </c>
      <c r="G900" s="26">
        <f t="shared" si="112"/>
        <v>9.6910077360872933</v>
      </c>
      <c r="H900" s="26">
        <f t="shared" ref="H900:H963" si="119">(B902-B898)/4*60</f>
        <v>1.5000000000018332E-2</v>
      </c>
      <c r="I900" s="26">
        <f t="shared" si="113"/>
        <v>3.6170000000000009</v>
      </c>
      <c r="J900" t="str">
        <f t="shared" si="114"/>
        <v>Steady</v>
      </c>
      <c r="K900" s="26" t="str">
        <f t="shared" si="115"/>
        <v/>
      </c>
      <c r="L900" s="26" t="str">
        <f t="shared" si="116"/>
        <v/>
      </c>
      <c r="N900" t="e">
        <f t="shared" si="117"/>
        <v>#N/A</v>
      </c>
      <c r="O900" t="e">
        <f t="shared" si="118"/>
        <v>#N/A</v>
      </c>
    </row>
    <row r="901" spans="1:15">
      <c r="A901" s="25">
        <v>46299.601388888892</v>
      </c>
      <c r="B901">
        <v>19.690000000000001</v>
      </c>
      <c r="C901">
        <v>52.542999999999999</v>
      </c>
      <c r="D901">
        <v>936.31</v>
      </c>
      <c r="E901">
        <v>16.09</v>
      </c>
      <c r="F901">
        <v>483.56700000000001</v>
      </c>
      <c r="G901" s="26">
        <f t="shared" si="112"/>
        <v>9.713584937368049</v>
      </c>
      <c r="H901" s="26">
        <f t="shared" si="119"/>
        <v>1.5000000000018332E-2</v>
      </c>
      <c r="I901" s="26">
        <f t="shared" si="113"/>
        <v>3.6000000000000014</v>
      </c>
      <c r="J901" t="str">
        <f t="shared" si="114"/>
        <v>Steady</v>
      </c>
      <c r="K901" s="26" t="str">
        <f t="shared" si="115"/>
        <v/>
      </c>
      <c r="L901" s="26" t="str">
        <f t="shared" si="116"/>
        <v/>
      </c>
      <c r="N901" t="e">
        <f t="shared" si="117"/>
        <v>#N/A</v>
      </c>
      <c r="O901" t="e">
        <f t="shared" si="118"/>
        <v>#N/A</v>
      </c>
    </row>
    <row r="902" spans="1:15">
      <c r="A902" s="25">
        <v>46299.602083333331</v>
      </c>
      <c r="B902">
        <v>19.693000000000001</v>
      </c>
      <c r="C902">
        <v>52.503</v>
      </c>
      <c r="D902">
        <v>936.31500000000005</v>
      </c>
      <c r="E902">
        <v>16.105</v>
      </c>
      <c r="F902">
        <v>483.05</v>
      </c>
      <c r="G902" s="26">
        <f t="shared" si="112"/>
        <v>9.7050037843486709</v>
      </c>
      <c r="H902" s="26">
        <f t="shared" si="119"/>
        <v>0.11999999999998678</v>
      </c>
      <c r="I902" s="26">
        <f t="shared" si="113"/>
        <v>3.588000000000001</v>
      </c>
      <c r="J902" t="str">
        <f t="shared" si="114"/>
        <v>Steady</v>
      </c>
      <c r="K902" s="26" t="str">
        <f t="shared" si="115"/>
        <v/>
      </c>
      <c r="L902" s="26" t="str">
        <f t="shared" si="116"/>
        <v/>
      </c>
      <c r="N902" t="e">
        <f t="shared" si="117"/>
        <v>#N/A</v>
      </c>
      <c r="O902" t="e">
        <f t="shared" si="118"/>
        <v>#N/A</v>
      </c>
    </row>
    <row r="903" spans="1:15">
      <c r="A903" s="25">
        <v>46299.602777777778</v>
      </c>
      <c r="B903">
        <v>19.693000000000001</v>
      </c>
      <c r="C903">
        <v>52.424999999999997</v>
      </c>
      <c r="D903">
        <v>936.298</v>
      </c>
      <c r="E903">
        <v>16.12</v>
      </c>
      <c r="F903">
        <v>482.53300000000002</v>
      </c>
      <c r="G903" s="26">
        <f t="shared" si="112"/>
        <v>9.6828344086041795</v>
      </c>
      <c r="H903" s="26">
        <f t="shared" si="119"/>
        <v>7.4999999999985079E-2</v>
      </c>
      <c r="I903" s="26">
        <f t="shared" si="113"/>
        <v>3.5730000000000004</v>
      </c>
      <c r="J903" t="str">
        <f t="shared" si="114"/>
        <v>Steady</v>
      </c>
      <c r="K903" s="26" t="str">
        <f t="shared" si="115"/>
        <v/>
      </c>
      <c r="L903" s="26" t="str">
        <f t="shared" si="116"/>
        <v/>
      </c>
      <c r="N903" t="e">
        <f t="shared" si="117"/>
        <v>#N/A</v>
      </c>
      <c r="O903" t="e">
        <f t="shared" si="118"/>
        <v>#N/A</v>
      </c>
    </row>
    <row r="904" spans="1:15">
      <c r="A904" s="25">
        <v>46299.603472222218</v>
      </c>
      <c r="B904">
        <v>19.7</v>
      </c>
      <c r="C904">
        <v>52.448</v>
      </c>
      <c r="D904">
        <v>936.28700000000003</v>
      </c>
      <c r="E904">
        <v>16.135000000000002</v>
      </c>
      <c r="F904">
        <v>482.017</v>
      </c>
      <c r="G904" s="26">
        <f t="shared" si="112"/>
        <v>9.695851642983067</v>
      </c>
      <c r="H904" s="26">
        <f t="shared" si="119"/>
        <v>5.9999999999966747E-2</v>
      </c>
      <c r="I904" s="26">
        <f t="shared" si="113"/>
        <v>3.5649999999999977</v>
      </c>
      <c r="J904" t="str">
        <f t="shared" si="114"/>
        <v>Steady</v>
      </c>
      <c r="K904" s="26" t="str">
        <f t="shared" si="115"/>
        <v/>
      </c>
      <c r="L904" s="26" t="str">
        <f t="shared" si="116"/>
        <v/>
      </c>
      <c r="N904" t="e">
        <f t="shared" si="117"/>
        <v>#N/A</v>
      </c>
      <c r="O904" t="e">
        <f t="shared" si="118"/>
        <v>#N/A</v>
      </c>
    </row>
    <row r="905" spans="1:15">
      <c r="A905" s="25">
        <v>46299.604166666657</v>
      </c>
      <c r="B905">
        <v>19.695</v>
      </c>
      <c r="C905">
        <v>52.351999999999997</v>
      </c>
      <c r="D905">
        <v>936.25</v>
      </c>
      <c r="E905">
        <v>16.149999999999999</v>
      </c>
      <c r="F905">
        <v>481.5</v>
      </c>
      <c r="G905" s="26">
        <f t="shared" si="112"/>
        <v>9.6639099739987415</v>
      </c>
      <c r="H905" s="26">
        <f t="shared" si="119"/>
        <v>0.22499999999995524</v>
      </c>
      <c r="I905" s="26">
        <f t="shared" si="113"/>
        <v>3.5450000000000017</v>
      </c>
      <c r="J905" t="str">
        <f t="shared" si="114"/>
        <v>Steady</v>
      </c>
      <c r="K905" s="26" t="str">
        <f t="shared" si="115"/>
        <v/>
      </c>
      <c r="L905" s="26" t="str">
        <f t="shared" si="116"/>
        <v/>
      </c>
      <c r="N905" t="e">
        <f t="shared" si="117"/>
        <v>#N/A</v>
      </c>
      <c r="O905" t="e">
        <f t="shared" si="118"/>
        <v>#N/A</v>
      </c>
    </row>
    <row r="906" spans="1:15">
      <c r="A906" s="25">
        <v>46299.604861111111</v>
      </c>
      <c r="B906">
        <v>19.696999999999999</v>
      </c>
      <c r="C906">
        <v>52.442999999999998</v>
      </c>
      <c r="D906">
        <v>936.23699999999997</v>
      </c>
      <c r="E906">
        <v>16.164999999999999</v>
      </c>
      <c r="F906">
        <v>480.983</v>
      </c>
      <c r="G906" s="26">
        <f t="shared" si="112"/>
        <v>9.6916541523698356</v>
      </c>
      <c r="H906" s="26">
        <f t="shared" si="119"/>
        <v>-7.4999999999985079E-2</v>
      </c>
      <c r="I906" s="26">
        <f t="shared" si="113"/>
        <v>3.532</v>
      </c>
      <c r="J906" t="str">
        <f t="shared" si="114"/>
        <v>Steady</v>
      </c>
      <c r="K906" s="26" t="str">
        <f t="shared" si="115"/>
        <v/>
      </c>
      <c r="L906" s="26" t="str">
        <f t="shared" si="116"/>
        <v/>
      </c>
      <c r="N906" t="e">
        <f t="shared" si="117"/>
        <v>#N/A</v>
      </c>
      <c r="O906" t="e">
        <f t="shared" si="118"/>
        <v>#N/A</v>
      </c>
    </row>
    <row r="907" spans="1:15">
      <c r="A907" s="25">
        <v>46299.605555555558</v>
      </c>
      <c r="B907">
        <v>19.707999999999998</v>
      </c>
      <c r="C907">
        <v>52.427</v>
      </c>
      <c r="D907">
        <v>936.26499999999999</v>
      </c>
      <c r="E907">
        <v>16.18</v>
      </c>
      <c r="F907">
        <v>480.46699999999998</v>
      </c>
      <c r="G907" s="26">
        <f t="shared" si="112"/>
        <v>9.6972820196728122</v>
      </c>
      <c r="H907" s="26">
        <f t="shared" si="119"/>
        <v>0.18000000000000682</v>
      </c>
      <c r="I907" s="26">
        <f t="shared" si="113"/>
        <v>3.5279999999999987</v>
      </c>
      <c r="J907" t="str">
        <f t="shared" si="114"/>
        <v>Steady</v>
      </c>
      <c r="K907" s="26" t="str">
        <f t="shared" si="115"/>
        <v/>
      </c>
      <c r="L907" s="26" t="str">
        <f t="shared" si="116"/>
        <v/>
      </c>
      <c r="N907" t="e">
        <f t="shared" si="117"/>
        <v>#N/A</v>
      </c>
      <c r="O907" t="e">
        <f t="shared" si="118"/>
        <v>#N/A</v>
      </c>
    </row>
    <row r="908" spans="1:15">
      <c r="A908" s="25">
        <v>46299.606249999997</v>
      </c>
      <c r="B908">
        <v>19.695</v>
      </c>
      <c r="C908">
        <v>52.465000000000003</v>
      </c>
      <c r="D908">
        <v>936.25300000000004</v>
      </c>
      <c r="E908">
        <v>16.195</v>
      </c>
      <c r="F908">
        <v>479.95</v>
      </c>
      <c r="G908" s="26">
        <f t="shared" si="112"/>
        <v>9.6960576193126489</v>
      </c>
      <c r="H908" s="26">
        <f t="shared" si="119"/>
        <v>0.31500000000001194</v>
      </c>
      <c r="I908" s="26">
        <f t="shared" si="113"/>
        <v>3.5</v>
      </c>
      <c r="J908" t="str">
        <f t="shared" si="114"/>
        <v>Steady</v>
      </c>
      <c r="K908" s="26" t="str">
        <f t="shared" si="115"/>
        <v/>
      </c>
      <c r="L908" s="26" t="str">
        <f t="shared" si="116"/>
        <v/>
      </c>
      <c r="N908" t="e">
        <f t="shared" si="117"/>
        <v>#N/A</v>
      </c>
      <c r="O908" t="e">
        <f t="shared" si="118"/>
        <v>#N/A</v>
      </c>
    </row>
    <row r="909" spans="1:15">
      <c r="A909" s="25">
        <v>46299.606944444437</v>
      </c>
      <c r="B909">
        <v>19.707000000000001</v>
      </c>
      <c r="C909">
        <v>52.414999999999999</v>
      </c>
      <c r="D909">
        <v>936.24199999999996</v>
      </c>
      <c r="E909">
        <v>16.21</v>
      </c>
      <c r="F909">
        <v>479.43299999999999</v>
      </c>
      <c r="G909" s="26">
        <f t="shared" si="112"/>
        <v>9.6929432780273217</v>
      </c>
      <c r="H909" s="26">
        <f t="shared" si="119"/>
        <v>0.15000000000002345</v>
      </c>
      <c r="I909" s="26">
        <f t="shared" si="113"/>
        <v>3.4969999999999999</v>
      </c>
      <c r="J909" t="str">
        <f t="shared" si="114"/>
        <v>Steady</v>
      </c>
      <c r="K909" s="26" t="str">
        <f t="shared" si="115"/>
        <v/>
      </c>
      <c r="L909" s="26" t="str">
        <f t="shared" si="116"/>
        <v/>
      </c>
      <c r="N909" t="e">
        <f t="shared" si="117"/>
        <v>#N/A</v>
      </c>
      <c r="O909" t="e">
        <f t="shared" si="118"/>
        <v>#N/A</v>
      </c>
    </row>
    <row r="910" spans="1:15">
      <c r="A910" s="25">
        <v>46299.607638888891</v>
      </c>
      <c r="B910">
        <v>19.718</v>
      </c>
      <c r="C910">
        <v>52.281999999999996</v>
      </c>
      <c r="D910">
        <v>936.15700000000004</v>
      </c>
      <c r="E910">
        <v>16.225000000000001</v>
      </c>
      <c r="F910">
        <v>478.91699999999997</v>
      </c>
      <c r="G910" s="26">
        <f t="shared" si="112"/>
        <v>9.6652386304219977</v>
      </c>
      <c r="H910" s="26">
        <f t="shared" si="119"/>
        <v>0.2549999999999919</v>
      </c>
      <c r="I910" s="26">
        <f t="shared" si="113"/>
        <v>3.4929999999999986</v>
      </c>
      <c r="J910" t="str">
        <f t="shared" si="114"/>
        <v>Steady</v>
      </c>
      <c r="K910" s="26" t="str">
        <f t="shared" si="115"/>
        <v/>
      </c>
      <c r="L910" s="26" t="str">
        <f t="shared" si="116"/>
        <v/>
      </c>
      <c r="N910" t="e">
        <f t="shared" si="117"/>
        <v>#N/A</v>
      </c>
      <c r="O910" t="e">
        <f t="shared" si="118"/>
        <v>#N/A</v>
      </c>
    </row>
    <row r="911" spans="1:15">
      <c r="A911" s="25">
        <v>46299.60833333333</v>
      </c>
      <c r="B911">
        <v>19.718</v>
      </c>
      <c r="C911">
        <v>52.27</v>
      </c>
      <c r="D911">
        <v>936.19500000000005</v>
      </c>
      <c r="E911">
        <v>16.239999999999998</v>
      </c>
      <c r="F911">
        <v>478.4</v>
      </c>
      <c r="G911" s="26">
        <f t="shared" si="112"/>
        <v>9.6618165152217408</v>
      </c>
      <c r="H911" s="26">
        <f t="shared" si="119"/>
        <v>9.0000000000003411E-2</v>
      </c>
      <c r="I911" s="26">
        <f t="shared" si="113"/>
        <v>3.4780000000000015</v>
      </c>
      <c r="J911" t="str">
        <f t="shared" si="114"/>
        <v>Steady</v>
      </c>
      <c r="K911" s="26" t="str">
        <f t="shared" si="115"/>
        <v/>
      </c>
      <c r="L911" s="26" t="str">
        <f t="shared" si="116"/>
        <v/>
      </c>
      <c r="N911" t="e">
        <f t="shared" si="117"/>
        <v>#N/A</v>
      </c>
      <c r="O911" t="e">
        <f t="shared" si="118"/>
        <v>#N/A</v>
      </c>
    </row>
    <row r="912" spans="1:15">
      <c r="A912" s="25">
        <v>46299.609027777777</v>
      </c>
      <c r="B912">
        <v>19.712</v>
      </c>
      <c r="C912">
        <v>52.23</v>
      </c>
      <c r="D912">
        <v>936.14</v>
      </c>
      <c r="E912">
        <v>16.254999999999999</v>
      </c>
      <c r="F912">
        <v>477.88299999999998</v>
      </c>
      <c r="G912" s="26">
        <f t="shared" si="112"/>
        <v>9.64485542566511</v>
      </c>
      <c r="H912" s="26">
        <f t="shared" si="119"/>
        <v>-4.5000000000001705E-2</v>
      </c>
      <c r="I912" s="26">
        <f t="shared" si="113"/>
        <v>3.4570000000000007</v>
      </c>
      <c r="J912" t="str">
        <f t="shared" si="114"/>
        <v>Steady</v>
      </c>
      <c r="K912" s="26" t="str">
        <f t="shared" si="115"/>
        <v/>
      </c>
      <c r="L912" s="26" t="str">
        <f t="shared" si="116"/>
        <v/>
      </c>
      <c r="N912" t="e">
        <f t="shared" si="117"/>
        <v>#N/A</v>
      </c>
      <c r="O912" t="e">
        <f t="shared" si="118"/>
        <v>#N/A</v>
      </c>
    </row>
    <row r="913" spans="1:15">
      <c r="A913" s="25">
        <v>46299.609722222223</v>
      </c>
      <c r="B913">
        <v>19.713000000000001</v>
      </c>
      <c r="C913">
        <v>52.152999999999999</v>
      </c>
      <c r="D913">
        <v>936.19</v>
      </c>
      <c r="E913">
        <v>16.27</v>
      </c>
      <c r="F913">
        <v>477.36700000000002</v>
      </c>
      <c r="G913" s="26">
        <f t="shared" si="112"/>
        <v>9.6237911397100149</v>
      </c>
      <c r="H913" s="26">
        <f t="shared" si="119"/>
        <v>0</v>
      </c>
      <c r="I913" s="26">
        <f t="shared" si="113"/>
        <v>3.4430000000000014</v>
      </c>
      <c r="J913" t="str">
        <f t="shared" si="114"/>
        <v>Steady</v>
      </c>
      <c r="K913" s="26" t="str">
        <f t="shared" si="115"/>
        <v/>
      </c>
      <c r="L913" s="26" t="str">
        <f t="shared" si="116"/>
        <v/>
      </c>
      <c r="N913" t="e">
        <f t="shared" si="117"/>
        <v>#N/A</v>
      </c>
      <c r="O913" t="e">
        <f t="shared" si="118"/>
        <v>#N/A</v>
      </c>
    </row>
    <row r="914" spans="1:15">
      <c r="A914" s="25">
        <v>46299.61041666667</v>
      </c>
      <c r="B914">
        <v>19.715</v>
      </c>
      <c r="C914">
        <v>52.258000000000003</v>
      </c>
      <c r="D914">
        <v>936.11</v>
      </c>
      <c r="E914">
        <v>16.285</v>
      </c>
      <c r="F914">
        <v>476.85</v>
      </c>
      <c r="G914" s="26">
        <f t="shared" si="112"/>
        <v>9.655619016730963</v>
      </c>
      <c r="H914" s="26">
        <f t="shared" si="119"/>
        <v>7.4999999999985079E-2</v>
      </c>
      <c r="I914" s="26">
        <f t="shared" si="113"/>
        <v>3.4299999999999997</v>
      </c>
      <c r="J914" t="str">
        <f t="shared" si="114"/>
        <v>Steady</v>
      </c>
      <c r="K914" s="26" t="str">
        <f t="shared" si="115"/>
        <v/>
      </c>
      <c r="L914" s="26" t="str">
        <f t="shared" si="116"/>
        <v/>
      </c>
      <c r="N914" t="e">
        <f t="shared" si="117"/>
        <v>#N/A</v>
      </c>
      <c r="O914" t="e">
        <f t="shared" si="118"/>
        <v>#N/A</v>
      </c>
    </row>
    <row r="915" spans="1:15">
      <c r="A915" s="25">
        <v>46299.611111111109</v>
      </c>
      <c r="B915">
        <v>19.718</v>
      </c>
      <c r="C915">
        <v>52.287999999999997</v>
      </c>
      <c r="D915">
        <v>936.09</v>
      </c>
      <c r="E915">
        <v>16.3</v>
      </c>
      <c r="F915">
        <v>476.33300000000003</v>
      </c>
      <c r="G915" s="26">
        <f t="shared" si="112"/>
        <v>9.6669494282354087</v>
      </c>
      <c r="H915" s="26">
        <f t="shared" si="119"/>
        <v>-1.5000000000018332E-2</v>
      </c>
      <c r="I915" s="26">
        <f t="shared" si="113"/>
        <v>3.4179999999999993</v>
      </c>
      <c r="J915" t="str">
        <f t="shared" si="114"/>
        <v>Steady</v>
      </c>
      <c r="K915" s="26" t="str">
        <f t="shared" si="115"/>
        <v/>
      </c>
      <c r="L915" s="26" t="str">
        <f t="shared" si="116"/>
        <v/>
      </c>
      <c r="N915" t="e">
        <f t="shared" si="117"/>
        <v>#N/A</v>
      </c>
      <c r="O915" t="e">
        <f t="shared" si="118"/>
        <v>#N/A</v>
      </c>
    </row>
    <row r="916" spans="1:15">
      <c r="A916" s="25">
        <v>46299.611805555563</v>
      </c>
      <c r="B916">
        <v>19.716999999999999</v>
      </c>
      <c r="C916">
        <v>52.366999999999997</v>
      </c>
      <c r="D916">
        <v>936.06200000000001</v>
      </c>
      <c r="E916">
        <v>16.315000000000001</v>
      </c>
      <c r="F916">
        <v>475.81700000000001</v>
      </c>
      <c r="G916" s="26">
        <f t="shared" si="112"/>
        <v>9.6885336752518043</v>
      </c>
      <c r="H916" s="26">
        <f t="shared" si="119"/>
        <v>-2.9999999999983373E-2</v>
      </c>
      <c r="I916" s="26">
        <f t="shared" si="113"/>
        <v>3.4019999999999975</v>
      </c>
      <c r="J916" t="str">
        <f t="shared" si="114"/>
        <v>Steady</v>
      </c>
      <c r="K916" s="26" t="str">
        <f t="shared" si="115"/>
        <v/>
      </c>
      <c r="L916" s="26" t="str">
        <f t="shared" si="116"/>
        <v/>
      </c>
      <c r="N916" t="e">
        <f t="shared" si="117"/>
        <v>#N/A</v>
      </c>
      <c r="O916" t="e">
        <f t="shared" si="118"/>
        <v>#N/A</v>
      </c>
    </row>
    <row r="917" spans="1:15">
      <c r="A917" s="25">
        <v>46299.612500000003</v>
      </c>
      <c r="B917">
        <v>19.712</v>
      </c>
      <c r="C917">
        <v>52.351999999999997</v>
      </c>
      <c r="D917">
        <v>936.04200000000003</v>
      </c>
      <c r="E917">
        <v>16.329999999999998</v>
      </c>
      <c r="F917">
        <v>475.3</v>
      </c>
      <c r="G917" s="26">
        <f t="shared" si="112"/>
        <v>9.6796366127227724</v>
      </c>
      <c r="H917" s="26">
        <f t="shared" si="119"/>
        <v>-1.5000000000018332E-2</v>
      </c>
      <c r="I917" s="26">
        <f t="shared" si="113"/>
        <v>3.3820000000000014</v>
      </c>
      <c r="J917" t="str">
        <f t="shared" si="114"/>
        <v>Steady</v>
      </c>
      <c r="K917" s="26" t="str">
        <f t="shared" si="115"/>
        <v/>
      </c>
      <c r="L917" s="26" t="str">
        <f t="shared" si="116"/>
        <v/>
      </c>
      <c r="N917" t="e">
        <f t="shared" si="117"/>
        <v>#N/A</v>
      </c>
      <c r="O917" t="e">
        <f t="shared" si="118"/>
        <v>#N/A</v>
      </c>
    </row>
    <row r="918" spans="1:15">
      <c r="A918" s="25">
        <v>46299.613194444442</v>
      </c>
      <c r="B918">
        <v>19.713000000000001</v>
      </c>
      <c r="C918">
        <v>52.408000000000001</v>
      </c>
      <c r="D918">
        <v>936.053</v>
      </c>
      <c r="E918">
        <v>16.344999999999999</v>
      </c>
      <c r="F918">
        <v>474.78300000000002</v>
      </c>
      <c r="G918" s="26">
        <f t="shared" si="112"/>
        <v>9.6965030253276634</v>
      </c>
      <c r="H918" s="26">
        <f t="shared" si="119"/>
        <v>-0.18000000000000682</v>
      </c>
      <c r="I918" s="26">
        <f t="shared" si="113"/>
        <v>3.3680000000000021</v>
      </c>
      <c r="J918" t="str">
        <f t="shared" si="114"/>
        <v>Steady</v>
      </c>
      <c r="K918" s="26" t="str">
        <f t="shared" si="115"/>
        <v/>
      </c>
      <c r="L918" s="26" t="str">
        <f t="shared" si="116"/>
        <v/>
      </c>
      <c r="N918" t="e">
        <f t="shared" si="117"/>
        <v>#N/A</v>
      </c>
      <c r="O918" t="e">
        <f t="shared" si="118"/>
        <v>#N/A</v>
      </c>
    </row>
    <row r="919" spans="1:15">
      <c r="A919" s="25">
        <v>46299.613888888889</v>
      </c>
      <c r="B919">
        <v>19.716999999999999</v>
      </c>
      <c r="C919">
        <v>52.512</v>
      </c>
      <c r="D919">
        <v>936.04499999999996</v>
      </c>
      <c r="E919">
        <v>16.36</v>
      </c>
      <c r="F919">
        <v>474.267</v>
      </c>
      <c r="G919" s="26">
        <f t="shared" si="112"/>
        <v>9.7297702197839406</v>
      </c>
      <c r="H919" s="26">
        <f t="shared" si="119"/>
        <v>0</v>
      </c>
      <c r="I919" s="26">
        <f t="shared" si="113"/>
        <v>3.3569999999999993</v>
      </c>
      <c r="J919" t="str">
        <f t="shared" si="114"/>
        <v>Steady</v>
      </c>
      <c r="K919" s="26" t="str">
        <f t="shared" si="115"/>
        <v/>
      </c>
      <c r="L919" s="26" t="str">
        <f t="shared" si="116"/>
        <v/>
      </c>
      <c r="N919" t="e">
        <f t="shared" si="117"/>
        <v>#N/A</v>
      </c>
      <c r="O919" t="e">
        <f t="shared" si="118"/>
        <v>#N/A</v>
      </c>
    </row>
    <row r="920" spans="1:15">
      <c r="A920" s="25">
        <v>46299.614583333343</v>
      </c>
      <c r="B920">
        <v>19.704999999999998</v>
      </c>
      <c r="C920">
        <v>52.505000000000003</v>
      </c>
      <c r="D920">
        <v>936.00800000000004</v>
      </c>
      <c r="E920">
        <v>16.375</v>
      </c>
      <c r="F920">
        <v>473.75</v>
      </c>
      <c r="G920" s="26">
        <f t="shared" si="112"/>
        <v>9.7166768424499068</v>
      </c>
      <c r="H920" s="26">
        <f t="shared" si="119"/>
        <v>-1.5000000000018332E-2</v>
      </c>
      <c r="I920" s="26">
        <f t="shared" si="113"/>
        <v>3.3299999999999983</v>
      </c>
      <c r="J920" t="str">
        <f t="shared" si="114"/>
        <v>Steady</v>
      </c>
      <c r="K920" s="26" t="str">
        <f t="shared" si="115"/>
        <v/>
      </c>
      <c r="L920" s="26" t="str">
        <f t="shared" si="116"/>
        <v/>
      </c>
      <c r="N920" t="e">
        <f t="shared" si="117"/>
        <v>#N/A</v>
      </c>
      <c r="O920" t="e">
        <f t="shared" si="118"/>
        <v>#N/A</v>
      </c>
    </row>
    <row r="921" spans="1:15">
      <c r="A921" s="25">
        <v>46299.615277777782</v>
      </c>
      <c r="B921">
        <v>19.712</v>
      </c>
      <c r="C921">
        <v>52.33</v>
      </c>
      <c r="D921">
        <v>935.97199999999998</v>
      </c>
      <c r="E921">
        <v>16.39</v>
      </c>
      <c r="F921">
        <v>473.233</v>
      </c>
      <c r="G921" s="26">
        <f t="shared" si="112"/>
        <v>9.6733698825349297</v>
      </c>
      <c r="H921" s="26">
        <f t="shared" si="119"/>
        <v>-5.9999999999966747E-2</v>
      </c>
      <c r="I921" s="26">
        <f t="shared" si="113"/>
        <v>3.3219999999999992</v>
      </c>
      <c r="J921" t="str">
        <f t="shared" si="114"/>
        <v>Steady</v>
      </c>
      <c r="K921" s="26" t="str">
        <f t="shared" si="115"/>
        <v/>
      </c>
      <c r="L921" s="26" t="str">
        <f t="shared" si="116"/>
        <v/>
      </c>
      <c r="N921" t="e">
        <f t="shared" si="117"/>
        <v>#N/A</v>
      </c>
      <c r="O921" t="e">
        <f t="shared" si="118"/>
        <v>#N/A</v>
      </c>
    </row>
    <row r="922" spans="1:15">
      <c r="A922" s="25">
        <v>46299.615972222222</v>
      </c>
      <c r="B922">
        <v>19.712</v>
      </c>
      <c r="C922">
        <v>52.527000000000001</v>
      </c>
      <c r="D922">
        <v>935.97500000000002</v>
      </c>
      <c r="E922">
        <v>16.405000000000001</v>
      </c>
      <c r="F922">
        <v>472.71699999999998</v>
      </c>
      <c r="G922" s="26">
        <f t="shared" si="112"/>
        <v>9.72940304626818</v>
      </c>
      <c r="H922" s="26">
        <f t="shared" si="119"/>
        <v>0.15000000000002345</v>
      </c>
      <c r="I922" s="26">
        <f t="shared" si="113"/>
        <v>3.3069999999999986</v>
      </c>
      <c r="J922" t="str">
        <f t="shared" si="114"/>
        <v>Steady</v>
      </c>
      <c r="K922" s="26" t="str">
        <f t="shared" si="115"/>
        <v/>
      </c>
      <c r="L922" s="26" t="str">
        <f t="shared" si="116"/>
        <v/>
      </c>
      <c r="N922" t="e">
        <f t="shared" si="117"/>
        <v>#N/A</v>
      </c>
      <c r="O922" t="e">
        <f t="shared" si="118"/>
        <v>#N/A</v>
      </c>
    </row>
    <row r="923" spans="1:15">
      <c r="A923" s="25">
        <v>46299.616666666669</v>
      </c>
      <c r="B923">
        <v>19.713000000000001</v>
      </c>
      <c r="C923">
        <v>52.652000000000001</v>
      </c>
      <c r="D923">
        <v>935.97699999999998</v>
      </c>
      <c r="E923">
        <v>16.420000000000002</v>
      </c>
      <c r="F923">
        <v>472.2</v>
      </c>
      <c r="G923" s="26">
        <f t="shared" si="112"/>
        <v>9.7657867627501265</v>
      </c>
      <c r="H923" s="26">
        <f t="shared" si="119"/>
        <v>-0.14999999999997016</v>
      </c>
      <c r="I923" s="26">
        <f t="shared" si="113"/>
        <v>3.2929999999999993</v>
      </c>
      <c r="J923" t="str">
        <f t="shared" si="114"/>
        <v>Steady</v>
      </c>
      <c r="K923" s="26" t="str">
        <f t="shared" si="115"/>
        <v/>
      </c>
      <c r="L923" s="26" t="str">
        <f t="shared" si="116"/>
        <v/>
      </c>
      <c r="N923" t="e">
        <f t="shared" si="117"/>
        <v>#N/A</v>
      </c>
      <c r="O923" t="e">
        <f t="shared" si="118"/>
        <v>#N/A</v>
      </c>
    </row>
    <row r="924" spans="1:15">
      <c r="A924" s="25">
        <v>46299.617361111108</v>
      </c>
      <c r="B924">
        <v>19.715</v>
      </c>
      <c r="C924">
        <v>52.43</v>
      </c>
      <c r="D924">
        <v>935.95799999999997</v>
      </c>
      <c r="E924">
        <v>16.434999999999999</v>
      </c>
      <c r="F924">
        <v>471.68299999999999</v>
      </c>
      <c r="G924" s="26">
        <f t="shared" si="112"/>
        <v>9.7046120882016087</v>
      </c>
      <c r="H924" s="26">
        <f t="shared" si="119"/>
        <v>-7.4999999999985079E-2</v>
      </c>
      <c r="I924" s="26">
        <f t="shared" si="113"/>
        <v>3.2800000000000011</v>
      </c>
      <c r="J924" t="str">
        <f t="shared" si="114"/>
        <v>Steady</v>
      </c>
      <c r="K924" s="26" t="str">
        <f t="shared" si="115"/>
        <v/>
      </c>
      <c r="L924" s="26" t="str">
        <f t="shared" si="116"/>
        <v/>
      </c>
      <c r="N924" t="e">
        <f t="shared" si="117"/>
        <v>#N/A</v>
      </c>
      <c r="O924" t="e">
        <f t="shared" si="118"/>
        <v>#N/A</v>
      </c>
    </row>
    <row r="925" spans="1:15">
      <c r="A925" s="25">
        <v>46299.618055555547</v>
      </c>
      <c r="B925">
        <v>19.702000000000002</v>
      </c>
      <c r="C925">
        <v>52.313000000000002</v>
      </c>
      <c r="D925">
        <v>935.90200000000004</v>
      </c>
      <c r="E925">
        <v>16.45</v>
      </c>
      <c r="F925">
        <v>471.16699999999997</v>
      </c>
      <c r="G925" s="26">
        <f t="shared" si="112"/>
        <v>9.6592756763025225</v>
      </c>
      <c r="H925" s="26">
        <f t="shared" si="119"/>
        <v>-9.0000000000003411E-2</v>
      </c>
      <c r="I925" s="26">
        <f t="shared" si="113"/>
        <v>3.2520000000000024</v>
      </c>
      <c r="J925" t="str">
        <f t="shared" si="114"/>
        <v>Steady</v>
      </c>
      <c r="K925" s="26" t="str">
        <f t="shared" si="115"/>
        <v/>
      </c>
      <c r="L925" s="26" t="str">
        <f t="shared" si="116"/>
        <v/>
      </c>
      <c r="N925" t="e">
        <f t="shared" si="117"/>
        <v>#N/A</v>
      </c>
      <c r="O925" t="e">
        <f t="shared" si="118"/>
        <v>#N/A</v>
      </c>
    </row>
    <row r="926" spans="1:15">
      <c r="A926" s="25">
        <v>46299.618750000001</v>
      </c>
      <c r="B926">
        <v>19.707000000000001</v>
      </c>
      <c r="C926">
        <v>52.445</v>
      </c>
      <c r="D926">
        <v>935.90499999999997</v>
      </c>
      <c r="E926">
        <v>16.465</v>
      </c>
      <c r="F926">
        <v>470.65</v>
      </c>
      <c r="G926" s="26">
        <f t="shared" si="112"/>
        <v>9.7014757112628782</v>
      </c>
      <c r="H926" s="26">
        <f t="shared" si="119"/>
        <v>-7.4999999999985079E-2</v>
      </c>
      <c r="I926" s="26">
        <f t="shared" si="113"/>
        <v>3.2420000000000009</v>
      </c>
      <c r="J926" t="str">
        <f t="shared" si="114"/>
        <v>Steady</v>
      </c>
      <c r="K926" s="26" t="str">
        <f t="shared" si="115"/>
        <v/>
      </c>
      <c r="L926" s="26" t="str">
        <f t="shared" si="116"/>
        <v/>
      </c>
      <c r="N926" t="e">
        <f t="shared" si="117"/>
        <v>#N/A</v>
      </c>
      <c r="O926" t="e">
        <f t="shared" si="118"/>
        <v>#N/A</v>
      </c>
    </row>
    <row r="927" spans="1:15">
      <c r="A927" s="25">
        <v>46299.619444444441</v>
      </c>
      <c r="B927">
        <v>19.707000000000001</v>
      </c>
      <c r="C927">
        <v>52.475000000000001</v>
      </c>
      <c r="D927">
        <v>935.88</v>
      </c>
      <c r="E927">
        <v>16.48</v>
      </c>
      <c r="F927">
        <v>470.13299999999998</v>
      </c>
      <c r="G927" s="26">
        <f t="shared" si="112"/>
        <v>9.7100038407510318</v>
      </c>
      <c r="H927" s="26">
        <f t="shared" si="119"/>
        <v>4.4999999999948415E-2</v>
      </c>
      <c r="I927" s="26">
        <f t="shared" si="113"/>
        <v>3.2270000000000003</v>
      </c>
      <c r="J927" t="str">
        <f t="shared" si="114"/>
        <v>Steady</v>
      </c>
      <c r="K927" s="26" t="str">
        <f t="shared" si="115"/>
        <v/>
      </c>
      <c r="L927" s="26" t="str">
        <f t="shared" si="116"/>
        <v/>
      </c>
      <c r="N927" t="e">
        <f t="shared" si="117"/>
        <v>#N/A</v>
      </c>
      <c r="O927" t="e">
        <f t="shared" si="118"/>
        <v>#N/A</v>
      </c>
    </row>
    <row r="928" spans="1:15">
      <c r="A928" s="25">
        <v>46299.620138888888</v>
      </c>
      <c r="B928">
        <v>19.71</v>
      </c>
      <c r="C928">
        <v>52.308</v>
      </c>
      <c r="D928">
        <v>935.83699999999999</v>
      </c>
      <c r="E928">
        <v>16.495000000000001</v>
      </c>
      <c r="F928">
        <v>469.61700000000002</v>
      </c>
      <c r="G928" s="26">
        <f t="shared" si="112"/>
        <v>9.6652508229746914</v>
      </c>
      <c r="H928" s="26">
        <f t="shared" si="119"/>
        <v>-6.0000000000020037E-2</v>
      </c>
      <c r="I928" s="26">
        <f t="shared" si="113"/>
        <v>3.2149999999999999</v>
      </c>
      <c r="J928" t="str">
        <f t="shared" si="114"/>
        <v>Steady</v>
      </c>
      <c r="K928" s="26" t="str">
        <f t="shared" si="115"/>
        <v/>
      </c>
      <c r="L928" s="26" t="str">
        <f t="shared" si="116"/>
        <v/>
      </c>
      <c r="N928" t="e">
        <f t="shared" si="117"/>
        <v>#N/A</v>
      </c>
      <c r="O928" t="e">
        <f t="shared" si="118"/>
        <v>#N/A</v>
      </c>
    </row>
    <row r="929" spans="1:15">
      <c r="A929" s="25">
        <v>46299.620833333327</v>
      </c>
      <c r="B929">
        <v>19.704999999999998</v>
      </c>
      <c r="C929">
        <v>52.484999999999999</v>
      </c>
      <c r="D929">
        <v>935.82299999999998</v>
      </c>
      <c r="E929">
        <v>16.510000000000002</v>
      </c>
      <c r="F929">
        <v>469.1</v>
      </c>
      <c r="G929" s="26">
        <f t="shared" si="112"/>
        <v>9.7109948495181087</v>
      </c>
      <c r="H929" s="26">
        <f t="shared" si="119"/>
        <v>-3.0000000000036664E-2</v>
      </c>
      <c r="I929" s="26">
        <f t="shared" si="113"/>
        <v>3.1949999999999967</v>
      </c>
      <c r="J929" t="str">
        <f t="shared" si="114"/>
        <v>Steady</v>
      </c>
      <c r="K929" s="26" t="str">
        <f t="shared" si="115"/>
        <v/>
      </c>
      <c r="L929" s="26" t="str">
        <f t="shared" si="116"/>
        <v/>
      </c>
      <c r="N929" t="e">
        <f t="shared" si="117"/>
        <v>#N/A</v>
      </c>
      <c r="O929" t="e">
        <f t="shared" si="118"/>
        <v>#N/A</v>
      </c>
    </row>
    <row r="930" spans="1:15">
      <c r="A930" s="25">
        <v>46299.621527777781</v>
      </c>
      <c r="B930">
        <v>19.702999999999999</v>
      </c>
      <c r="C930">
        <v>52.563000000000002</v>
      </c>
      <c r="D930">
        <v>935.80700000000002</v>
      </c>
      <c r="E930">
        <v>16.524999999999999</v>
      </c>
      <c r="F930">
        <v>468.58300000000003</v>
      </c>
      <c r="G930" s="26">
        <f t="shared" si="112"/>
        <v>9.7312927626840438</v>
      </c>
      <c r="H930" s="26">
        <f t="shared" si="119"/>
        <v>-0.19500000000002515</v>
      </c>
      <c r="I930" s="26">
        <f t="shared" si="113"/>
        <v>3.1780000000000008</v>
      </c>
      <c r="J930" t="str">
        <f t="shared" si="114"/>
        <v>Steady</v>
      </c>
      <c r="K930" s="26" t="str">
        <f t="shared" si="115"/>
        <v/>
      </c>
      <c r="L930" s="26" t="str">
        <f t="shared" si="116"/>
        <v/>
      </c>
      <c r="N930" t="e">
        <f t="shared" si="117"/>
        <v>#N/A</v>
      </c>
      <c r="O930" t="e">
        <f t="shared" si="118"/>
        <v>#N/A</v>
      </c>
    </row>
    <row r="931" spans="1:15">
      <c r="A931" s="25">
        <v>46299.62222222222</v>
      </c>
      <c r="B931">
        <v>19.704999999999998</v>
      </c>
      <c r="C931">
        <v>52.46</v>
      </c>
      <c r="D931">
        <v>935.72799999999995</v>
      </c>
      <c r="E931">
        <v>16.54</v>
      </c>
      <c r="F931">
        <v>468.06700000000001</v>
      </c>
      <c r="G931" s="26">
        <f t="shared" si="112"/>
        <v>9.7038896722598391</v>
      </c>
      <c r="H931" s="26">
        <f t="shared" si="119"/>
        <v>-0.17999999999995353</v>
      </c>
      <c r="I931" s="26">
        <f t="shared" si="113"/>
        <v>3.1649999999999991</v>
      </c>
      <c r="J931" t="str">
        <f t="shared" si="114"/>
        <v>Steady</v>
      </c>
      <c r="K931" s="26" t="str">
        <f t="shared" si="115"/>
        <v/>
      </c>
      <c r="L931" s="26" t="str">
        <f t="shared" si="116"/>
        <v/>
      </c>
      <c r="N931" t="e">
        <f t="shared" si="117"/>
        <v>#N/A</v>
      </c>
      <c r="O931" t="e">
        <f t="shared" si="118"/>
        <v>#N/A</v>
      </c>
    </row>
    <row r="932" spans="1:15">
      <c r="A932" s="25">
        <v>46299.622916666667</v>
      </c>
      <c r="B932">
        <v>19.696999999999999</v>
      </c>
      <c r="C932">
        <v>52.302</v>
      </c>
      <c r="D932">
        <v>935.76</v>
      </c>
      <c r="E932">
        <v>16.555</v>
      </c>
      <c r="F932">
        <v>467.55</v>
      </c>
      <c r="G932" s="26">
        <f t="shared" si="112"/>
        <v>9.651515804938203</v>
      </c>
      <c r="H932" s="26">
        <f t="shared" si="119"/>
        <v>-0.14999999999997016</v>
      </c>
      <c r="I932" s="26">
        <f t="shared" si="113"/>
        <v>3.1419999999999995</v>
      </c>
      <c r="J932" t="str">
        <f t="shared" si="114"/>
        <v>Steady</v>
      </c>
      <c r="K932" s="26" t="str">
        <f t="shared" si="115"/>
        <v/>
      </c>
      <c r="L932" s="26" t="str">
        <f t="shared" si="116"/>
        <v/>
      </c>
      <c r="N932" t="e">
        <f t="shared" si="117"/>
        <v>#N/A</v>
      </c>
      <c r="O932" t="e">
        <f t="shared" si="118"/>
        <v>#N/A</v>
      </c>
    </row>
    <row r="933" spans="1:15">
      <c r="A933" s="25">
        <v>46299.623611111107</v>
      </c>
      <c r="B933">
        <v>19.693000000000001</v>
      </c>
      <c r="C933">
        <v>52.347000000000001</v>
      </c>
      <c r="D933">
        <v>935.745</v>
      </c>
      <c r="E933">
        <v>16.57</v>
      </c>
      <c r="F933">
        <v>467.03300000000002</v>
      </c>
      <c r="G933" s="26">
        <f t="shared" si="112"/>
        <v>9.6606359213074064</v>
      </c>
      <c r="H933" s="26">
        <f t="shared" si="119"/>
        <v>-0.14999999999997016</v>
      </c>
      <c r="I933" s="26">
        <f t="shared" si="113"/>
        <v>3.1230000000000011</v>
      </c>
      <c r="J933" t="str">
        <f t="shared" si="114"/>
        <v>Steady</v>
      </c>
      <c r="K933" s="26" t="str">
        <f t="shared" si="115"/>
        <v/>
      </c>
      <c r="L933" s="26" t="str">
        <f t="shared" si="116"/>
        <v/>
      </c>
      <c r="N933" t="e">
        <f t="shared" si="117"/>
        <v>#N/A</v>
      </c>
      <c r="O933" t="e">
        <f t="shared" si="118"/>
        <v>#N/A</v>
      </c>
    </row>
    <row r="934" spans="1:15">
      <c r="A934" s="25">
        <v>46299.624305555553</v>
      </c>
      <c r="B934">
        <v>19.693000000000001</v>
      </c>
      <c r="C934">
        <v>52.482999999999997</v>
      </c>
      <c r="D934">
        <v>935.73500000000001</v>
      </c>
      <c r="E934">
        <v>16.585000000000001</v>
      </c>
      <c r="F934">
        <v>466.517</v>
      </c>
      <c r="G934" s="26">
        <f t="shared" si="112"/>
        <v>9.6993220997607708</v>
      </c>
      <c r="H934" s="26">
        <f t="shared" si="119"/>
        <v>-2.9999999999983373E-2</v>
      </c>
      <c r="I934" s="26">
        <f t="shared" si="113"/>
        <v>3.1080000000000005</v>
      </c>
      <c r="J934" t="str">
        <f t="shared" si="114"/>
        <v>Steady</v>
      </c>
      <c r="K934" s="26" t="str">
        <f t="shared" si="115"/>
        <v/>
      </c>
      <c r="L934" s="26" t="str">
        <f t="shared" si="116"/>
        <v/>
      </c>
      <c r="N934" t="e">
        <f t="shared" si="117"/>
        <v>#N/A</v>
      </c>
      <c r="O934" t="e">
        <f t="shared" si="118"/>
        <v>#N/A</v>
      </c>
    </row>
    <row r="935" spans="1:15">
      <c r="A935" s="25">
        <v>46299.625</v>
      </c>
      <c r="B935">
        <v>19.695</v>
      </c>
      <c r="C935">
        <v>52.3</v>
      </c>
      <c r="D935">
        <v>935.72199999999998</v>
      </c>
      <c r="E935">
        <v>16.600000000000001</v>
      </c>
      <c r="F935">
        <v>466</v>
      </c>
      <c r="G935" s="26">
        <f t="shared" si="112"/>
        <v>9.6490958006142549</v>
      </c>
      <c r="H935" s="26">
        <f t="shared" si="119"/>
        <v>0.17999999999995353</v>
      </c>
      <c r="I935" s="26">
        <f t="shared" si="113"/>
        <v>3.0949999999999989</v>
      </c>
      <c r="J935" t="str">
        <f t="shared" si="114"/>
        <v>Steady</v>
      </c>
      <c r="K935" s="26" t="str">
        <f t="shared" si="115"/>
        <v/>
      </c>
      <c r="L935" s="26" t="str">
        <f t="shared" si="116"/>
        <v/>
      </c>
      <c r="N935" t="e">
        <f t="shared" si="117"/>
        <v>#N/A</v>
      </c>
      <c r="O935" t="e">
        <f t="shared" si="118"/>
        <v>#N/A</v>
      </c>
    </row>
    <row r="936" spans="1:15">
      <c r="A936" s="25">
        <v>46299.625694444447</v>
      </c>
      <c r="B936">
        <v>19.695</v>
      </c>
      <c r="C936">
        <v>52.387</v>
      </c>
      <c r="D936">
        <v>935.7</v>
      </c>
      <c r="E936">
        <v>16.61</v>
      </c>
      <c r="F936">
        <v>465.08300000000003</v>
      </c>
      <c r="G936" s="26">
        <f t="shared" si="112"/>
        <v>9.6738737463734168</v>
      </c>
      <c r="H936" s="26">
        <f t="shared" si="119"/>
        <v>2.9999999999983373E-2</v>
      </c>
      <c r="I936" s="26">
        <f t="shared" si="113"/>
        <v>3.0850000000000009</v>
      </c>
      <c r="J936" t="str">
        <f t="shared" si="114"/>
        <v>Steady</v>
      </c>
      <c r="K936" s="26" t="str">
        <f t="shared" si="115"/>
        <v/>
      </c>
      <c r="L936" s="26" t="str">
        <f t="shared" si="116"/>
        <v/>
      </c>
      <c r="N936" t="e">
        <f t="shared" si="117"/>
        <v>#N/A</v>
      </c>
      <c r="O936" t="e">
        <f t="shared" si="118"/>
        <v>#N/A</v>
      </c>
    </row>
    <row r="937" spans="1:15">
      <c r="A937" s="25">
        <v>46299.626388888893</v>
      </c>
      <c r="B937">
        <v>19.704999999999998</v>
      </c>
      <c r="C937">
        <v>52.34</v>
      </c>
      <c r="D937">
        <v>935.70699999999999</v>
      </c>
      <c r="E937">
        <v>16.62</v>
      </c>
      <c r="F937">
        <v>464.16699999999997</v>
      </c>
      <c r="G937" s="26">
        <f t="shared" si="112"/>
        <v>9.6697431940642016</v>
      </c>
      <c r="H937" s="26">
        <f t="shared" si="119"/>
        <v>-2.9999999999983373E-2</v>
      </c>
      <c r="I937" s="26">
        <f t="shared" si="113"/>
        <v>3.0849999999999973</v>
      </c>
      <c r="J937" t="str">
        <f t="shared" si="114"/>
        <v>Steady</v>
      </c>
      <c r="K937" s="26" t="str">
        <f t="shared" si="115"/>
        <v/>
      </c>
      <c r="L937" s="26" t="str">
        <f t="shared" si="116"/>
        <v/>
      </c>
      <c r="N937" t="e">
        <f t="shared" si="117"/>
        <v>#N/A</v>
      </c>
      <c r="O937" t="e">
        <f t="shared" si="118"/>
        <v>#N/A</v>
      </c>
    </row>
    <row r="938" spans="1:15">
      <c r="A938" s="25">
        <v>46299.627083333333</v>
      </c>
      <c r="B938">
        <v>19.695</v>
      </c>
      <c r="C938">
        <v>52.314999999999998</v>
      </c>
      <c r="D938">
        <v>935.68700000000001</v>
      </c>
      <c r="E938">
        <v>16.63</v>
      </c>
      <c r="F938">
        <v>463.25</v>
      </c>
      <c r="G938" s="26">
        <f t="shared" si="112"/>
        <v>9.6533704526249515</v>
      </c>
      <c r="H938" s="26">
        <f t="shared" si="119"/>
        <v>2.9999999999983373E-2</v>
      </c>
      <c r="I938" s="26">
        <f t="shared" si="113"/>
        <v>3.0650000000000013</v>
      </c>
      <c r="J938" t="str">
        <f t="shared" si="114"/>
        <v>Steady</v>
      </c>
      <c r="K938" s="26" t="str">
        <f t="shared" si="115"/>
        <v/>
      </c>
      <c r="L938" s="26" t="str">
        <f t="shared" si="116"/>
        <v/>
      </c>
      <c r="N938" t="e">
        <f t="shared" si="117"/>
        <v>#N/A</v>
      </c>
      <c r="O938" t="e">
        <f t="shared" si="118"/>
        <v>#N/A</v>
      </c>
    </row>
    <row r="939" spans="1:15">
      <c r="A939" s="25">
        <v>46299.62777777778</v>
      </c>
      <c r="B939">
        <v>19.693000000000001</v>
      </c>
      <c r="C939">
        <v>52.295000000000002</v>
      </c>
      <c r="D939">
        <v>935.625</v>
      </c>
      <c r="E939">
        <v>16.64</v>
      </c>
      <c r="F939">
        <v>462.33300000000003</v>
      </c>
      <c r="G939" s="26">
        <f t="shared" si="112"/>
        <v>9.6458207161954146</v>
      </c>
      <c r="H939" s="26">
        <f t="shared" si="119"/>
        <v>-0.17999999999995353</v>
      </c>
      <c r="I939" s="26">
        <f t="shared" si="113"/>
        <v>3.0530000000000008</v>
      </c>
      <c r="J939" t="str">
        <f t="shared" si="114"/>
        <v>Steady</v>
      </c>
      <c r="K939" s="26" t="str">
        <f t="shared" si="115"/>
        <v/>
      </c>
      <c r="L939" s="26" t="str">
        <f t="shared" si="116"/>
        <v/>
      </c>
      <c r="N939" t="e">
        <f t="shared" si="117"/>
        <v>#N/A</v>
      </c>
      <c r="O939" t="e">
        <f t="shared" si="118"/>
        <v>#N/A</v>
      </c>
    </row>
    <row r="940" spans="1:15">
      <c r="A940" s="25">
        <v>46299.628472222219</v>
      </c>
      <c r="B940">
        <v>19.696999999999999</v>
      </c>
      <c r="C940">
        <v>52.395000000000003</v>
      </c>
      <c r="D940">
        <v>935.60799999999995</v>
      </c>
      <c r="E940">
        <v>16.649999999999999</v>
      </c>
      <c r="F940">
        <v>461.41699999999997</v>
      </c>
      <c r="G940" s="26">
        <f t="shared" si="112"/>
        <v>9.6780007317105916</v>
      </c>
      <c r="H940" s="26">
        <f t="shared" si="119"/>
        <v>-2.9999999999983373E-2</v>
      </c>
      <c r="I940" s="26">
        <f t="shared" si="113"/>
        <v>3.0470000000000006</v>
      </c>
      <c r="J940" t="str">
        <f t="shared" si="114"/>
        <v>Steady</v>
      </c>
      <c r="K940" s="26" t="str">
        <f t="shared" si="115"/>
        <v/>
      </c>
      <c r="L940" s="26" t="str">
        <f t="shared" si="116"/>
        <v/>
      </c>
      <c r="N940" t="e">
        <f t="shared" si="117"/>
        <v>#N/A</v>
      </c>
      <c r="O940" t="e">
        <f t="shared" si="118"/>
        <v>#N/A</v>
      </c>
    </row>
    <row r="941" spans="1:15">
      <c r="A941" s="25">
        <v>46299.629166666673</v>
      </c>
      <c r="B941">
        <v>19.693000000000001</v>
      </c>
      <c r="C941">
        <v>52.295000000000002</v>
      </c>
      <c r="D941">
        <v>935.61199999999997</v>
      </c>
      <c r="E941">
        <v>16.66</v>
      </c>
      <c r="F941">
        <v>460.5</v>
      </c>
      <c r="G941" s="26">
        <f t="shared" si="112"/>
        <v>9.6458207161954146</v>
      </c>
      <c r="H941" s="26">
        <f t="shared" si="119"/>
        <v>-4.5000000000001705E-2</v>
      </c>
      <c r="I941" s="26">
        <f t="shared" si="113"/>
        <v>3.0330000000000013</v>
      </c>
      <c r="J941" t="str">
        <f t="shared" si="114"/>
        <v>Steady</v>
      </c>
      <c r="K941" s="26" t="str">
        <f t="shared" si="115"/>
        <v/>
      </c>
      <c r="L941" s="26" t="str">
        <f t="shared" si="116"/>
        <v/>
      </c>
      <c r="N941" t="e">
        <f t="shared" si="117"/>
        <v>#N/A</v>
      </c>
      <c r="O941" t="e">
        <f t="shared" si="118"/>
        <v>#N/A</v>
      </c>
    </row>
    <row r="942" spans="1:15">
      <c r="A942" s="25">
        <v>46299.629861111112</v>
      </c>
      <c r="B942">
        <v>19.693000000000001</v>
      </c>
      <c r="C942">
        <v>52.42</v>
      </c>
      <c r="D942">
        <v>935.56700000000001</v>
      </c>
      <c r="E942">
        <v>16.670000000000002</v>
      </c>
      <c r="F942">
        <v>459.58300000000003</v>
      </c>
      <c r="G942" s="26">
        <f t="shared" si="112"/>
        <v>9.6814123027711432</v>
      </c>
      <c r="H942" s="26">
        <f t="shared" si="119"/>
        <v>-5.9999999999966747E-2</v>
      </c>
      <c r="I942" s="26">
        <f t="shared" si="113"/>
        <v>3.0229999999999997</v>
      </c>
      <c r="J942" t="str">
        <f t="shared" si="114"/>
        <v>Steady</v>
      </c>
      <c r="K942" s="26" t="str">
        <f t="shared" si="115"/>
        <v/>
      </c>
      <c r="L942" s="26" t="str">
        <f t="shared" si="116"/>
        <v/>
      </c>
      <c r="N942" t="e">
        <f t="shared" si="117"/>
        <v>#N/A</v>
      </c>
      <c r="O942" t="e">
        <f t="shared" si="118"/>
        <v>#N/A</v>
      </c>
    </row>
    <row r="943" spans="1:15">
      <c r="A943" s="25">
        <v>46299.630555555559</v>
      </c>
      <c r="B943">
        <v>19.690000000000001</v>
      </c>
      <c r="C943">
        <v>52.417000000000002</v>
      </c>
      <c r="D943">
        <v>935.50800000000004</v>
      </c>
      <c r="E943">
        <v>16.68</v>
      </c>
      <c r="F943">
        <v>458.66699999999997</v>
      </c>
      <c r="G943" s="26">
        <f t="shared" si="112"/>
        <v>9.6777832766300662</v>
      </c>
      <c r="H943" s="26">
        <f t="shared" si="119"/>
        <v>2.9999999999983373E-2</v>
      </c>
      <c r="I943" s="26">
        <f t="shared" si="113"/>
        <v>3.0100000000000016</v>
      </c>
      <c r="J943" t="str">
        <f t="shared" si="114"/>
        <v>Steady</v>
      </c>
      <c r="K943" s="26" t="str">
        <f t="shared" si="115"/>
        <v/>
      </c>
      <c r="L943" s="26" t="str">
        <f t="shared" si="116"/>
        <v/>
      </c>
      <c r="N943" t="e">
        <f t="shared" si="117"/>
        <v>#N/A</v>
      </c>
      <c r="O943" t="e">
        <f t="shared" si="118"/>
        <v>#N/A</v>
      </c>
    </row>
    <row r="944" spans="1:15">
      <c r="A944" s="25">
        <v>46299.631249999999</v>
      </c>
      <c r="B944">
        <v>19.693000000000001</v>
      </c>
      <c r="C944">
        <v>52.284999999999997</v>
      </c>
      <c r="D944">
        <v>935.48800000000006</v>
      </c>
      <c r="E944">
        <v>16.690000000000001</v>
      </c>
      <c r="F944">
        <v>457.75</v>
      </c>
      <c r="G944" s="26">
        <f t="shared" si="112"/>
        <v>9.6429701487374206</v>
      </c>
      <c r="H944" s="26">
        <f t="shared" si="119"/>
        <v>-7.5000000000038369E-2</v>
      </c>
      <c r="I944" s="26">
        <f t="shared" si="113"/>
        <v>3.0030000000000001</v>
      </c>
      <c r="J944" t="str">
        <f t="shared" si="114"/>
        <v>Steady</v>
      </c>
      <c r="K944" s="26" t="str">
        <f t="shared" si="115"/>
        <v/>
      </c>
      <c r="L944" s="26" t="str">
        <f t="shared" si="116"/>
        <v/>
      </c>
      <c r="N944" t="e">
        <f t="shared" si="117"/>
        <v>#N/A</v>
      </c>
      <c r="O944" t="e">
        <f t="shared" si="118"/>
        <v>#N/A</v>
      </c>
    </row>
    <row r="945" spans="1:15">
      <c r="A945" s="25">
        <v>46299.631944444453</v>
      </c>
      <c r="B945">
        <v>19.695</v>
      </c>
      <c r="C945">
        <v>52.215000000000003</v>
      </c>
      <c r="D945">
        <v>935.47699999999998</v>
      </c>
      <c r="E945">
        <v>16.7</v>
      </c>
      <c r="F945">
        <v>456.83300000000003</v>
      </c>
      <c r="G945" s="26">
        <f t="shared" si="112"/>
        <v>9.6248523271155904</v>
      </c>
      <c r="H945" s="26">
        <f t="shared" si="119"/>
        <v>-3.0000000000036664E-2</v>
      </c>
      <c r="I945" s="26">
        <f t="shared" si="113"/>
        <v>2.995000000000001</v>
      </c>
      <c r="J945" t="str">
        <f t="shared" si="114"/>
        <v>Steady</v>
      </c>
      <c r="K945" s="26" t="str">
        <f t="shared" si="115"/>
        <v/>
      </c>
      <c r="L945" s="26" t="str">
        <f t="shared" si="116"/>
        <v/>
      </c>
      <c r="N945" t="e">
        <f t="shared" si="117"/>
        <v>#N/A</v>
      </c>
      <c r="O945" t="e">
        <f t="shared" si="118"/>
        <v>#N/A</v>
      </c>
    </row>
    <row r="946" spans="1:15">
      <c r="A946" s="25">
        <v>46299.632638888892</v>
      </c>
      <c r="B946">
        <v>19.687999999999999</v>
      </c>
      <c r="C946">
        <v>52.243000000000002</v>
      </c>
      <c r="D946">
        <v>935.43499999999995</v>
      </c>
      <c r="E946">
        <v>16.71</v>
      </c>
      <c r="F946">
        <v>455.91699999999997</v>
      </c>
      <c r="G946" s="26">
        <f t="shared" si="112"/>
        <v>9.6263681495559119</v>
      </c>
      <c r="H946" s="26">
        <f t="shared" si="119"/>
        <v>-1.5000000000018332E-2</v>
      </c>
      <c r="I946" s="26">
        <f t="shared" si="113"/>
        <v>2.977999999999998</v>
      </c>
      <c r="J946" t="str">
        <f t="shared" si="114"/>
        <v>Steady</v>
      </c>
      <c r="K946" s="26" t="str">
        <f t="shared" si="115"/>
        <v/>
      </c>
      <c r="L946" s="26" t="str">
        <f t="shared" si="116"/>
        <v/>
      </c>
      <c r="N946" t="e">
        <f t="shared" si="117"/>
        <v>#N/A</v>
      </c>
      <c r="O946" t="e">
        <f t="shared" si="118"/>
        <v>#N/A</v>
      </c>
    </row>
    <row r="947" spans="1:15">
      <c r="A947" s="25">
        <v>46299.633333333331</v>
      </c>
      <c r="B947">
        <v>19.687999999999999</v>
      </c>
      <c r="C947">
        <v>52.148000000000003</v>
      </c>
      <c r="D947">
        <v>935.428</v>
      </c>
      <c r="E947">
        <v>16.72</v>
      </c>
      <c r="F947">
        <v>455</v>
      </c>
      <c r="G947" s="26">
        <f t="shared" si="112"/>
        <v>9.5992455048925507</v>
      </c>
      <c r="H947" s="26">
        <f t="shared" si="119"/>
        <v>-0.10500000000002174</v>
      </c>
      <c r="I947" s="26">
        <f t="shared" si="113"/>
        <v>2.968</v>
      </c>
      <c r="J947" t="str">
        <f t="shared" si="114"/>
        <v>Steady</v>
      </c>
      <c r="K947" s="26" t="str">
        <f t="shared" si="115"/>
        <v/>
      </c>
      <c r="L947" s="26" t="str">
        <f t="shared" si="116"/>
        <v/>
      </c>
      <c r="N947" t="e">
        <f t="shared" si="117"/>
        <v>#N/A</v>
      </c>
      <c r="O947" t="e">
        <f t="shared" si="118"/>
        <v>#N/A</v>
      </c>
    </row>
    <row r="948" spans="1:15">
      <c r="A948" s="25">
        <v>46299.634027777778</v>
      </c>
      <c r="B948">
        <v>19.692</v>
      </c>
      <c r="C948">
        <v>52.252000000000002</v>
      </c>
      <c r="D948">
        <v>935.41300000000001</v>
      </c>
      <c r="E948">
        <v>16.73</v>
      </c>
      <c r="F948">
        <v>454.08300000000003</v>
      </c>
      <c r="G948" s="26">
        <f t="shared" si="112"/>
        <v>9.6326349723723634</v>
      </c>
      <c r="H948" s="26">
        <f t="shared" si="119"/>
        <v>0.48000000000000043</v>
      </c>
      <c r="I948" s="26">
        <f t="shared" si="113"/>
        <v>2.9619999999999997</v>
      </c>
      <c r="J948" t="str">
        <f t="shared" si="114"/>
        <v>Steady</v>
      </c>
      <c r="K948" s="26" t="str">
        <f t="shared" si="115"/>
        <v/>
      </c>
      <c r="L948" s="26" t="str">
        <f t="shared" si="116"/>
        <v/>
      </c>
      <c r="N948" t="e">
        <f t="shared" si="117"/>
        <v>#N/A</v>
      </c>
      <c r="O948" t="e">
        <f t="shared" si="118"/>
        <v>#N/A</v>
      </c>
    </row>
    <row r="949" spans="1:15">
      <c r="A949" s="25">
        <v>46299.634722222218</v>
      </c>
      <c r="B949">
        <v>19.687999999999999</v>
      </c>
      <c r="C949">
        <v>52.302999999999997</v>
      </c>
      <c r="D949">
        <v>935.35799999999995</v>
      </c>
      <c r="E949">
        <v>16.739999999999998</v>
      </c>
      <c r="F949">
        <v>453.16699999999997</v>
      </c>
      <c r="G949" s="26">
        <f t="shared" si="112"/>
        <v>9.6434758355593875</v>
      </c>
      <c r="H949" s="26">
        <f t="shared" si="119"/>
        <v>1.3499999999999979</v>
      </c>
      <c r="I949" s="26">
        <f t="shared" si="113"/>
        <v>2.9480000000000004</v>
      </c>
      <c r="J949" t="str">
        <f t="shared" si="114"/>
        <v>Heating</v>
      </c>
      <c r="K949" s="26" t="str">
        <f t="shared" si="115"/>
        <v/>
      </c>
      <c r="L949" s="26" t="str">
        <f t="shared" si="116"/>
        <v/>
      </c>
      <c r="N949" t="e">
        <f t="shared" si="117"/>
        <v>#N/A</v>
      </c>
      <c r="O949" t="e">
        <f t="shared" si="118"/>
        <v>#N/A</v>
      </c>
    </row>
    <row r="950" spans="1:15">
      <c r="A950" s="25">
        <v>46299.635416666657</v>
      </c>
      <c r="B950">
        <v>19.72</v>
      </c>
      <c r="C950">
        <v>52.167999999999999</v>
      </c>
      <c r="D950">
        <v>935.32</v>
      </c>
      <c r="E950">
        <v>16.75</v>
      </c>
      <c r="F950">
        <v>452.25</v>
      </c>
      <c r="G950" s="26">
        <f t="shared" si="112"/>
        <v>9.6345499411727005</v>
      </c>
      <c r="H950" s="26">
        <f t="shared" si="119"/>
        <v>1.5750000000000064</v>
      </c>
      <c r="I950" s="26">
        <f t="shared" si="113"/>
        <v>2.9699999999999989</v>
      </c>
      <c r="J950" t="str">
        <f t="shared" si="114"/>
        <v>Heating</v>
      </c>
      <c r="K950" s="26" t="str">
        <f t="shared" si="115"/>
        <v/>
      </c>
      <c r="L950" s="26" t="str">
        <f t="shared" si="116"/>
        <v/>
      </c>
      <c r="N950" t="e">
        <f t="shared" si="117"/>
        <v>#N/A</v>
      </c>
      <c r="O950" t="e">
        <f t="shared" si="118"/>
        <v>#N/A</v>
      </c>
    </row>
    <row r="951" spans="1:15">
      <c r="A951" s="25">
        <v>46299.636111111111</v>
      </c>
      <c r="B951">
        <v>19.777999999999999</v>
      </c>
      <c r="C951">
        <v>51.841999999999999</v>
      </c>
      <c r="D951">
        <v>935.26</v>
      </c>
      <c r="E951">
        <v>16.760000000000002</v>
      </c>
      <c r="F951">
        <v>451.33300000000003</v>
      </c>
      <c r="G951" s="26">
        <f t="shared" si="112"/>
        <v>9.5947466312157896</v>
      </c>
      <c r="H951" s="26">
        <f t="shared" si="119"/>
        <v>1.7849999999999966</v>
      </c>
      <c r="I951" s="26">
        <f t="shared" si="113"/>
        <v>3.0179999999999971</v>
      </c>
      <c r="J951" t="str">
        <f t="shared" si="114"/>
        <v>Heating</v>
      </c>
      <c r="K951" s="26" t="str">
        <f t="shared" si="115"/>
        <v/>
      </c>
      <c r="L951" s="26" t="str">
        <f t="shared" si="116"/>
        <v/>
      </c>
      <c r="N951" t="e">
        <f t="shared" si="117"/>
        <v>#N/A</v>
      </c>
      <c r="O951" t="e">
        <f t="shared" si="118"/>
        <v>#N/A</v>
      </c>
    </row>
    <row r="952" spans="1:15">
      <c r="A952" s="25">
        <v>46299.636805555558</v>
      </c>
      <c r="B952">
        <v>19.797000000000001</v>
      </c>
      <c r="C952">
        <v>51.86</v>
      </c>
      <c r="D952">
        <v>935.24</v>
      </c>
      <c r="E952">
        <v>16.77</v>
      </c>
      <c r="F952">
        <v>450.41699999999997</v>
      </c>
      <c r="G952" s="26">
        <f t="shared" si="112"/>
        <v>9.617475998168409</v>
      </c>
      <c r="H952" s="26">
        <f t="shared" si="119"/>
        <v>1.3949999999999996</v>
      </c>
      <c r="I952" s="26">
        <f t="shared" si="113"/>
        <v>3.027000000000001</v>
      </c>
      <c r="J952" t="str">
        <f t="shared" si="114"/>
        <v>Heating</v>
      </c>
      <c r="K952" s="26" t="str">
        <f t="shared" si="115"/>
        <v/>
      </c>
      <c r="L952" s="26" t="str">
        <f t="shared" si="116"/>
        <v/>
      </c>
      <c r="N952" t="e">
        <f t="shared" si="117"/>
        <v>#N/A</v>
      </c>
      <c r="O952" t="e">
        <f t="shared" si="118"/>
        <v>#N/A</v>
      </c>
    </row>
    <row r="953" spans="1:15">
      <c r="A953" s="25">
        <v>46299.637499999997</v>
      </c>
      <c r="B953">
        <v>19.806999999999999</v>
      </c>
      <c r="C953">
        <v>51.718000000000004</v>
      </c>
      <c r="D953">
        <v>935.22199999999998</v>
      </c>
      <c r="E953">
        <v>16.78</v>
      </c>
      <c r="F953">
        <v>449.5</v>
      </c>
      <c r="G953" s="26">
        <f t="shared" si="112"/>
        <v>9.5858590596254896</v>
      </c>
      <c r="H953" s="26">
        <f t="shared" si="119"/>
        <v>0.70500000000000895</v>
      </c>
      <c r="I953" s="26">
        <f t="shared" si="113"/>
        <v>3.0269999999999975</v>
      </c>
      <c r="J953" t="str">
        <f t="shared" si="114"/>
        <v>Heating</v>
      </c>
      <c r="K953" s="26" t="str">
        <f t="shared" si="115"/>
        <v/>
      </c>
      <c r="L953" s="26" t="str">
        <f t="shared" si="116"/>
        <v/>
      </c>
      <c r="N953" t="e">
        <f t="shared" si="117"/>
        <v>#N/A</v>
      </c>
      <c r="O953" t="e">
        <f t="shared" si="118"/>
        <v>#N/A</v>
      </c>
    </row>
    <row r="954" spans="1:15">
      <c r="A954" s="25">
        <v>46299.638194444437</v>
      </c>
      <c r="B954">
        <v>19.812999999999999</v>
      </c>
      <c r="C954">
        <v>51.674999999999997</v>
      </c>
      <c r="D954">
        <v>935.19500000000005</v>
      </c>
      <c r="E954">
        <v>16.79</v>
      </c>
      <c r="F954">
        <v>448.58300000000003</v>
      </c>
      <c r="G954" s="26">
        <f t="shared" si="112"/>
        <v>9.579009138106624</v>
      </c>
      <c r="H954" s="26">
        <f t="shared" si="119"/>
        <v>1.499999999999968</v>
      </c>
      <c r="I954" s="26">
        <f t="shared" si="113"/>
        <v>3.0229999999999997</v>
      </c>
      <c r="J954" t="str">
        <f t="shared" si="114"/>
        <v>Heating</v>
      </c>
      <c r="K954" s="26" t="str">
        <f t="shared" si="115"/>
        <v/>
      </c>
      <c r="L954" s="26" t="str">
        <f t="shared" si="116"/>
        <v/>
      </c>
      <c r="N954" t="e">
        <f t="shared" si="117"/>
        <v>#N/A</v>
      </c>
      <c r="O954" t="e">
        <f t="shared" si="118"/>
        <v>#N/A</v>
      </c>
    </row>
    <row r="955" spans="1:15">
      <c r="A955" s="25">
        <v>46299.638888888891</v>
      </c>
      <c r="B955">
        <v>19.824999999999999</v>
      </c>
      <c r="C955">
        <v>51.811999999999998</v>
      </c>
      <c r="D955">
        <v>935.13</v>
      </c>
      <c r="E955">
        <v>16.8</v>
      </c>
      <c r="F955">
        <v>447.66699999999997</v>
      </c>
      <c r="G955" s="26">
        <f t="shared" si="112"/>
        <v>9.629547347931263</v>
      </c>
      <c r="H955" s="26">
        <f t="shared" si="119"/>
        <v>1.3650000000000162</v>
      </c>
      <c r="I955" s="26">
        <f t="shared" si="113"/>
        <v>3.0249999999999986</v>
      </c>
      <c r="J955" t="str">
        <f t="shared" si="114"/>
        <v>Heating</v>
      </c>
      <c r="K955" s="26" t="str">
        <f t="shared" si="115"/>
        <v/>
      </c>
      <c r="L955" s="26" t="str">
        <f t="shared" si="116"/>
        <v/>
      </c>
      <c r="N955" t="e">
        <f t="shared" si="117"/>
        <v>#N/A</v>
      </c>
      <c r="O955" t="e">
        <f t="shared" si="118"/>
        <v>#N/A</v>
      </c>
    </row>
    <row r="956" spans="1:15">
      <c r="A956" s="25">
        <v>46299.63958333333</v>
      </c>
      <c r="B956">
        <v>19.896999999999998</v>
      </c>
      <c r="C956">
        <v>51.777000000000001</v>
      </c>
      <c r="D956">
        <v>935.10799999999995</v>
      </c>
      <c r="E956">
        <v>16.809999999999999</v>
      </c>
      <c r="F956">
        <v>446.75</v>
      </c>
      <c r="G956" s="26">
        <f t="shared" si="112"/>
        <v>9.6859936349283622</v>
      </c>
      <c r="H956" s="26">
        <f t="shared" si="119"/>
        <v>1.2599999999999945</v>
      </c>
      <c r="I956" s="26">
        <f t="shared" si="113"/>
        <v>3.0869999999999997</v>
      </c>
      <c r="J956" t="str">
        <f t="shared" si="114"/>
        <v>Heating</v>
      </c>
      <c r="K956" s="26" t="str">
        <f t="shared" si="115"/>
        <v/>
      </c>
      <c r="L956" s="26" t="str">
        <f t="shared" si="116"/>
        <v/>
      </c>
      <c r="N956" t="e">
        <f t="shared" si="117"/>
        <v>#N/A</v>
      </c>
      <c r="O956" t="e">
        <f t="shared" si="118"/>
        <v>#N/A</v>
      </c>
    </row>
    <row r="957" spans="1:15">
      <c r="A957" s="25">
        <v>46299.640277777777</v>
      </c>
      <c r="B957">
        <v>19.898</v>
      </c>
      <c r="C957">
        <v>51.593000000000004</v>
      </c>
      <c r="D957">
        <v>935.04499999999996</v>
      </c>
      <c r="E957">
        <v>16.82</v>
      </c>
      <c r="F957">
        <v>445.83300000000003</v>
      </c>
      <c r="G957" s="26">
        <f t="shared" si="112"/>
        <v>9.6338463030274415</v>
      </c>
      <c r="H957" s="26">
        <f t="shared" si="119"/>
        <v>1.095000000000006</v>
      </c>
      <c r="I957" s="26">
        <f t="shared" si="113"/>
        <v>3.0779999999999994</v>
      </c>
      <c r="J957" t="str">
        <f t="shared" si="114"/>
        <v>Heating</v>
      </c>
      <c r="K957" s="26" t="str">
        <f t="shared" si="115"/>
        <v/>
      </c>
      <c r="L957" s="26" t="str">
        <f t="shared" si="116"/>
        <v/>
      </c>
      <c r="N957" t="e">
        <f t="shared" si="117"/>
        <v>#N/A</v>
      </c>
      <c r="O957" t="e">
        <f t="shared" si="118"/>
        <v>#N/A</v>
      </c>
    </row>
    <row r="958" spans="1:15">
      <c r="A958" s="25">
        <v>46299.640972222223</v>
      </c>
      <c r="B958">
        <v>19.896999999999998</v>
      </c>
      <c r="C958">
        <v>52.097999999999999</v>
      </c>
      <c r="D958">
        <v>935.02</v>
      </c>
      <c r="E958">
        <v>16.829999999999998</v>
      </c>
      <c r="F958">
        <v>444.91699999999997</v>
      </c>
      <c r="G958" s="26">
        <f t="shared" si="112"/>
        <v>9.7781821264139133</v>
      </c>
      <c r="H958" s="26">
        <f t="shared" si="119"/>
        <v>0.31500000000001194</v>
      </c>
      <c r="I958" s="26">
        <f t="shared" si="113"/>
        <v>3.0670000000000002</v>
      </c>
      <c r="J958" t="str">
        <f t="shared" si="114"/>
        <v>Steady</v>
      </c>
      <c r="K958" s="26" t="str">
        <f t="shared" si="115"/>
        <v/>
      </c>
      <c r="L958" s="26" t="str">
        <f t="shared" si="116"/>
        <v/>
      </c>
      <c r="N958" t="e">
        <f t="shared" si="117"/>
        <v>#N/A</v>
      </c>
      <c r="O958" t="e">
        <f t="shared" si="118"/>
        <v>#N/A</v>
      </c>
    </row>
    <row r="959" spans="1:15">
      <c r="A959" s="25">
        <v>46299.64166666667</v>
      </c>
      <c r="B959">
        <v>19.898</v>
      </c>
      <c r="C959">
        <v>51.822000000000003</v>
      </c>
      <c r="D959">
        <v>935.03200000000004</v>
      </c>
      <c r="E959">
        <v>16.84</v>
      </c>
      <c r="F959">
        <v>444</v>
      </c>
      <c r="G959" s="26">
        <f t="shared" si="112"/>
        <v>9.699871517583885</v>
      </c>
      <c r="H959" s="26">
        <f t="shared" si="119"/>
        <v>0.45000000000001705</v>
      </c>
      <c r="I959" s="26">
        <f t="shared" si="113"/>
        <v>3.0579999999999998</v>
      </c>
      <c r="J959" t="str">
        <f t="shared" si="114"/>
        <v>Steady</v>
      </c>
      <c r="K959" s="26" t="str">
        <f t="shared" si="115"/>
        <v/>
      </c>
      <c r="L959" s="26" t="str">
        <f t="shared" si="116"/>
        <v/>
      </c>
      <c r="N959" t="e">
        <f t="shared" si="117"/>
        <v>#N/A</v>
      </c>
      <c r="O959" t="e">
        <f t="shared" si="118"/>
        <v>#N/A</v>
      </c>
    </row>
    <row r="960" spans="1:15">
      <c r="A960" s="25">
        <v>46299.642361111109</v>
      </c>
      <c r="B960">
        <v>19.917999999999999</v>
      </c>
      <c r="C960">
        <v>52.343000000000004</v>
      </c>
      <c r="D960">
        <v>935.02</v>
      </c>
      <c r="E960">
        <v>16.850000000000001</v>
      </c>
      <c r="F960">
        <v>443.08300000000003</v>
      </c>
      <c r="G960" s="26">
        <f t="shared" si="112"/>
        <v>9.8676330460791917</v>
      </c>
      <c r="H960" s="26"/>
      <c r="I960" s="26">
        <f t="shared" si="113"/>
        <v>3.0679999999999978</v>
      </c>
      <c r="J960" t="str">
        <f t="shared" si="114"/>
        <v/>
      </c>
      <c r="K960" s="26" t="str">
        <f t="shared" si="115"/>
        <v/>
      </c>
      <c r="L960" s="26" t="str">
        <f t="shared" si="116"/>
        <v/>
      </c>
      <c r="N960" t="e">
        <f t="shared" si="117"/>
        <v>#N/A</v>
      </c>
      <c r="O960" t="e">
        <f t="shared" si="118"/>
        <v>#N/A</v>
      </c>
    </row>
    <row r="961" spans="1:15">
      <c r="A961" s="25">
        <v>46299.643055555563</v>
      </c>
      <c r="B961">
        <v>19.928000000000001</v>
      </c>
      <c r="C961">
        <v>52.073999999999998</v>
      </c>
      <c r="D961">
        <v>934.98</v>
      </c>
      <c r="E961">
        <v>16.86</v>
      </c>
      <c r="F961">
        <v>442.16699999999997</v>
      </c>
      <c r="G961" s="26">
        <f t="shared" si="112"/>
        <v>9.7999651076806256</v>
      </c>
      <c r="H961" s="26"/>
      <c r="I961" s="26">
        <f t="shared" si="113"/>
        <v>3.0680000000000014</v>
      </c>
      <c r="J961" t="str">
        <f t="shared" si="114"/>
        <v/>
      </c>
      <c r="K961" s="26" t="str">
        <f t="shared" si="115"/>
        <v/>
      </c>
      <c r="L961" s="26" t="str">
        <f t="shared" si="116"/>
        <v/>
      </c>
      <c r="N961" t="e">
        <f t="shared" si="117"/>
        <v>#N/A</v>
      </c>
      <c r="O961" t="e">
        <f t="shared" si="118"/>
        <v>#N/A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9A23B"/>
  </sheetPr>
  <dimension ref="A1:Q20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18" customWidth="1"/>
    <col min="2" max="2" width="11" customWidth="1"/>
    <col min="3" max="3" width="10" customWidth="1"/>
    <col min="4" max="4" width="13" customWidth="1"/>
    <col min="5" max="6" width="12" customWidth="1"/>
    <col min="7" max="7" width="13" customWidth="1"/>
    <col min="8" max="8" width="12" customWidth="1"/>
    <col min="9" max="9" width="15" customWidth="1"/>
    <col min="10" max="10" width="11" customWidth="1"/>
    <col min="11" max="12" width="14" customWidth="1"/>
    <col min="16" max="17" width="13" hidden="1" customWidth="1"/>
  </cols>
  <sheetData>
    <row r="1" spans="1:17" ht="30" customHeight="1">
      <c r="A1" s="14" t="s">
        <v>54</v>
      </c>
      <c r="B1" s="14" t="s">
        <v>55</v>
      </c>
      <c r="C1" s="14" t="s">
        <v>56</v>
      </c>
      <c r="D1" s="14" t="s">
        <v>57</v>
      </c>
      <c r="E1" s="14" t="s">
        <v>58</v>
      </c>
      <c r="F1" s="14" t="s">
        <v>59</v>
      </c>
      <c r="G1" s="14" t="s">
        <v>60</v>
      </c>
      <c r="H1" s="14" t="s">
        <v>61</v>
      </c>
      <c r="I1" s="14" t="s">
        <v>62</v>
      </c>
      <c r="J1" s="14" t="s">
        <v>63</v>
      </c>
      <c r="K1" s="14" t="s">
        <v>64</v>
      </c>
      <c r="L1" s="14" t="s">
        <v>65</v>
      </c>
      <c r="N1" s="27" t="s">
        <v>68</v>
      </c>
    </row>
    <row r="2" spans="1:17">
      <c r="A2" s="28"/>
      <c r="B2" s="28"/>
      <c r="C2" s="28"/>
      <c r="D2" s="28"/>
      <c r="E2" s="28"/>
      <c r="F2" s="28"/>
      <c r="G2" s="26" t="str">
        <f t="shared" ref="G2:G65" si="0">IF(B2="","",243.04*(LN(C2/100)+17.625*B2/(243.04+B2))/(17.625-LN(C2/100)-17.625*B2/(243.04+B2)))</f>
        <v/>
      </c>
      <c r="H2" s="26"/>
      <c r="I2" s="26" t="str">
        <f t="shared" ref="I2:I65" si="1">IF(B2="","",B2-E2)</f>
        <v/>
      </c>
      <c r="J2" t="str">
        <f t="shared" ref="J2:J65" si="2">IF(H2="","",IF(H2&gt;0.6,"Heating",IF(H2&lt;-0.2,"Cooling","Steady")))</f>
        <v/>
      </c>
      <c r="K2" s="26" t="str">
        <f t="shared" ref="K2:K65" si="3">IF(J2="Cooling",I2,"")</f>
        <v/>
      </c>
      <c r="L2" s="26" t="str">
        <f t="shared" ref="L2:L65" si="4">IF(J2="Cooling",H2,"")</f>
        <v/>
      </c>
      <c r="P2" t="e">
        <f t="shared" ref="P2:P65" si="5">IF(K2="",NA(),K2)</f>
        <v>#N/A</v>
      </c>
      <c r="Q2" t="e">
        <f t="shared" ref="Q2:Q65" si="6">IF(L2="",NA(),L2)</f>
        <v>#N/A</v>
      </c>
    </row>
    <row r="3" spans="1:17">
      <c r="A3" s="28"/>
      <c r="B3" s="28"/>
      <c r="C3" s="28"/>
      <c r="D3" s="28"/>
      <c r="E3" s="28"/>
      <c r="F3" s="28"/>
      <c r="G3" s="26" t="str">
        <f t="shared" si="0"/>
        <v/>
      </c>
      <c r="H3" s="26"/>
      <c r="I3" s="26" t="str">
        <f t="shared" si="1"/>
        <v/>
      </c>
      <c r="J3" t="str">
        <f t="shared" si="2"/>
        <v/>
      </c>
      <c r="K3" s="26" t="str">
        <f t="shared" si="3"/>
        <v/>
      </c>
      <c r="L3" s="26" t="str">
        <f t="shared" si="4"/>
        <v/>
      </c>
      <c r="P3" t="e">
        <f t="shared" si="5"/>
        <v>#N/A</v>
      </c>
      <c r="Q3" t="e">
        <f t="shared" si="6"/>
        <v>#N/A</v>
      </c>
    </row>
    <row r="4" spans="1:17">
      <c r="A4" s="28"/>
      <c r="B4" s="28"/>
      <c r="C4" s="28"/>
      <c r="D4" s="28"/>
      <c r="E4" s="28"/>
      <c r="F4" s="28"/>
      <c r="G4" s="26" t="str">
        <f t="shared" si="0"/>
        <v/>
      </c>
      <c r="H4" s="26" t="str">
        <f t="shared" ref="H4:H67" si="7">IFERROR(IF(OR(B2="",B6=""),"",(B6-B2)/4*60),"")</f>
        <v/>
      </c>
      <c r="I4" s="26" t="str">
        <f t="shared" si="1"/>
        <v/>
      </c>
      <c r="J4" t="str">
        <f t="shared" si="2"/>
        <v/>
      </c>
      <c r="K4" s="26" t="str">
        <f t="shared" si="3"/>
        <v/>
      </c>
      <c r="L4" s="26" t="str">
        <f t="shared" si="4"/>
        <v/>
      </c>
      <c r="P4" t="e">
        <f t="shared" si="5"/>
        <v>#N/A</v>
      </c>
      <c r="Q4" t="e">
        <f t="shared" si="6"/>
        <v>#N/A</v>
      </c>
    </row>
    <row r="5" spans="1:17">
      <c r="A5" s="28"/>
      <c r="B5" s="28"/>
      <c r="C5" s="28"/>
      <c r="D5" s="28"/>
      <c r="E5" s="28"/>
      <c r="F5" s="28"/>
      <c r="G5" s="26" t="str">
        <f t="shared" si="0"/>
        <v/>
      </c>
      <c r="H5" s="26" t="str">
        <f t="shared" si="7"/>
        <v/>
      </c>
      <c r="I5" s="26" t="str">
        <f t="shared" si="1"/>
        <v/>
      </c>
      <c r="J5" t="str">
        <f t="shared" si="2"/>
        <v/>
      </c>
      <c r="K5" s="26" t="str">
        <f t="shared" si="3"/>
        <v/>
      </c>
      <c r="L5" s="26" t="str">
        <f t="shared" si="4"/>
        <v/>
      </c>
      <c r="P5" t="e">
        <f t="shared" si="5"/>
        <v>#N/A</v>
      </c>
      <c r="Q5" t="e">
        <f t="shared" si="6"/>
        <v>#N/A</v>
      </c>
    </row>
    <row r="6" spans="1:17">
      <c r="A6" s="28"/>
      <c r="B6" s="28"/>
      <c r="C6" s="28"/>
      <c r="D6" s="28"/>
      <c r="E6" s="28"/>
      <c r="F6" s="28"/>
      <c r="G6" s="26" t="str">
        <f t="shared" si="0"/>
        <v/>
      </c>
      <c r="H6" s="26" t="str">
        <f t="shared" si="7"/>
        <v/>
      </c>
      <c r="I6" s="26" t="str">
        <f t="shared" si="1"/>
        <v/>
      </c>
      <c r="J6" t="str">
        <f t="shared" si="2"/>
        <v/>
      </c>
      <c r="K6" s="26" t="str">
        <f t="shared" si="3"/>
        <v/>
      </c>
      <c r="L6" s="26" t="str">
        <f t="shared" si="4"/>
        <v/>
      </c>
      <c r="P6" t="e">
        <f t="shared" si="5"/>
        <v>#N/A</v>
      </c>
      <c r="Q6" t="e">
        <f t="shared" si="6"/>
        <v>#N/A</v>
      </c>
    </row>
    <row r="7" spans="1:17">
      <c r="A7" s="28"/>
      <c r="B7" s="28"/>
      <c r="C7" s="28"/>
      <c r="D7" s="28"/>
      <c r="E7" s="28"/>
      <c r="F7" s="28"/>
      <c r="G7" s="26" t="str">
        <f t="shared" si="0"/>
        <v/>
      </c>
      <c r="H7" s="26" t="str">
        <f t="shared" si="7"/>
        <v/>
      </c>
      <c r="I7" s="26" t="str">
        <f t="shared" si="1"/>
        <v/>
      </c>
      <c r="J7" t="str">
        <f t="shared" si="2"/>
        <v/>
      </c>
      <c r="K7" s="26" t="str">
        <f t="shared" si="3"/>
        <v/>
      </c>
      <c r="L7" s="26" t="str">
        <f t="shared" si="4"/>
        <v/>
      </c>
      <c r="P7" t="e">
        <f t="shared" si="5"/>
        <v>#N/A</v>
      </c>
      <c r="Q7" t="e">
        <f t="shared" si="6"/>
        <v>#N/A</v>
      </c>
    </row>
    <row r="8" spans="1:17">
      <c r="A8" s="28"/>
      <c r="B8" s="28"/>
      <c r="C8" s="28"/>
      <c r="D8" s="28"/>
      <c r="E8" s="28"/>
      <c r="F8" s="28"/>
      <c r="G8" s="26" t="str">
        <f t="shared" si="0"/>
        <v/>
      </c>
      <c r="H8" s="26" t="str">
        <f t="shared" si="7"/>
        <v/>
      </c>
      <c r="I8" s="26" t="str">
        <f t="shared" si="1"/>
        <v/>
      </c>
      <c r="J8" t="str">
        <f t="shared" si="2"/>
        <v/>
      </c>
      <c r="K8" s="26" t="str">
        <f t="shared" si="3"/>
        <v/>
      </c>
      <c r="L8" s="26" t="str">
        <f t="shared" si="4"/>
        <v/>
      </c>
      <c r="P8" t="e">
        <f t="shared" si="5"/>
        <v>#N/A</v>
      </c>
      <c r="Q8" t="e">
        <f t="shared" si="6"/>
        <v>#N/A</v>
      </c>
    </row>
    <row r="9" spans="1:17">
      <c r="A9" s="28"/>
      <c r="B9" s="28"/>
      <c r="C9" s="28"/>
      <c r="D9" s="28"/>
      <c r="E9" s="28"/>
      <c r="F9" s="28"/>
      <c r="G9" s="26" t="str">
        <f t="shared" si="0"/>
        <v/>
      </c>
      <c r="H9" s="26" t="str">
        <f t="shared" si="7"/>
        <v/>
      </c>
      <c r="I9" s="26" t="str">
        <f t="shared" si="1"/>
        <v/>
      </c>
      <c r="J9" t="str">
        <f t="shared" si="2"/>
        <v/>
      </c>
      <c r="K9" s="26" t="str">
        <f t="shared" si="3"/>
        <v/>
      </c>
      <c r="L9" s="26" t="str">
        <f t="shared" si="4"/>
        <v/>
      </c>
      <c r="P9" t="e">
        <f t="shared" si="5"/>
        <v>#N/A</v>
      </c>
      <c r="Q9" t="e">
        <f t="shared" si="6"/>
        <v>#N/A</v>
      </c>
    </row>
    <row r="10" spans="1:17">
      <c r="A10" s="28"/>
      <c r="B10" s="28"/>
      <c r="C10" s="28"/>
      <c r="D10" s="28"/>
      <c r="E10" s="28"/>
      <c r="F10" s="28"/>
      <c r="G10" s="26" t="str">
        <f t="shared" si="0"/>
        <v/>
      </c>
      <c r="H10" s="26" t="str">
        <f t="shared" si="7"/>
        <v/>
      </c>
      <c r="I10" s="26" t="str">
        <f t="shared" si="1"/>
        <v/>
      </c>
      <c r="J10" t="str">
        <f t="shared" si="2"/>
        <v/>
      </c>
      <c r="K10" s="26" t="str">
        <f t="shared" si="3"/>
        <v/>
      </c>
      <c r="L10" s="26" t="str">
        <f t="shared" si="4"/>
        <v/>
      </c>
      <c r="P10" t="e">
        <f t="shared" si="5"/>
        <v>#N/A</v>
      </c>
      <c r="Q10" t="e">
        <f t="shared" si="6"/>
        <v>#N/A</v>
      </c>
    </row>
    <row r="11" spans="1:17">
      <c r="A11" s="28"/>
      <c r="B11" s="28"/>
      <c r="C11" s="28"/>
      <c r="D11" s="28"/>
      <c r="E11" s="28"/>
      <c r="F11" s="28"/>
      <c r="G11" s="26" t="str">
        <f t="shared" si="0"/>
        <v/>
      </c>
      <c r="H11" s="26" t="str">
        <f t="shared" si="7"/>
        <v/>
      </c>
      <c r="I11" s="26" t="str">
        <f t="shared" si="1"/>
        <v/>
      </c>
      <c r="J11" t="str">
        <f t="shared" si="2"/>
        <v/>
      </c>
      <c r="K11" s="26" t="str">
        <f t="shared" si="3"/>
        <v/>
      </c>
      <c r="L11" s="26" t="str">
        <f t="shared" si="4"/>
        <v/>
      </c>
      <c r="P11" t="e">
        <f t="shared" si="5"/>
        <v>#N/A</v>
      </c>
      <c r="Q11" t="e">
        <f t="shared" si="6"/>
        <v>#N/A</v>
      </c>
    </row>
    <row r="12" spans="1:17">
      <c r="A12" s="28"/>
      <c r="B12" s="28"/>
      <c r="C12" s="28"/>
      <c r="D12" s="28"/>
      <c r="E12" s="28"/>
      <c r="F12" s="28"/>
      <c r="G12" s="26" t="str">
        <f t="shared" si="0"/>
        <v/>
      </c>
      <c r="H12" s="26" t="str">
        <f t="shared" si="7"/>
        <v/>
      </c>
      <c r="I12" s="26" t="str">
        <f t="shared" si="1"/>
        <v/>
      </c>
      <c r="J12" t="str">
        <f t="shared" si="2"/>
        <v/>
      </c>
      <c r="K12" s="26" t="str">
        <f t="shared" si="3"/>
        <v/>
      </c>
      <c r="L12" s="26" t="str">
        <f t="shared" si="4"/>
        <v/>
      </c>
      <c r="P12" t="e">
        <f t="shared" si="5"/>
        <v>#N/A</v>
      </c>
      <c r="Q12" t="e">
        <f t="shared" si="6"/>
        <v>#N/A</v>
      </c>
    </row>
    <row r="13" spans="1:17">
      <c r="A13" s="28"/>
      <c r="B13" s="28"/>
      <c r="C13" s="28"/>
      <c r="D13" s="28"/>
      <c r="E13" s="28"/>
      <c r="F13" s="28"/>
      <c r="G13" s="26" t="str">
        <f t="shared" si="0"/>
        <v/>
      </c>
      <c r="H13" s="26" t="str">
        <f t="shared" si="7"/>
        <v/>
      </c>
      <c r="I13" s="26" t="str">
        <f t="shared" si="1"/>
        <v/>
      </c>
      <c r="J13" t="str">
        <f t="shared" si="2"/>
        <v/>
      </c>
      <c r="K13" s="26" t="str">
        <f t="shared" si="3"/>
        <v/>
      </c>
      <c r="L13" s="26" t="str">
        <f t="shared" si="4"/>
        <v/>
      </c>
      <c r="P13" t="e">
        <f t="shared" si="5"/>
        <v>#N/A</v>
      </c>
      <c r="Q13" t="e">
        <f t="shared" si="6"/>
        <v>#N/A</v>
      </c>
    </row>
    <row r="14" spans="1:17">
      <c r="A14" s="28"/>
      <c r="B14" s="28"/>
      <c r="C14" s="28"/>
      <c r="D14" s="28"/>
      <c r="E14" s="28"/>
      <c r="F14" s="28"/>
      <c r="G14" s="26" t="str">
        <f t="shared" si="0"/>
        <v/>
      </c>
      <c r="H14" s="26" t="str">
        <f t="shared" si="7"/>
        <v/>
      </c>
      <c r="I14" s="26" t="str">
        <f t="shared" si="1"/>
        <v/>
      </c>
      <c r="J14" t="str">
        <f t="shared" si="2"/>
        <v/>
      </c>
      <c r="K14" s="26" t="str">
        <f t="shared" si="3"/>
        <v/>
      </c>
      <c r="L14" s="26" t="str">
        <f t="shared" si="4"/>
        <v/>
      </c>
      <c r="P14" t="e">
        <f t="shared" si="5"/>
        <v>#N/A</v>
      </c>
      <c r="Q14" t="e">
        <f t="shared" si="6"/>
        <v>#N/A</v>
      </c>
    </row>
    <row r="15" spans="1:17">
      <c r="A15" s="28"/>
      <c r="B15" s="28"/>
      <c r="C15" s="28"/>
      <c r="D15" s="28"/>
      <c r="E15" s="28"/>
      <c r="F15" s="28"/>
      <c r="G15" s="26" t="str">
        <f t="shared" si="0"/>
        <v/>
      </c>
      <c r="H15" s="26" t="str">
        <f t="shared" si="7"/>
        <v/>
      </c>
      <c r="I15" s="26" t="str">
        <f t="shared" si="1"/>
        <v/>
      </c>
      <c r="J15" t="str">
        <f t="shared" si="2"/>
        <v/>
      </c>
      <c r="K15" s="26" t="str">
        <f t="shared" si="3"/>
        <v/>
      </c>
      <c r="L15" s="26" t="str">
        <f t="shared" si="4"/>
        <v/>
      </c>
      <c r="P15" t="e">
        <f t="shared" si="5"/>
        <v>#N/A</v>
      </c>
      <c r="Q15" t="e">
        <f t="shared" si="6"/>
        <v>#N/A</v>
      </c>
    </row>
    <row r="16" spans="1:17">
      <c r="A16" s="28"/>
      <c r="B16" s="28"/>
      <c r="C16" s="28"/>
      <c r="D16" s="28"/>
      <c r="E16" s="28"/>
      <c r="F16" s="28"/>
      <c r="G16" s="26" t="str">
        <f t="shared" si="0"/>
        <v/>
      </c>
      <c r="H16" s="26" t="str">
        <f t="shared" si="7"/>
        <v/>
      </c>
      <c r="I16" s="26" t="str">
        <f t="shared" si="1"/>
        <v/>
      </c>
      <c r="J16" t="str">
        <f t="shared" si="2"/>
        <v/>
      </c>
      <c r="K16" s="26" t="str">
        <f t="shared" si="3"/>
        <v/>
      </c>
      <c r="L16" s="26" t="str">
        <f t="shared" si="4"/>
        <v/>
      </c>
      <c r="P16" t="e">
        <f t="shared" si="5"/>
        <v>#N/A</v>
      </c>
      <c r="Q16" t="e">
        <f t="shared" si="6"/>
        <v>#N/A</v>
      </c>
    </row>
    <row r="17" spans="1:17">
      <c r="A17" s="28"/>
      <c r="B17" s="28"/>
      <c r="C17" s="28"/>
      <c r="D17" s="28"/>
      <c r="E17" s="28"/>
      <c r="F17" s="28"/>
      <c r="G17" s="26" t="str">
        <f t="shared" si="0"/>
        <v/>
      </c>
      <c r="H17" s="26" t="str">
        <f t="shared" si="7"/>
        <v/>
      </c>
      <c r="I17" s="26" t="str">
        <f t="shared" si="1"/>
        <v/>
      </c>
      <c r="J17" t="str">
        <f t="shared" si="2"/>
        <v/>
      </c>
      <c r="K17" s="26" t="str">
        <f t="shared" si="3"/>
        <v/>
      </c>
      <c r="L17" s="26" t="str">
        <f t="shared" si="4"/>
        <v/>
      </c>
      <c r="P17" t="e">
        <f t="shared" si="5"/>
        <v>#N/A</v>
      </c>
      <c r="Q17" t="e">
        <f t="shared" si="6"/>
        <v>#N/A</v>
      </c>
    </row>
    <row r="18" spans="1:17">
      <c r="A18" s="28"/>
      <c r="B18" s="28"/>
      <c r="C18" s="28"/>
      <c r="D18" s="28"/>
      <c r="E18" s="28"/>
      <c r="F18" s="28"/>
      <c r="G18" s="26" t="str">
        <f t="shared" si="0"/>
        <v/>
      </c>
      <c r="H18" s="26" t="str">
        <f t="shared" si="7"/>
        <v/>
      </c>
      <c r="I18" s="26" t="str">
        <f t="shared" si="1"/>
        <v/>
      </c>
      <c r="J18" t="str">
        <f t="shared" si="2"/>
        <v/>
      </c>
      <c r="K18" s="26" t="str">
        <f t="shared" si="3"/>
        <v/>
      </c>
      <c r="L18" s="26" t="str">
        <f t="shared" si="4"/>
        <v/>
      </c>
      <c r="P18" t="e">
        <f t="shared" si="5"/>
        <v>#N/A</v>
      </c>
      <c r="Q18" t="e">
        <f t="shared" si="6"/>
        <v>#N/A</v>
      </c>
    </row>
    <row r="19" spans="1:17">
      <c r="A19" s="28"/>
      <c r="B19" s="28"/>
      <c r="C19" s="28"/>
      <c r="D19" s="28"/>
      <c r="E19" s="28"/>
      <c r="F19" s="28"/>
      <c r="G19" s="26" t="str">
        <f t="shared" si="0"/>
        <v/>
      </c>
      <c r="H19" s="26" t="str">
        <f t="shared" si="7"/>
        <v/>
      </c>
      <c r="I19" s="26" t="str">
        <f t="shared" si="1"/>
        <v/>
      </c>
      <c r="J19" t="str">
        <f t="shared" si="2"/>
        <v/>
      </c>
      <c r="K19" s="26" t="str">
        <f t="shared" si="3"/>
        <v/>
      </c>
      <c r="L19" s="26" t="str">
        <f t="shared" si="4"/>
        <v/>
      </c>
      <c r="P19" t="e">
        <f t="shared" si="5"/>
        <v>#N/A</v>
      </c>
      <c r="Q19" t="e">
        <f t="shared" si="6"/>
        <v>#N/A</v>
      </c>
    </row>
    <row r="20" spans="1:17">
      <c r="A20" s="28"/>
      <c r="B20" s="28"/>
      <c r="C20" s="28"/>
      <c r="D20" s="28"/>
      <c r="E20" s="28"/>
      <c r="F20" s="28"/>
      <c r="G20" s="26" t="str">
        <f t="shared" si="0"/>
        <v/>
      </c>
      <c r="H20" s="26" t="str">
        <f t="shared" si="7"/>
        <v/>
      </c>
      <c r="I20" s="26" t="str">
        <f t="shared" si="1"/>
        <v/>
      </c>
      <c r="J20" t="str">
        <f t="shared" si="2"/>
        <v/>
      </c>
      <c r="K20" s="26" t="str">
        <f t="shared" si="3"/>
        <v/>
      </c>
      <c r="L20" s="26" t="str">
        <f t="shared" si="4"/>
        <v/>
      </c>
      <c r="P20" t="e">
        <f t="shared" si="5"/>
        <v>#N/A</v>
      </c>
      <c r="Q20" t="e">
        <f t="shared" si="6"/>
        <v>#N/A</v>
      </c>
    </row>
    <row r="21" spans="1:17">
      <c r="A21" s="28"/>
      <c r="B21" s="28"/>
      <c r="C21" s="28"/>
      <c r="D21" s="28"/>
      <c r="E21" s="28"/>
      <c r="F21" s="28"/>
      <c r="G21" s="26" t="str">
        <f t="shared" si="0"/>
        <v/>
      </c>
      <c r="H21" s="26" t="str">
        <f t="shared" si="7"/>
        <v/>
      </c>
      <c r="I21" s="26" t="str">
        <f t="shared" si="1"/>
        <v/>
      </c>
      <c r="J21" t="str">
        <f t="shared" si="2"/>
        <v/>
      </c>
      <c r="K21" s="26" t="str">
        <f t="shared" si="3"/>
        <v/>
      </c>
      <c r="L21" s="26" t="str">
        <f t="shared" si="4"/>
        <v/>
      </c>
      <c r="P21" t="e">
        <f t="shared" si="5"/>
        <v>#N/A</v>
      </c>
      <c r="Q21" t="e">
        <f t="shared" si="6"/>
        <v>#N/A</v>
      </c>
    </row>
    <row r="22" spans="1:17">
      <c r="A22" s="28"/>
      <c r="B22" s="28"/>
      <c r="C22" s="28"/>
      <c r="D22" s="28"/>
      <c r="E22" s="28"/>
      <c r="F22" s="28"/>
      <c r="G22" s="26" t="str">
        <f t="shared" si="0"/>
        <v/>
      </c>
      <c r="H22" s="26" t="str">
        <f t="shared" si="7"/>
        <v/>
      </c>
      <c r="I22" s="26" t="str">
        <f t="shared" si="1"/>
        <v/>
      </c>
      <c r="J22" t="str">
        <f t="shared" si="2"/>
        <v/>
      </c>
      <c r="K22" s="26" t="str">
        <f t="shared" si="3"/>
        <v/>
      </c>
      <c r="L22" s="26" t="str">
        <f t="shared" si="4"/>
        <v/>
      </c>
      <c r="P22" t="e">
        <f t="shared" si="5"/>
        <v>#N/A</v>
      </c>
      <c r="Q22" t="e">
        <f t="shared" si="6"/>
        <v>#N/A</v>
      </c>
    </row>
    <row r="23" spans="1:17">
      <c r="A23" s="28"/>
      <c r="B23" s="28"/>
      <c r="C23" s="28"/>
      <c r="D23" s="28"/>
      <c r="E23" s="28"/>
      <c r="F23" s="28"/>
      <c r="G23" s="26" t="str">
        <f t="shared" si="0"/>
        <v/>
      </c>
      <c r="H23" s="26" t="str">
        <f t="shared" si="7"/>
        <v/>
      </c>
      <c r="I23" s="26" t="str">
        <f t="shared" si="1"/>
        <v/>
      </c>
      <c r="J23" t="str">
        <f t="shared" si="2"/>
        <v/>
      </c>
      <c r="K23" s="26" t="str">
        <f t="shared" si="3"/>
        <v/>
      </c>
      <c r="L23" s="26" t="str">
        <f t="shared" si="4"/>
        <v/>
      </c>
      <c r="P23" t="e">
        <f t="shared" si="5"/>
        <v>#N/A</v>
      </c>
      <c r="Q23" t="e">
        <f t="shared" si="6"/>
        <v>#N/A</v>
      </c>
    </row>
    <row r="24" spans="1:17">
      <c r="A24" s="28"/>
      <c r="B24" s="28"/>
      <c r="C24" s="28"/>
      <c r="D24" s="28"/>
      <c r="E24" s="28"/>
      <c r="F24" s="28"/>
      <c r="G24" s="26" t="str">
        <f t="shared" si="0"/>
        <v/>
      </c>
      <c r="H24" s="26" t="str">
        <f t="shared" si="7"/>
        <v/>
      </c>
      <c r="I24" s="26" t="str">
        <f t="shared" si="1"/>
        <v/>
      </c>
      <c r="J24" t="str">
        <f t="shared" si="2"/>
        <v/>
      </c>
      <c r="K24" s="26" t="str">
        <f t="shared" si="3"/>
        <v/>
      </c>
      <c r="L24" s="26" t="str">
        <f t="shared" si="4"/>
        <v/>
      </c>
      <c r="P24" t="e">
        <f t="shared" si="5"/>
        <v>#N/A</v>
      </c>
      <c r="Q24" t="e">
        <f t="shared" si="6"/>
        <v>#N/A</v>
      </c>
    </row>
    <row r="25" spans="1:17">
      <c r="A25" s="28"/>
      <c r="B25" s="28"/>
      <c r="C25" s="28"/>
      <c r="D25" s="28"/>
      <c r="E25" s="28"/>
      <c r="F25" s="28"/>
      <c r="G25" s="26" t="str">
        <f t="shared" si="0"/>
        <v/>
      </c>
      <c r="H25" s="26" t="str">
        <f t="shared" si="7"/>
        <v/>
      </c>
      <c r="I25" s="26" t="str">
        <f t="shared" si="1"/>
        <v/>
      </c>
      <c r="J25" t="str">
        <f t="shared" si="2"/>
        <v/>
      </c>
      <c r="K25" s="26" t="str">
        <f t="shared" si="3"/>
        <v/>
      </c>
      <c r="L25" s="26" t="str">
        <f t="shared" si="4"/>
        <v/>
      </c>
      <c r="P25" t="e">
        <f t="shared" si="5"/>
        <v>#N/A</v>
      </c>
      <c r="Q25" t="e">
        <f t="shared" si="6"/>
        <v>#N/A</v>
      </c>
    </row>
    <row r="26" spans="1:17">
      <c r="A26" s="28"/>
      <c r="B26" s="28"/>
      <c r="C26" s="28"/>
      <c r="D26" s="28"/>
      <c r="E26" s="28"/>
      <c r="F26" s="28"/>
      <c r="G26" s="26" t="str">
        <f t="shared" si="0"/>
        <v/>
      </c>
      <c r="H26" s="26" t="str">
        <f t="shared" si="7"/>
        <v/>
      </c>
      <c r="I26" s="26" t="str">
        <f t="shared" si="1"/>
        <v/>
      </c>
      <c r="J26" t="str">
        <f t="shared" si="2"/>
        <v/>
      </c>
      <c r="K26" s="26" t="str">
        <f t="shared" si="3"/>
        <v/>
      </c>
      <c r="L26" s="26" t="str">
        <f t="shared" si="4"/>
        <v/>
      </c>
      <c r="P26" t="e">
        <f t="shared" si="5"/>
        <v>#N/A</v>
      </c>
      <c r="Q26" t="e">
        <f t="shared" si="6"/>
        <v>#N/A</v>
      </c>
    </row>
    <row r="27" spans="1:17">
      <c r="A27" s="28"/>
      <c r="B27" s="28"/>
      <c r="C27" s="28"/>
      <c r="D27" s="28"/>
      <c r="E27" s="28"/>
      <c r="F27" s="28"/>
      <c r="G27" s="26" t="str">
        <f t="shared" si="0"/>
        <v/>
      </c>
      <c r="H27" s="26" t="str">
        <f t="shared" si="7"/>
        <v/>
      </c>
      <c r="I27" s="26" t="str">
        <f t="shared" si="1"/>
        <v/>
      </c>
      <c r="J27" t="str">
        <f t="shared" si="2"/>
        <v/>
      </c>
      <c r="K27" s="26" t="str">
        <f t="shared" si="3"/>
        <v/>
      </c>
      <c r="L27" s="26" t="str">
        <f t="shared" si="4"/>
        <v/>
      </c>
      <c r="P27" t="e">
        <f t="shared" si="5"/>
        <v>#N/A</v>
      </c>
      <c r="Q27" t="e">
        <f t="shared" si="6"/>
        <v>#N/A</v>
      </c>
    </row>
    <row r="28" spans="1:17">
      <c r="A28" s="28"/>
      <c r="B28" s="28"/>
      <c r="C28" s="28"/>
      <c r="D28" s="28"/>
      <c r="E28" s="28"/>
      <c r="F28" s="28"/>
      <c r="G28" s="26" t="str">
        <f t="shared" si="0"/>
        <v/>
      </c>
      <c r="H28" s="26" t="str">
        <f t="shared" si="7"/>
        <v/>
      </c>
      <c r="I28" s="26" t="str">
        <f t="shared" si="1"/>
        <v/>
      </c>
      <c r="J28" t="str">
        <f t="shared" si="2"/>
        <v/>
      </c>
      <c r="K28" s="26" t="str">
        <f t="shared" si="3"/>
        <v/>
      </c>
      <c r="L28" s="26" t="str">
        <f t="shared" si="4"/>
        <v/>
      </c>
      <c r="P28" t="e">
        <f t="shared" si="5"/>
        <v>#N/A</v>
      </c>
      <c r="Q28" t="e">
        <f t="shared" si="6"/>
        <v>#N/A</v>
      </c>
    </row>
    <row r="29" spans="1:17">
      <c r="A29" s="28"/>
      <c r="B29" s="28"/>
      <c r="C29" s="28"/>
      <c r="D29" s="28"/>
      <c r="E29" s="28"/>
      <c r="F29" s="28"/>
      <c r="G29" s="26" t="str">
        <f t="shared" si="0"/>
        <v/>
      </c>
      <c r="H29" s="26" t="str">
        <f t="shared" si="7"/>
        <v/>
      </c>
      <c r="I29" s="26" t="str">
        <f t="shared" si="1"/>
        <v/>
      </c>
      <c r="J29" t="str">
        <f t="shared" si="2"/>
        <v/>
      </c>
      <c r="K29" s="26" t="str">
        <f t="shared" si="3"/>
        <v/>
      </c>
      <c r="L29" s="26" t="str">
        <f t="shared" si="4"/>
        <v/>
      </c>
      <c r="P29" t="e">
        <f t="shared" si="5"/>
        <v>#N/A</v>
      </c>
      <c r="Q29" t="e">
        <f t="shared" si="6"/>
        <v>#N/A</v>
      </c>
    </row>
    <row r="30" spans="1:17">
      <c r="A30" s="28"/>
      <c r="B30" s="28"/>
      <c r="C30" s="28"/>
      <c r="D30" s="28"/>
      <c r="E30" s="28"/>
      <c r="F30" s="28"/>
      <c r="G30" s="26" t="str">
        <f t="shared" si="0"/>
        <v/>
      </c>
      <c r="H30" s="26" t="str">
        <f t="shared" si="7"/>
        <v/>
      </c>
      <c r="I30" s="26" t="str">
        <f t="shared" si="1"/>
        <v/>
      </c>
      <c r="J30" t="str">
        <f t="shared" si="2"/>
        <v/>
      </c>
      <c r="K30" s="26" t="str">
        <f t="shared" si="3"/>
        <v/>
      </c>
      <c r="L30" s="26" t="str">
        <f t="shared" si="4"/>
        <v/>
      </c>
      <c r="P30" t="e">
        <f t="shared" si="5"/>
        <v>#N/A</v>
      </c>
      <c r="Q30" t="e">
        <f t="shared" si="6"/>
        <v>#N/A</v>
      </c>
    </row>
    <row r="31" spans="1:17">
      <c r="A31" s="28"/>
      <c r="B31" s="28"/>
      <c r="C31" s="28"/>
      <c r="D31" s="28"/>
      <c r="E31" s="28"/>
      <c r="F31" s="28"/>
      <c r="G31" s="26" t="str">
        <f t="shared" si="0"/>
        <v/>
      </c>
      <c r="H31" s="26" t="str">
        <f t="shared" si="7"/>
        <v/>
      </c>
      <c r="I31" s="26" t="str">
        <f t="shared" si="1"/>
        <v/>
      </c>
      <c r="J31" t="str">
        <f t="shared" si="2"/>
        <v/>
      </c>
      <c r="K31" s="26" t="str">
        <f t="shared" si="3"/>
        <v/>
      </c>
      <c r="L31" s="26" t="str">
        <f t="shared" si="4"/>
        <v/>
      </c>
      <c r="P31" t="e">
        <f t="shared" si="5"/>
        <v>#N/A</v>
      </c>
      <c r="Q31" t="e">
        <f t="shared" si="6"/>
        <v>#N/A</v>
      </c>
    </row>
    <row r="32" spans="1:17">
      <c r="A32" s="28"/>
      <c r="B32" s="28"/>
      <c r="C32" s="28"/>
      <c r="D32" s="28"/>
      <c r="E32" s="28"/>
      <c r="F32" s="28"/>
      <c r="G32" s="26" t="str">
        <f t="shared" si="0"/>
        <v/>
      </c>
      <c r="H32" s="26" t="str">
        <f t="shared" si="7"/>
        <v/>
      </c>
      <c r="I32" s="26" t="str">
        <f t="shared" si="1"/>
        <v/>
      </c>
      <c r="J32" t="str">
        <f t="shared" si="2"/>
        <v/>
      </c>
      <c r="K32" s="26" t="str">
        <f t="shared" si="3"/>
        <v/>
      </c>
      <c r="L32" s="26" t="str">
        <f t="shared" si="4"/>
        <v/>
      </c>
      <c r="P32" t="e">
        <f t="shared" si="5"/>
        <v>#N/A</v>
      </c>
      <c r="Q32" t="e">
        <f t="shared" si="6"/>
        <v>#N/A</v>
      </c>
    </row>
    <row r="33" spans="1:17">
      <c r="A33" s="28"/>
      <c r="B33" s="28"/>
      <c r="C33" s="28"/>
      <c r="D33" s="28"/>
      <c r="E33" s="28"/>
      <c r="F33" s="28"/>
      <c r="G33" s="26" t="str">
        <f t="shared" si="0"/>
        <v/>
      </c>
      <c r="H33" s="26" t="str">
        <f t="shared" si="7"/>
        <v/>
      </c>
      <c r="I33" s="26" t="str">
        <f t="shared" si="1"/>
        <v/>
      </c>
      <c r="J33" t="str">
        <f t="shared" si="2"/>
        <v/>
      </c>
      <c r="K33" s="26" t="str">
        <f t="shared" si="3"/>
        <v/>
      </c>
      <c r="L33" s="26" t="str">
        <f t="shared" si="4"/>
        <v/>
      </c>
      <c r="P33" t="e">
        <f t="shared" si="5"/>
        <v>#N/A</v>
      </c>
      <c r="Q33" t="e">
        <f t="shared" si="6"/>
        <v>#N/A</v>
      </c>
    </row>
    <row r="34" spans="1:17">
      <c r="A34" s="28"/>
      <c r="B34" s="28"/>
      <c r="C34" s="28"/>
      <c r="D34" s="28"/>
      <c r="E34" s="28"/>
      <c r="F34" s="28"/>
      <c r="G34" s="26" t="str">
        <f t="shared" si="0"/>
        <v/>
      </c>
      <c r="H34" s="26" t="str">
        <f t="shared" si="7"/>
        <v/>
      </c>
      <c r="I34" s="26" t="str">
        <f t="shared" si="1"/>
        <v/>
      </c>
      <c r="J34" t="str">
        <f t="shared" si="2"/>
        <v/>
      </c>
      <c r="K34" s="26" t="str">
        <f t="shared" si="3"/>
        <v/>
      </c>
      <c r="L34" s="26" t="str">
        <f t="shared" si="4"/>
        <v/>
      </c>
      <c r="P34" t="e">
        <f t="shared" si="5"/>
        <v>#N/A</v>
      </c>
      <c r="Q34" t="e">
        <f t="shared" si="6"/>
        <v>#N/A</v>
      </c>
    </row>
    <row r="35" spans="1:17">
      <c r="A35" s="28"/>
      <c r="B35" s="28"/>
      <c r="C35" s="28"/>
      <c r="D35" s="28"/>
      <c r="E35" s="28"/>
      <c r="F35" s="28"/>
      <c r="G35" s="26" t="str">
        <f t="shared" si="0"/>
        <v/>
      </c>
      <c r="H35" s="26" t="str">
        <f t="shared" si="7"/>
        <v/>
      </c>
      <c r="I35" s="26" t="str">
        <f t="shared" si="1"/>
        <v/>
      </c>
      <c r="J35" t="str">
        <f t="shared" si="2"/>
        <v/>
      </c>
      <c r="K35" s="26" t="str">
        <f t="shared" si="3"/>
        <v/>
      </c>
      <c r="L35" s="26" t="str">
        <f t="shared" si="4"/>
        <v/>
      </c>
      <c r="P35" t="e">
        <f t="shared" si="5"/>
        <v>#N/A</v>
      </c>
      <c r="Q35" t="e">
        <f t="shared" si="6"/>
        <v>#N/A</v>
      </c>
    </row>
    <row r="36" spans="1:17">
      <c r="A36" s="28"/>
      <c r="B36" s="28"/>
      <c r="C36" s="28"/>
      <c r="D36" s="28"/>
      <c r="E36" s="28"/>
      <c r="F36" s="28"/>
      <c r="G36" s="26" t="str">
        <f t="shared" si="0"/>
        <v/>
      </c>
      <c r="H36" s="26" t="str">
        <f t="shared" si="7"/>
        <v/>
      </c>
      <c r="I36" s="26" t="str">
        <f t="shared" si="1"/>
        <v/>
      </c>
      <c r="J36" t="str">
        <f t="shared" si="2"/>
        <v/>
      </c>
      <c r="K36" s="26" t="str">
        <f t="shared" si="3"/>
        <v/>
      </c>
      <c r="L36" s="26" t="str">
        <f t="shared" si="4"/>
        <v/>
      </c>
      <c r="P36" t="e">
        <f t="shared" si="5"/>
        <v>#N/A</v>
      </c>
      <c r="Q36" t="e">
        <f t="shared" si="6"/>
        <v>#N/A</v>
      </c>
    </row>
    <row r="37" spans="1:17">
      <c r="A37" s="28"/>
      <c r="B37" s="28"/>
      <c r="C37" s="28"/>
      <c r="D37" s="28"/>
      <c r="E37" s="28"/>
      <c r="F37" s="28"/>
      <c r="G37" s="26" t="str">
        <f t="shared" si="0"/>
        <v/>
      </c>
      <c r="H37" s="26" t="str">
        <f t="shared" si="7"/>
        <v/>
      </c>
      <c r="I37" s="26" t="str">
        <f t="shared" si="1"/>
        <v/>
      </c>
      <c r="J37" t="str">
        <f t="shared" si="2"/>
        <v/>
      </c>
      <c r="K37" s="26" t="str">
        <f t="shared" si="3"/>
        <v/>
      </c>
      <c r="L37" s="26" t="str">
        <f t="shared" si="4"/>
        <v/>
      </c>
      <c r="P37" t="e">
        <f t="shared" si="5"/>
        <v>#N/A</v>
      </c>
      <c r="Q37" t="e">
        <f t="shared" si="6"/>
        <v>#N/A</v>
      </c>
    </row>
    <row r="38" spans="1:17">
      <c r="A38" s="28"/>
      <c r="B38" s="28"/>
      <c r="C38" s="28"/>
      <c r="D38" s="28"/>
      <c r="E38" s="28"/>
      <c r="F38" s="28"/>
      <c r="G38" s="26" t="str">
        <f t="shared" si="0"/>
        <v/>
      </c>
      <c r="H38" s="26" t="str">
        <f t="shared" si="7"/>
        <v/>
      </c>
      <c r="I38" s="26" t="str">
        <f t="shared" si="1"/>
        <v/>
      </c>
      <c r="J38" t="str">
        <f t="shared" si="2"/>
        <v/>
      </c>
      <c r="K38" s="26" t="str">
        <f t="shared" si="3"/>
        <v/>
      </c>
      <c r="L38" s="26" t="str">
        <f t="shared" si="4"/>
        <v/>
      </c>
      <c r="P38" t="e">
        <f t="shared" si="5"/>
        <v>#N/A</v>
      </c>
      <c r="Q38" t="e">
        <f t="shared" si="6"/>
        <v>#N/A</v>
      </c>
    </row>
    <row r="39" spans="1:17">
      <c r="A39" s="28"/>
      <c r="B39" s="28"/>
      <c r="C39" s="28"/>
      <c r="D39" s="28"/>
      <c r="E39" s="28"/>
      <c r="F39" s="28"/>
      <c r="G39" s="26" t="str">
        <f t="shared" si="0"/>
        <v/>
      </c>
      <c r="H39" s="26" t="str">
        <f t="shared" si="7"/>
        <v/>
      </c>
      <c r="I39" s="26" t="str">
        <f t="shared" si="1"/>
        <v/>
      </c>
      <c r="J39" t="str">
        <f t="shared" si="2"/>
        <v/>
      </c>
      <c r="K39" s="26" t="str">
        <f t="shared" si="3"/>
        <v/>
      </c>
      <c r="L39" s="26" t="str">
        <f t="shared" si="4"/>
        <v/>
      </c>
      <c r="P39" t="e">
        <f t="shared" si="5"/>
        <v>#N/A</v>
      </c>
      <c r="Q39" t="e">
        <f t="shared" si="6"/>
        <v>#N/A</v>
      </c>
    </row>
    <row r="40" spans="1:17">
      <c r="A40" s="28"/>
      <c r="B40" s="28"/>
      <c r="C40" s="28"/>
      <c r="D40" s="28"/>
      <c r="E40" s="28"/>
      <c r="F40" s="28"/>
      <c r="G40" s="26" t="str">
        <f t="shared" si="0"/>
        <v/>
      </c>
      <c r="H40" s="26" t="str">
        <f t="shared" si="7"/>
        <v/>
      </c>
      <c r="I40" s="26" t="str">
        <f t="shared" si="1"/>
        <v/>
      </c>
      <c r="J40" t="str">
        <f t="shared" si="2"/>
        <v/>
      </c>
      <c r="K40" s="26" t="str">
        <f t="shared" si="3"/>
        <v/>
      </c>
      <c r="L40" s="26" t="str">
        <f t="shared" si="4"/>
        <v/>
      </c>
      <c r="P40" t="e">
        <f t="shared" si="5"/>
        <v>#N/A</v>
      </c>
      <c r="Q40" t="e">
        <f t="shared" si="6"/>
        <v>#N/A</v>
      </c>
    </row>
    <row r="41" spans="1:17">
      <c r="A41" s="28"/>
      <c r="B41" s="28"/>
      <c r="C41" s="28"/>
      <c r="D41" s="28"/>
      <c r="E41" s="28"/>
      <c r="F41" s="28"/>
      <c r="G41" s="26" t="str">
        <f t="shared" si="0"/>
        <v/>
      </c>
      <c r="H41" s="26" t="str">
        <f t="shared" si="7"/>
        <v/>
      </c>
      <c r="I41" s="26" t="str">
        <f t="shared" si="1"/>
        <v/>
      </c>
      <c r="J41" t="str">
        <f t="shared" si="2"/>
        <v/>
      </c>
      <c r="K41" s="26" t="str">
        <f t="shared" si="3"/>
        <v/>
      </c>
      <c r="L41" s="26" t="str">
        <f t="shared" si="4"/>
        <v/>
      </c>
      <c r="P41" t="e">
        <f t="shared" si="5"/>
        <v>#N/A</v>
      </c>
      <c r="Q41" t="e">
        <f t="shared" si="6"/>
        <v>#N/A</v>
      </c>
    </row>
    <row r="42" spans="1:17">
      <c r="A42" s="28"/>
      <c r="B42" s="28"/>
      <c r="C42" s="28"/>
      <c r="D42" s="28"/>
      <c r="E42" s="28"/>
      <c r="F42" s="28"/>
      <c r="G42" s="26" t="str">
        <f t="shared" si="0"/>
        <v/>
      </c>
      <c r="H42" s="26" t="str">
        <f t="shared" si="7"/>
        <v/>
      </c>
      <c r="I42" s="26" t="str">
        <f t="shared" si="1"/>
        <v/>
      </c>
      <c r="J42" t="str">
        <f t="shared" si="2"/>
        <v/>
      </c>
      <c r="K42" s="26" t="str">
        <f t="shared" si="3"/>
        <v/>
      </c>
      <c r="L42" s="26" t="str">
        <f t="shared" si="4"/>
        <v/>
      </c>
      <c r="P42" t="e">
        <f t="shared" si="5"/>
        <v>#N/A</v>
      </c>
      <c r="Q42" t="e">
        <f t="shared" si="6"/>
        <v>#N/A</v>
      </c>
    </row>
    <row r="43" spans="1:17">
      <c r="A43" s="28"/>
      <c r="B43" s="28"/>
      <c r="C43" s="28"/>
      <c r="D43" s="28"/>
      <c r="E43" s="28"/>
      <c r="F43" s="28"/>
      <c r="G43" s="26" t="str">
        <f t="shared" si="0"/>
        <v/>
      </c>
      <c r="H43" s="26" t="str">
        <f t="shared" si="7"/>
        <v/>
      </c>
      <c r="I43" s="26" t="str">
        <f t="shared" si="1"/>
        <v/>
      </c>
      <c r="J43" t="str">
        <f t="shared" si="2"/>
        <v/>
      </c>
      <c r="K43" s="26" t="str">
        <f t="shared" si="3"/>
        <v/>
      </c>
      <c r="L43" s="26" t="str">
        <f t="shared" si="4"/>
        <v/>
      </c>
      <c r="P43" t="e">
        <f t="shared" si="5"/>
        <v>#N/A</v>
      </c>
      <c r="Q43" t="e">
        <f t="shared" si="6"/>
        <v>#N/A</v>
      </c>
    </row>
    <row r="44" spans="1:17">
      <c r="A44" s="28"/>
      <c r="B44" s="28"/>
      <c r="C44" s="28"/>
      <c r="D44" s="28"/>
      <c r="E44" s="28"/>
      <c r="F44" s="28"/>
      <c r="G44" s="26" t="str">
        <f t="shared" si="0"/>
        <v/>
      </c>
      <c r="H44" s="26" t="str">
        <f t="shared" si="7"/>
        <v/>
      </c>
      <c r="I44" s="26" t="str">
        <f t="shared" si="1"/>
        <v/>
      </c>
      <c r="J44" t="str">
        <f t="shared" si="2"/>
        <v/>
      </c>
      <c r="K44" s="26" t="str">
        <f t="shared" si="3"/>
        <v/>
      </c>
      <c r="L44" s="26" t="str">
        <f t="shared" si="4"/>
        <v/>
      </c>
      <c r="P44" t="e">
        <f t="shared" si="5"/>
        <v>#N/A</v>
      </c>
      <c r="Q44" t="e">
        <f t="shared" si="6"/>
        <v>#N/A</v>
      </c>
    </row>
    <row r="45" spans="1:17">
      <c r="A45" s="28"/>
      <c r="B45" s="28"/>
      <c r="C45" s="28"/>
      <c r="D45" s="28"/>
      <c r="E45" s="28"/>
      <c r="F45" s="28"/>
      <c r="G45" s="26" t="str">
        <f t="shared" si="0"/>
        <v/>
      </c>
      <c r="H45" s="26" t="str">
        <f t="shared" si="7"/>
        <v/>
      </c>
      <c r="I45" s="26" t="str">
        <f t="shared" si="1"/>
        <v/>
      </c>
      <c r="J45" t="str">
        <f t="shared" si="2"/>
        <v/>
      </c>
      <c r="K45" s="26" t="str">
        <f t="shared" si="3"/>
        <v/>
      </c>
      <c r="L45" s="26" t="str">
        <f t="shared" si="4"/>
        <v/>
      </c>
      <c r="P45" t="e">
        <f t="shared" si="5"/>
        <v>#N/A</v>
      </c>
      <c r="Q45" t="e">
        <f t="shared" si="6"/>
        <v>#N/A</v>
      </c>
    </row>
    <row r="46" spans="1:17">
      <c r="A46" s="28"/>
      <c r="B46" s="28"/>
      <c r="C46" s="28"/>
      <c r="D46" s="28"/>
      <c r="E46" s="28"/>
      <c r="F46" s="28"/>
      <c r="G46" s="26" t="str">
        <f t="shared" si="0"/>
        <v/>
      </c>
      <c r="H46" s="26" t="str">
        <f t="shared" si="7"/>
        <v/>
      </c>
      <c r="I46" s="26" t="str">
        <f t="shared" si="1"/>
        <v/>
      </c>
      <c r="J46" t="str">
        <f t="shared" si="2"/>
        <v/>
      </c>
      <c r="K46" s="26" t="str">
        <f t="shared" si="3"/>
        <v/>
      </c>
      <c r="L46" s="26" t="str">
        <f t="shared" si="4"/>
        <v/>
      </c>
      <c r="P46" t="e">
        <f t="shared" si="5"/>
        <v>#N/A</v>
      </c>
      <c r="Q46" t="e">
        <f t="shared" si="6"/>
        <v>#N/A</v>
      </c>
    </row>
    <row r="47" spans="1:17">
      <c r="A47" s="28"/>
      <c r="B47" s="28"/>
      <c r="C47" s="28"/>
      <c r="D47" s="28"/>
      <c r="E47" s="28"/>
      <c r="F47" s="28"/>
      <c r="G47" s="26" t="str">
        <f t="shared" si="0"/>
        <v/>
      </c>
      <c r="H47" s="26" t="str">
        <f t="shared" si="7"/>
        <v/>
      </c>
      <c r="I47" s="26" t="str">
        <f t="shared" si="1"/>
        <v/>
      </c>
      <c r="J47" t="str">
        <f t="shared" si="2"/>
        <v/>
      </c>
      <c r="K47" s="26" t="str">
        <f t="shared" si="3"/>
        <v/>
      </c>
      <c r="L47" s="26" t="str">
        <f t="shared" si="4"/>
        <v/>
      </c>
      <c r="P47" t="e">
        <f t="shared" si="5"/>
        <v>#N/A</v>
      </c>
      <c r="Q47" t="e">
        <f t="shared" si="6"/>
        <v>#N/A</v>
      </c>
    </row>
    <row r="48" spans="1:17">
      <c r="A48" s="28"/>
      <c r="B48" s="28"/>
      <c r="C48" s="28"/>
      <c r="D48" s="28"/>
      <c r="E48" s="28"/>
      <c r="F48" s="28"/>
      <c r="G48" s="26" t="str">
        <f t="shared" si="0"/>
        <v/>
      </c>
      <c r="H48" s="26" t="str">
        <f t="shared" si="7"/>
        <v/>
      </c>
      <c r="I48" s="26" t="str">
        <f t="shared" si="1"/>
        <v/>
      </c>
      <c r="J48" t="str">
        <f t="shared" si="2"/>
        <v/>
      </c>
      <c r="K48" s="26" t="str">
        <f t="shared" si="3"/>
        <v/>
      </c>
      <c r="L48" s="26" t="str">
        <f t="shared" si="4"/>
        <v/>
      </c>
      <c r="P48" t="e">
        <f t="shared" si="5"/>
        <v>#N/A</v>
      </c>
      <c r="Q48" t="e">
        <f t="shared" si="6"/>
        <v>#N/A</v>
      </c>
    </row>
    <row r="49" spans="1:17">
      <c r="A49" s="28"/>
      <c r="B49" s="28"/>
      <c r="C49" s="28"/>
      <c r="D49" s="28"/>
      <c r="E49" s="28"/>
      <c r="F49" s="28"/>
      <c r="G49" s="26" t="str">
        <f t="shared" si="0"/>
        <v/>
      </c>
      <c r="H49" s="26" t="str">
        <f t="shared" si="7"/>
        <v/>
      </c>
      <c r="I49" s="26" t="str">
        <f t="shared" si="1"/>
        <v/>
      </c>
      <c r="J49" t="str">
        <f t="shared" si="2"/>
        <v/>
      </c>
      <c r="K49" s="26" t="str">
        <f t="shared" si="3"/>
        <v/>
      </c>
      <c r="L49" s="26" t="str">
        <f t="shared" si="4"/>
        <v/>
      </c>
      <c r="P49" t="e">
        <f t="shared" si="5"/>
        <v>#N/A</v>
      </c>
      <c r="Q49" t="e">
        <f t="shared" si="6"/>
        <v>#N/A</v>
      </c>
    </row>
    <row r="50" spans="1:17">
      <c r="A50" s="28"/>
      <c r="B50" s="28"/>
      <c r="C50" s="28"/>
      <c r="D50" s="28"/>
      <c r="E50" s="28"/>
      <c r="F50" s="28"/>
      <c r="G50" s="26" t="str">
        <f t="shared" si="0"/>
        <v/>
      </c>
      <c r="H50" s="26" t="str">
        <f t="shared" si="7"/>
        <v/>
      </c>
      <c r="I50" s="26" t="str">
        <f t="shared" si="1"/>
        <v/>
      </c>
      <c r="J50" t="str">
        <f t="shared" si="2"/>
        <v/>
      </c>
      <c r="K50" s="26" t="str">
        <f t="shared" si="3"/>
        <v/>
      </c>
      <c r="L50" s="26" t="str">
        <f t="shared" si="4"/>
        <v/>
      </c>
      <c r="P50" t="e">
        <f t="shared" si="5"/>
        <v>#N/A</v>
      </c>
      <c r="Q50" t="e">
        <f t="shared" si="6"/>
        <v>#N/A</v>
      </c>
    </row>
    <row r="51" spans="1:17">
      <c r="A51" s="28"/>
      <c r="B51" s="28"/>
      <c r="C51" s="28"/>
      <c r="D51" s="28"/>
      <c r="E51" s="28"/>
      <c r="F51" s="28"/>
      <c r="G51" s="26" t="str">
        <f t="shared" si="0"/>
        <v/>
      </c>
      <c r="H51" s="26" t="str">
        <f t="shared" si="7"/>
        <v/>
      </c>
      <c r="I51" s="26" t="str">
        <f t="shared" si="1"/>
        <v/>
      </c>
      <c r="J51" t="str">
        <f t="shared" si="2"/>
        <v/>
      </c>
      <c r="K51" s="26" t="str">
        <f t="shared" si="3"/>
        <v/>
      </c>
      <c r="L51" s="26" t="str">
        <f t="shared" si="4"/>
        <v/>
      </c>
      <c r="P51" t="e">
        <f t="shared" si="5"/>
        <v>#N/A</v>
      </c>
      <c r="Q51" t="e">
        <f t="shared" si="6"/>
        <v>#N/A</v>
      </c>
    </row>
    <row r="52" spans="1:17">
      <c r="A52" s="28"/>
      <c r="B52" s="28"/>
      <c r="C52" s="28"/>
      <c r="D52" s="28"/>
      <c r="E52" s="28"/>
      <c r="F52" s="28"/>
      <c r="G52" s="26" t="str">
        <f t="shared" si="0"/>
        <v/>
      </c>
      <c r="H52" s="26" t="str">
        <f t="shared" si="7"/>
        <v/>
      </c>
      <c r="I52" s="26" t="str">
        <f t="shared" si="1"/>
        <v/>
      </c>
      <c r="J52" t="str">
        <f t="shared" si="2"/>
        <v/>
      </c>
      <c r="K52" s="26" t="str">
        <f t="shared" si="3"/>
        <v/>
      </c>
      <c r="L52" s="26" t="str">
        <f t="shared" si="4"/>
        <v/>
      </c>
      <c r="P52" t="e">
        <f t="shared" si="5"/>
        <v>#N/A</v>
      </c>
      <c r="Q52" t="e">
        <f t="shared" si="6"/>
        <v>#N/A</v>
      </c>
    </row>
    <row r="53" spans="1:17">
      <c r="A53" s="28"/>
      <c r="B53" s="28"/>
      <c r="C53" s="28"/>
      <c r="D53" s="28"/>
      <c r="E53" s="28"/>
      <c r="F53" s="28"/>
      <c r="G53" s="26" t="str">
        <f t="shared" si="0"/>
        <v/>
      </c>
      <c r="H53" s="26" t="str">
        <f t="shared" si="7"/>
        <v/>
      </c>
      <c r="I53" s="26" t="str">
        <f t="shared" si="1"/>
        <v/>
      </c>
      <c r="J53" t="str">
        <f t="shared" si="2"/>
        <v/>
      </c>
      <c r="K53" s="26" t="str">
        <f t="shared" si="3"/>
        <v/>
      </c>
      <c r="L53" s="26" t="str">
        <f t="shared" si="4"/>
        <v/>
      </c>
      <c r="P53" t="e">
        <f t="shared" si="5"/>
        <v>#N/A</v>
      </c>
      <c r="Q53" t="e">
        <f t="shared" si="6"/>
        <v>#N/A</v>
      </c>
    </row>
    <row r="54" spans="1:17">
      <c r="A54" s="28"/>
      <c r="B54" s="28"/>
      <c r="C54" s="28"/>
      <c r="D54" s="28"/>
      <c r="E54" s="28"/>
      <c r="F54" s="28"/>
      <c r="G54" s="26" t="str">
        <f t="shared" si="0"/>
        <v/>
      </c>
      <c r="H54" s="26" t="str">
        <f t="shared" si="7"/>
        <v/>
      </c>
      <c r="I54" s="26" t="str">
        <f t="shared" si="1"/>
        <v/>
      </c>
      <c r="J54" t="str">
        <f t="shared" si="2"/>
        <v/>
      </c>
      <c r="K54" s="26" t="str">
        <f t="shared" si="3"/>
        <v/>
      </c>
      <c r="L54" s="26" t="str">
        <f t="shared" si="4"/>
        <v/>
      </c>
      <c r="P54" t="e">
        <f t="shared" si="5"/>
        <v>#N/A</v>
      </c>
      <c r="Q54" t="e">
        <f t="shared" si="6"/>
        <v>#N/A</v>
      </c>
    </row>
    <row r="55" spans="1:17">
      <c r="A55" s="28"/>
      <c r="B55" s="28"/>
      <c r="C55" s="28"/>
      <c r="D55" s="28"/>
      <c r="E55" s="28"/>
      <c r="F55" s="28"/>
      <c r="G55" s="26" t="str">
        <f t="shared" si="0"/>
        <v/>
      </c>
      <c r="H55" s="26" t="str">
        <f t="shared" si="7"/>
        <v/>
      </c>
      <c r="I55" s="26" t="str">
        <f t="shared" si="1"/>
        <v/>
      </c>
      <c r="J55" t="str">
        <f t="shared" si="2"/>
        <v/>
      </c>
      <c r="K55" s="26" t="str">
        <f t="shared" si="3"/>
        <v/>
      </c>
      <c r="L55" s="26" t="str">
        <f t="shared" si="4"/>
        <v/>
      </c>
      <c r="P55" t="e">
        <f t="shared" si="5"/>
        <v>#N/A</v>
      </c>
      <c r="Q55" t="e">
        <f t="shared" si="6"/>
        <v>#N/A</v>
      </c>
    </row>
    <row r="56" spans="1:17">
      <c r="A56" s="28"/>
      <c r="B56" s="28"/>
      <c r="C56" s="28"/>
      <c r="D56" s="28"/>
      <c r="E56" s="28"/>
      <c r="F56" s="28"/>
      <c r="G56" s="26" t="str">
        <f t="shared" si="0"/>
        <v/>
      </c>
      <c r="H56" s="26" t="str">
        <f t="shared" si="7"/>
        <v/>
      </c>
      <c r="I56" s="26" t="str">
        <f t="shared" si="1"/>
        <v/>
      </c>
      <c r="J56" t="str">
        <f t="shared" si="2"/>
        <v/>
      </c>
      <c r="K56" s="26" t="str">
        <f t="shared" si="3"/>
        <v/>
      </c>
      <c r="L56" s="26" t="str">
        <f t="shared" si="4"/>
        <v/>
      </c>
      <c r="P56" t="e">
        <f t="shared" si="5"/>
        <v>#N/A</v>
      </c>
      <c r="Q56" t="e">
        <f t="shared" si="6"/>
        <v>#N/A</v>
      </c>
    </row>
    <row r="57" spans="1:17">
      <c r="A57" s="28"/>
      <c r="B57" s="28"/>
      <c r="C57" s="28"/>
      <c r="D57" s="28"/>
      <c r="E57" s="28"/>
      <c r="F57" s="28"/>
      <c r="G57" s="26" t="str">
        <f t="shared" si="0"/>
        <v/>
      </c>
      <c r="H57" s="26" t="str">
        <f t="shared" si="7"/>
        <v/>
      </c>
      <c r="I57" s="26" t="str">
        <f t="shared" si="1"/>
        <v/>
      </c>
      <c r="J57" t="str">
        <f t="shared" si="2"/>
        <v/>
      </c>
      <c r="K57" s="26" t="str">
        <f t="shared" si="3"/>
        <v/>
      </c>
      <c r="L57" s="26" t="str">
        <f t="shared" si="4"/>
        <v/>
      </c>
      <c r="P57" t="e">
        <f t="shared" si="5"/>
        <v>#N/A</v>
      </c>
      <c r="Q57" t="e">
        <f t="shared" si="6"/>
        <v>#N/A</v>
      </c>
    </row>
    <row r="58" spans="1:17">
      <c r="A58" s="28"/>
      <c r="B58" s="28"/>
      <c r="C58" s="28"/>
      <c r="D58" s="28"/>
      <c r="E58" s="28"/>
      <c r="F58" s="28"/>
      <c r="G58" s="26" t="str">
        <f t="shared" si="0"/>
        <v/>
      </c>
      <c r="H58" s="26" t="str">
        <f t="shared" si="7"/>
        <v/>
      </c>
      <c r="I58" s="26" t="str">
        <f t="shared" si="1"/>
        <v/>
      </c>
      <c r="J58" t="str">
        <f t="shared" si="2"/>
        <v/>
      </c>
      <c r="K58" s="26" t="str">
        <f t="shared" si="3"/>
        <v/>
      </c>
      <c r="L58" s="26" t="str">
        <f t="shared" si="4"/>
        <v/>
      </c>
      <c r="P58" t="e">
        <f t="shared" si="5"/>
        <v>#N/A</v>
      </c>
      <c r="Q58" t="e">
        <f t="shared" si="6"/>
        <v>#N/A</v>
      </c>
    </row>
    <row r="59" spans="1:17">
      <c r="A59" s="28"/>
      <c r="B59" s="28"/>
      <c r="C59" s="28"/>
      <c r="D59" s="28"/>
      <c r="E59" s="28"/>
      <c r="F59" s="28"/>
      <c r="G59" s="26" t="str">
        <f t="shared" si="0"/>
        <v/>
      </c>
      <c r="H59" s="26" t="str">
        <f t="shared" si="7"/>
        <v/>
      </c>
      <c r="I59" s="26" t="str">
        <f t="shared" si="1"/>
        <v/>
      </c>
      <c r="J59" t="str">
        <f t="shared" si="2"/>
        <v/>
      </c>
      <c r="K59" s="26" t="str">
        <f t="shared" si="3"/>
        <v/>
      </c>
      <c r="L59" s="26" t="str">
        <f t="shared" si="4"/>
        <v/>
      </c>
      <c r="P59" t="e">
        <f t="shared" si="5"/>
        <v>#N/A</v>
      </c>
      <c r="Q59" t="e">
        <f t="shared" si="6"/>
        <v>#N/A</v>
      </c>
    </row>
    <row r="60" spans="1:17">
      <c r="A60" s="28"/>
      <c r="B60" s="28"/>
      <c r="C60" s="28"/>
      <c r="D60" s="28"/>
      <c r="E60" s="28"/>
      <c r="F60" s="28"/>
      <c r="G60" s="26" t="str">
        <f t="shared" si="0"/>
        <v/>
      </c>
      <c r="H60" s="26" t="str">
        <f t="shared" si="7"/>
        <v/>
      </c>
      <c r="I60" s="26" t="str">
        <f t="shared" si="1"/>
        <v/>
      </c>
      <c r="J60" t="str">
        <f t="shared" si="2"/>
        <v/>
      </c>
      <c r="K60" s="26" t="str">
        <f t="shared" si="3"/>
        <v/>
      </c>
      <c r="L60" s="26" t="str">
        <f t="shared" si="4"/>
        <v/>
      </c>
      <c r="P60" t="e">
        <f t="shared" si="5"/>
        <v>#N/A</v>
      </c>
      <c r="Q60" t="e">
        <f t="shared" si="6"/>
        <v>#N/A</v>
      </c>
    </row>
    <row r="61" spans="1:17">
      <c r="A61" s="28"/>
      <c r="B61" s="28"/>
      <c r="C61" s="28"/>
      <c r="D61" s="28"/>
      <c r="E61" s="28"/>
      <c r="F61" s="28"/>
      <c r="G61" s="26" t="str">
        <f t="shared" si="0"/>
        <v/>
      </c>
      <c r="H61" s="26" t="str">
        <f t="shared" si="7"/>
        <v/>
      </c>
      <c r="I61" s="26" t="str">
        <f t="shared" si="1"/>
        <v/>
      </c>
      <c r="J61" t="str">
        <f t="shared" si="2"/>
        <v/>
      </c>
      <c r="K61" s="26" t="str">
        <f t="shared" si="3"/>
        <v/>
      </c>
      <c r="L61" s="26" t="str">
        <f t="shared" si="4"/>
        <v/>
      </c>
      <c r="P61" t="e">
        <f t="shared" si="5"/>
        <v>#N/A</v>
      </c>
      <c r="Q61" t="e">
        <f t="shared" si="6"/>
        <v>#N/A</v>
      </c>
    </row>
    <row r="62" spans="1:17">
      <c r="A62" s="28"/>
      <c r="B62" s="28"/>
      <c r="C62" s="28"/>
      <c r="D62" s="28"/>
      <c r="E62" s="28"/>
      <c r="F62" s="28"/>
      <c r="G62" s="26" t="str">
        <f t="shared" si="0"/>
        <v/>
      </c>
      <c r="H62" s="26" t="str">
        <f t="shared" si="7"/>
        <v/>
      </c>
      <c r="I62" s="26" t="str">
        <f t="shared" si="1"/>
        <v/>
      </c>
      <c r="J62" t="str">
        <f t="shared" si="2"/>
        <v/>
      </c>
      <c r="K62" s="26" t="str">
        <f t="shared" si="3"/>
        <v/>
      </c>
      <c r="L62" s="26" t="str">
        <f t="shared" si="4"/>
        <v/>
      </c>
      <c r="P62" t="e">
        <f t="shared" si="5"/>
        <v>#N/A</v>
      </c>
      <c r="Q62" t="e">
        <f t="shared" si="6"/>
        <v>#N/A</v>
      </c>
    </row>
    <row r="63" spans="1:17">
      <c r="A63" s="28"/>
      <c r="B63" s="28"/>
      <c r="C63" s="28"/>
      <c r="D63" s="28"/>
      <c r="E63" s="28"/>
      <c r="F63" s="28"/>
      <c r="G63" s="26" t="str">
        <f t="shared" si="0"/>
        <v/>
      </c>
      <c r="H63" s="26" t="str">
        <f t="shared" si="7"/>
        <v/>
      </c>
      <c r="I63" s="26" t="str">
        <f t="shared" si="1"/>
        <v/>
      </c>
      <c r="J63" t="str">
        <f t="shared" si="2"/>
        <v/>
      </c>
      <c r="K63" s="26" t="str">
        <f t="shared" si="3"/>
        <v/>
      </c>
      <c r="L63" s="26" t="str">
        <f t="shared" si="4"/>
        <v/>
      </c>
      <c r="P63" t="e">
        <f t="shared" si="5"/>
        <v>#N/A</v>
      </c>
      <c r="Q63" t="e">
        <f t="shared" si="6"/>
        <v>#N/A</v>
      </c>
    </row>
    <row r="64" spans="1:17">
      <c r="A64" s="28"/>
      <c r="B64" s="28"/>
      <c r="C64" s="28"/>
      <c r="D64" s="28"/>
      <c r="E64" s="28"/>
      <c r="F64" s="28"/>
      <c r="G64" s="26" t="str">
        <f t="shared" si="0"/>
        <v/>
      </c>
      <c r="H64" s="26" t="str">
        <f t="shared" si="7"/>
        <v/>
      </c>
      <c r="I64" s="26" t="str">
        <f t="shared" si="1"/>
        <v/>
      </c>
      <c r="J64" t="str">
        <f t="shared" si="2"/>
        <v/>
      </c>
      <c r="K64" s="26" t="str">
        <f t="shared" si="3"/>
        <v/>
      </c>
      <c r="L64" s="26" t="str">
        <f t="shared" si="4"/>
        <v/>
      </c>
      <c r="P64" t="e">
        <f t="shared" si="5"/>
        <v>#N/A</v>
      </c>
      <c r="Q64" t="e">
        <f t="shared" si="6"/>
        <v>#N/A</v>
      </c>
    </row>
    <row r="65" spans="1:17">
      <c r="A65" s="28"/>
      <c r="B65" s="28"/>
      <c r="C65" s="28"/>
      <c r="D65" s="28"/>
      <c r="E65" s="28"/>
      <c r="F65" s="28"/>
      <c r="G65" s="26" t="str">
        <f t="shared" si="0"/>
        <v/>
      </c>
      <c r="H65" s="26" t="str">
        <f t="shared" si="7"/>
        <v/>
      </c>
      <c r="I65" s="26" t="str">
        <f t="shared" si="1"/>
        <v/>
      </c>
      <c r="J65" t="str">
        <f t="shared" si="2"/>
        <v/>
      </c>
      <c r="K65" s="26" t="str">
        <f t="shared" si="3"/>
        <v/>
      </c>
      <c r="L65" s="26" t="str">
        <f t="shared" si="4"/>
        <v/>
      </c>
      <c r="P65" t="e">
        <f t="shared" si="5"/>
        <v>#N/A</v>
      </c>
      <c r="Q65" t="e">
        <f t="shared" si="6"/>
        <v>#N/A</v>
      </c>
    </row>
    <row r="66" spans="1:17">
      <c r="A66" s="28"/>
      <c r="B66" s="28"/>
      <c r="C66" s="28"/>
      <c r="D66" s="28"/>
      <c r="E66" s="28"/>
      <c r="F66" s="28"/>
      <c r="G66" s="26" t="str">
        <f t="shared" ref="G66:G129" si="8">IF(B66="","",243.04*(LN(C66/100)+17.625*B66/(243.04+B66))/(17.625-LN(C66/100)-17.625*B66/(243.04+B66)))</f>
        <v/>
      </c>
      <c r="H66" s="26" t="str">
        <f t="shared" si="7"/>
        <v/>
      </c>
      <c r="I66" s="26" t="str">
        <f t="shared" ref="I66:I129" si="9">IF(B66="","",B66-E66)</f>
        <v/>
      </c>
      <c r="J66" t="str">
        <f t="shared" ref="J66:J129" si="10">IF(H66="","",IF(H66&gt;0.6,"Heating",IF(H66&lt;-0.2,"Cooling","Steady")))</f>
        <v/>
      </c>
      <c r="K66" s="26" t="str">
        <f t="shared" ref="K66:K129" si="11">IF(J66="Cooling",I66,"")</f>
        <v/>
      </c>
      <c r="L66" s="26" t="str">
        <f t="shared" ref="L66:L129" si="12">IF(J66="Cooling",H66,"")</f>
        <v/>
      </c>
      <c r="P66" t="e">
        <f t="shared" ref="P66:P129" si="13">IF(K66="",NA(),K66)</f>
        <v>#N/A</v>
      </c>
      <c r="Q66" t="e">
        <f t="shared" ref="Q66:Q129" si="14">IF(L66="",NA(),L66)</f>
        <v>#N/A</v>
      </c>
    </row>
    <row r="67" spans="1:17">
      <c r="A67" s="28"/>
      <c r="B67" s="28"/>
      <c r="C67" s="28"/>
      <c r="D67" s="28"/>
      <c r="E67" s="28"/>
      <c r="F67" s="28"/>
      <c r="G67" s="26" t="str">
        <f t="shared" si="8"/>
        <v/>
      </c>
      <c r="H67" s="26" t="str">
        <f t="shared" si="7"/>
        <v/>
      </c>
      <c r="I67" s="26" t="str">
        <f t="shared" si="9"/>
        <v/>
      </c>
      <c r="J67" t="str">
        <f t="shared" si="10"/>
        <v/>
      </c>
      <c r="K67" s="26" t="str">
        <f t="shared" si="11"/>
        <v/>
      </c>
      <c r="L67" s="26" t="str">
        <f t="shared" si="12"/>
        <v/>
      </c>
      <c r="P67" t="e">
        <f t="shared" si="13"/>
        <v>#N/A</v>
      </c>
      <c r="Q67" t="e">
        <f t="shared" si="14"/>
        <v>#N/A</v>
      </c>
    </row>
    <row r="68" spans="1:17">
      <c r="A68" s="28"/>
      <c r="B68" s="28"/>
      <c r="C68" s="28"/>
      <c r="D68" s="28"/>
      <c r="E68" s="28"/>
      <c r="F68" s="28"/>
      <c r="G68" s="26" t="str">
        <f t="shared" si="8"/>
        <v/>
      </c>
      <c r="H68" s="26" t="str">
        <f t="shared" ref="H68:H131" si="15">IFERROR(IF(OR(B66="",B70=""),"",(B70-B66)/4*60),"")</f>
        <v/>
      </c>
      <c r="I68" s="26" t="str">
        <f t="shared" si="9"/>
        <v/>
      </c>
      <c r="J68" t="str">
        <f t="shared" si="10"/>
        <v/>
      </c>
      <c r="K68" s="26" t="str">
        <f t="shared" si="11"/>
        <v/>
      </c>
      <c r="L68" s="26" t="str">
        <f t="shared" si="12"/>
        <v/>
      </c>
      <c r="P68" t="e">
        <f t="shared" si="13"/>
        <v>#N/A</v>
      </c>
      <c r="Q68" t="e">
        <f t="shared" si="14"/>
        <v>#N/A</v>
      </c>
    </row>
    <row r="69" spans="1:17">
      <c r="A69" s="28"/>
      <c r="B69" s="28"/>
      <c r="C69" s="28"/>
      <c r="D69" s="28"/>
      <c r="E69" s="28"/>
      <c r="F69" s="28"/>
      <c r="G69" s="26" t="str">
        <f t="shared" si="8"/>
        <v/>
      </c>
      <c r="H69" s="26" t="str">
        <f t="shared" si="15"/>
        <v/>
      </c>
      <c r="I69" s="26" t="str">
        <f t="shared" si="9"/>
        <v/>
      </c>
      <c r="J69" t="str">
        <f t="shared" si="10"/>
        <v/>
      </c>
      <c r="K69" s="26" t="str">
        <f t="shared" si="11"/>
        <v/>
      </c>
      <c r="L69" s="26" t="str">
        <f t="shared" si="12"/>
        <v/>
      </c>
      <c r="P69" t="e">
        <f t="shared" si="13"/>
        <v>#N/A</v>
      </c>
      <c r="Q69" t="e">
        <f t="shared" si="14"/>
        <v>#N/A</v>
      </c>
    </row>
    <row r="70" spans="1:17">
      <c r="A70" s="28"/>
      <c r="B70" s="28"/>
      <c r="C70" s="28"/>
      <c r="D70" s="28"/>
      <c r="E70" s="28"/>
      <c r="F70" s="28"/>
      <c r="G70" s="26" t="str">
        <f t="shared" si="8"/>
        <v/>
      </c>
      <c r="H70" s="26" t="str">
        <f t="shared" si="15"/>
        <v/>
      </c>
      <c r="I70" s="26" t="str">
        <f t="shared" si="9"/>
        <v/>
      </c>
      <c r="J70" t="str">
        <f t="shared" si="10"/>
        <v/>
      </c>
      <c r="K70" s="26" t="str">
        <f t="shared" si="11"/>
        <v/>
      </c>
      <c r="L70" s="26" t="str">
        <f t="shared" si="12"/>
        <v/>
      </c>
      <c r="P70" t="e">
        <f t="shared" si="13"/>
        <v>#N/A</v>
      </c>
      <c r="Q70" t="e">
        <f t="shared" si="14"/>
        <v>#N/A</v>
      </c>
    </row>
    <row r="71" spans="1:17">
      <c r="A71" s="28"/>
      <c r="B71" s="28"/>
      <c r="C71" s="28"/>
      <c r="D71" s="28"/>
      <c r="E71" s="28"/>
      <c r="F71" s="28"/>
      <c r="G71" s="26" t="str">
        <f t="shared" si="8"/>
        <v/>
      </c>
      <c r="H71" s="26" t="str">
        <f t="shared" si="15"/>
        <v/>
      </c>
      <c r="I71" s="26" t="str">
        <f t="shared" si="9"/>
        <v/>
      </c>
      <c r="J71" t="str">
        <f t="shared" si="10"/>
        <v/>
      </c>
      <c r="K71" s="26" t="str">
        <f t="shared" si="11"/>
        <v/>
      </c>
      <c r="L71" s="26" t="str">
        <f t="shared" si="12"/>
        <v/>
      </c>
      <c r="P71" t="e">
        <f t="shared" si="13"/>
        <v>#N/A</v>
      </c>
      <c r="Q71" t="e">
        <f t="shared" si="14"/>
        <v>#N/A</v>
      </c>
    </row>
    <row r="72" spans="1:17">
      <c r="A72" s="28"/>
      <c r="B72" s="28"/>
      <c r="C72" s="28"/>
      <c r="D72" s="28"/>
      <c r="E72" s="28"/>
      <c r="F72" s="28"/>
      <c r="G72" s="26" t="str">
        <f t="shared" si="8"/>
        <v/>
      </c>
      <c r="H72" s="26" t="str">
        <f t="shared" si="15"/>
        <v/>
      </c>
      <c r="I72" s="26" t="str">
        <f t="shared" si="9"/>
        <v/>
      </c>
      <c r="J72" t="str">
        <f t="shared" si="10"/>
        <v/>
      </c>
      <c r="K72" s="26" t="str">
        <f t="shared" si="11"/>
        <v/>
      </c>
      <c r="L72" s="26" t="str">
        <f t="shared" si="12"/>
        <v/>
      </c>
      <c r="P72" t="e">
        <f t="shared" si="13"/>
        <v>#N/A</v>
      </c>
      <c r="Q72" t="e">
        <f t="shared" si="14"/>
        <v>#N/A</v>
      </c>
    </row>
    <row r="73" spans="1:17">
      <c r="A73" s="28"/>
      <c r="B73" s="28"/>
      <c r="C73" s="28"/>
      <c r="D73" s="28"/>
      <c r="E73" s="28"/>
      <c r="F73" s="28"/>
      <c r="G73" s="26" t="str">
        <f t="shared" si="8"/>
        <v/>
      </c>
      <c r="H73" s="26" t="str">
        <f t="shared" si="15"/>
        <v/>
      </c>
      <c r="I73" s="26" t="str">
        <f t="shared" si="9"/>
        <v/>
      </c>
      <c r="J73" t="str">
        <f t="shared" si="10"/>
        <v/>
      </c>
      <c r="K73" s="26" t="str">
        <f t="shared" si="11"/>
        <v/>
      </c>
      <c r="L73" s="26" t="str">
        <f t="shared" si="12"/>
        <v/>
      </c>
      <c r="P73" t="e">
        <f t="shared" si="13"/>
        <v>#N/A</v>
      </c>
      <c r="Q73" t="e">
        <f t="shared" si="14"/>
        <v>#N/A</v>
      </c>
    </row>
    <row r="74" spans="1:17">
      <c r="A74" s="28"/>
      <c r="B74" s="28"/>
      <c r="C74" s="28"/>
      <c r="D74" s="28"/>
      <c r="E74" s="28"/>
      <c r="F74" s="28"/>
      <c r="G74" s="26" t="str">
        <f t="shared" si="8"/>
        <v/>
      </c>
      <c r="H74" s="26" t="str">
        <f t="shared" si="15"/>
        <v/>
      </c>
      <c r="I74" s="26" t="str">
        <f t="shared" si="9"/>
        <v/>
      </c>
      <c r="J74" t="str">
        <f t="shared" si="10"/>
        <v/>
      </c>
      <c r="K74" s="26" t="str">
        <f t="shared" si="11"/>
        <v/>
      </c>
      <c r="L74" s="26" t="str">
        <f t="shared" si="12"/>
        <v/>
      </c>
      <c r="P74" t="e">
        <f t="shared" si="13"/>
        <v>#N/A</v>
      </c>
      <c r="Q74" t="e">
        <f t="shared" si="14"/>
        <v>#N/A</v>
      </c>
    </row>
    <row r="75" spans="1:17">
      <c r="A75" s="28"/>
      <c r="B75" s="28"/>
      <c r="C75" s="28"/>
      <c r="D75" s="28"/>
      <c r="E75" s="28"/>
      <c r="F75" s="28"/>
      <c r="G75" s="26" t="str">
        <f t="shared" si="8"/>
        <v/>
      </c>
      <c r="H75" s="26" t="str">
        <f t="shared" si="15"/>
        <v/>
      </c>
      <c r="I75" s="26" t="str">
        <f t="shared" si="9"/>
        <v/>
      </c>
      <c r="J75" t="str">
        <f t="shared" si="10"/>
        <v/>
      </c>
      <c r="K75" s="26" t="str">
        <f t="shared" si="11"/>
        <v/>
      </c>
      <c r="L75" s="26" t="str">
        <f t="shared" si="12"/>
        <v/>
      </c>
      <c r="P75" t="e">
        <f t="shared" si="13"/>
        <v>#N/A</v>
      </c>
      <c r="Q75" t="e">
        <f t="shared" si="14"/>
        <v>#N/A</v>
      </c>
    </row>
    <row r="76" spans="1:17">
      <c r="A76" s="28"/>
      <c r="B76" s="28"/>
      <c r="C76" s="28"/>
      <c r="D76" s="28"/>
      <c r="E76" s="28"/>
      <c r="F76" s="28"/>
      <c r="G76" s="26" t="str">
        <f t="shared" si="8"/>
        <v/>
      </c>
      <c r="H76" s="26" t="str">
        <f t="shared" si="15"/>
        <v/>
      </c>
      <c r="I76" s="26" t="str">
        <f t="shared" si="9"/>
        <v/>
      </c>
      <c r="J76" t="str">
        <f t="shared" si="10"/>
        <v/>
      </c>
      <c r="K76" s="26" t="str">
        <f t="shared" si="11"/>
        <v/>
      </c>
      <c r="L76" s="26" t="str">
        <f t="shared" si="12"/>
        <v/>
      </c>
      <c r="P76" t="e">
        <f t="shared" si="13"/>
        <v>#N/A</v>
      </c>
      <c r="Q76" t="e">
        <f t="shared" si="14"/>
        <v>#N/A</v>
      </c>
    </row>
    <row r="77" spans="1:17">
      <c r="A77" s="28"/>
      <c r="B77" s="28"/>
      <c r="C77" s="28"/>
      <c r="D77" s="28"/>
      <c r="E77" s="28"/>
      <c r="F77" s="28"/>
      <c r="G77" s="26" t="str">
        <f t="shared" si="8"/>
        <v/>
      </c>
      <c r="H77" s="26" t="str">
        <f t="shared" si="15"/>
        <v/>
      </c>
      <c r="I77" s="26" t="str">
        <f t="shared" si="9"/>
        <v/>
      </c>
      <c r="J77" t="str">
        <f t="shared" si="10"/>
        <v/>
      </c>
      <c r="K77" s="26" t="str">
        <f t="shared" si="11"/>
        <v/>
      </c>
      <c r="L77" s="26" t="str">
        <f t="shared" si="12"/>
        <v/>
      </c>
      <c r="P77" t="e">
        <f t="shared" si="13"/>
        <v>#N/A</v>
      </c>
      <c r="Q77" t="e">
        <f t="shared" si="14"/>
        <v>#N/A</v>
      </c>
    </row>
    <row r="78" spans="1:17">
      <c r="A78" s="28"/>
      <c r="B78" s="28"/>
      <c r="C78" s="28"/>
      <c r="D78" s="28"/>
      <c r="E78" s="28"/>
      <c r="F78" s="28"/>
      <c r="G78" s="26" t="str">
        <f t="shared" si="8"/>
        <v/>
      </c>
      <c r="H78" s="26" t="str">
        <f t="shared" si="15"/>
        <v/>
      </c>
      <c r="I78" s="26" t="str">
        <f t="shared" si="9"/>
        <v/>
      </c>
      <c r="J78" t="str">
        <f t="shared" si="10"/>
        <v/>
      </c>
      <c r="K78" s="26" t="str">
        <f t="shared" si="11"/>
        <v/>
      </c>
      <c r="L78" s="26" t="str">
        <f t="shared" si="12"/>
        <v/>
      </c>
      <c r="P78" t="e">
        <f t="shared" si="13"/>
        <v>#N/A</v>
      </c>
      <c r="Q78" t="e">
        <f t="shared" si="14"/>
        <v>#N/A</v>
      </c>
    </row>
    <row r="79" spans="1:17">
      <c r="A79" s="28"/>
      <c r="B79" s="28"/>
      <c r="C79" s="28"/>
      <c r="D79" s="28"/>
      <c r="E79" s="28"/>
      <c r="F79" s="28"/>
      <c r="G79" s="26" t="str">
        <f t="shared" si="8"/>
        <v/>
      </c>
      <c r="H79" s="26" t="str">
        <f t="shared" si="15"/>
        <v/>
      </c>
      <c r="I79" s="26" t="str">
        <f t="shared" si="9"/>
        <v/>
      </c>
      <c r="J79" t="str">
        <f t="shared" si="10"/>
        <v/>
      </c>
      <c r="K79" s="26" t="str">
        <f t="shared" si="11"/>
        <v/>
      </c>
      <c r="L79" s="26" t="str">
        <f t="shared" si="12"/>
        <v/>
      </c>
      <c r="P79" t="e">
        <f t="shared" si="13"/>
        <v>#N/A</v>
      </c>
      <c r="Q79" t="e">
        <f t="shared" si="14"/>
        <v>#N/A</v>
      </c>
    </row>
    <row r="80" spans="1:17">
      <c r="A80" s="28"/>
      <c r="B80" s="28"/>
      <c r="C80" s="28"/>
      <c r="D80" s="28"/>
      <c r="E80" s="28"/>
      <c r="F80" s="28"/>
      <c r="G80" s="26" t="str">
        <f t="shared" si="8"/>
        <v/>
      </c>
      <c r="H80" s="26" t="str">
        <f t="shared" si="15"/>
        <v/>
      </c>
      <c r="I80" s="26" t="str">
        <f t="shared" si="9"/>
        <v/>
      </c>
      <c r="J80" t="str">
        <f t="shared" si="10"/>
        <v/>
      </c>
      <c r="K80" s="26" t="str">
        <f t="shared" si="11"/>
        <v/>
      </c>
      <c r="L80" s="26" t="str">
        <f t="shared" si="12"/>
        <v/>
      </c>
      <c r="P80" t="e">
        <f t="shared" si="13"/>
        <v>#N/A</v>
      </c>
      <c r="Q80" t="e">
        <f t="shared" si="14"/>
        <v>#N/A</v>
      </c>
    </row>
    <row r="81" spans="1:17">
      <c r="A81" s="28"/>
      <c r="B81" s="28"/>
      <c r="C81" s="28"/>
      <c r="D81" s="28"/>
      <c r="E81" s="28"/>
      <c r="F81" s="28"/>
      <c r="G81" s="26" t="str">
        <f t="shared" si="8"/>
        <v/>
      </c>
      <c r="H81" s="26" t="str">
        <f t="shared" si="15"/>
        <v/>
      </c>
      <c r="I81" s="26" t="str">
        <f t="shared" si="9"/>
        <v/>
      </c>
      <c r="J81" t="str">
        <f t="shared" si="10"/>
        <v/>
      </c>
      <c r="K81" s="26" t="str">
        <f t="shared" si="11"/>
        <v/>
      </c>
      <c r="L81" s="26" t="str">
        <f t="shared" si="12"/>
        <v/>
      </c>
      <c r="P81" t="e">
        <f t="shared" si="13"/>
        <v>#N/A</v>
      </c>
      <c r="Q81" t="e">
        <f t="shared" si="14"/>
        <v>#N/A</v>
      </c>
    </row>
    <row r="82" spans="1:17">
      <c r="A82" s="28"/>
      <c r="B82" s="28"/>
      <c r="C82" s="28"/>
      <c r="D82" s="28"/>
      <c r="E82" s="28"/>
      <c r="F82" s="28"/>
      <c r="G82" s="26" t="str">
        <f t="shared" si="8"/>
        <v/>
      </c>
      <c r="H82" s="26" t="str">
        <f t="shared" si="15"/>
        <v/>
      </c>
      <c r="I82" s="26" t="str">
        <f t="shared" si="9"/>
        <v/>
      </c>
      <c r="J82" t="str">
        <f t="shared" si="10"/>
        <v/>
      </c>
      <c r="K82" s="26" t="str">
        <f t="shared" si="11"/>
        <v/>
      </c>
      <c r="L82" s="26" t="str">
        <f t="shared" si="12"/>
        <v/>
      </c>
      <c r="P82" t="e">
        <f t="shared" si="13"/>
        <v>#N/A</v>
      </c>
      <c r="Q82" t="e">
        <f t="shared" si="14"/>
        <v>#N/A</v>
      </c>
    </row>
    <row r="83" spans="1:17">
      <c r="A83" s="28"/>
      <c r="B83" s="28"/>
      <c r="C83" s="28"/>
      <c r="D83" s="28"/>
      <c r="E83" s="28"/>
      <c r="F83" s="28"/>
      <c r="G83" s="26" t="str">
        <f t="shared" si="8"/>
        <v/>
      </c>
      <c r="H83" s="26" t="str">
        <f t="shared" si="15"/>
        <v/>
      </c>
      <c r="I83" s="26" t="str">
        <f t="shared" si="9"/>
        <v/>
      </c>
      <c r="J83" t="str">
        <f t="shared" si="10"/>
        <v/>
      </c>
      <c r="K83" s="26" t="str">
        <f t="shared" si="11"/>
        <v/>
      </c>
      <c r="L83" s="26" t="str">
        <f t="shared" si="12"/>
        <v/>
      </c>
      <c r="P83" t="e">
        <f t="shared" si="13"/>
        <v>#N/A</v>
      </c>
      <c r="Q83" t="e">
        <f t="shared" si="14"/>
        <v>#N/A</v>
      </c>
    </row>
    <row r="84" spans="1:17">
      <c r="A84" s="28"/>
      <c r="B84" s="28"/>
      <c r="C84" s="28"/>
      <c r="D84" s="28"/>
      <c r="E84" s="28"/>
      <c r="F84" s="28"/>
      <c r="G84" s="26" t="str">
        <f t="shared" si="8"/>
        <v/>
      </c>
      <c r="H84" s="26" t="str">
        <f t="shared" si="15"/>
        <v/>
      </c>
      <c r="I84" s="26" t="str">
        <f t="shared" si="9"/>
        <v/>
      </c>
      <c r="J84" t="str">
        <f t="shared" si="10"/>
        <v/>
      </c>
      <c r="K84" s="26" t="str">
        <f t="shared" si="11"/>
        <v/>
      </c>
      <c r="L84" s="26" t="str">
        <f t="shared" si="12"/>
        <v/>
      </c>
      <c r="P84" t="e">
        <f t="shared" si="13"/>
        <v>#N/A</v>
      </c>
      <c r="Q84" t="e">
        <f t="shared" si="14"/>
        <v>#N/A</v>
      </c>
    </row>
    <row r="85" spans="1:17">
      <c r="A85" s="28"/>
      <c r="B85" s="28"/>
      <c r="C85" s="28"/>
      <c r="D85" s="28"/>
      <c r="E85" s="28"/>
      <c r="F85" s="28"/>
      <c r="G85" s="26" t="str">
        <f t="shared" si="8"/>
        <v/>
      </c>
      <c r="H85" s="26" t="str">
        <f t="shared" si="15"/>
        <v/>
      </c>
      <c r="I85" s="26" t="str">
        <f t="shared" si="9"/>
        <v/>
      </c>
      <c r="J85" t="str">
        <f t="shared" si="10"/>
        <v/>
      </c>
      <c r="K85" s="26" t="str">
        <f t="shared" si="11"/>
        <v/>
      </c>
      <c r="L85" s="26" t="str">
        <f t="shared" si="12"/>
        <v/>
      </c>
      <c r="P85" t="e">
        <f t="shared" si="13"/>
        <v>#N/A</v>
      </c>
      <c r="Q85" t="e">
        <f t="shared" si="14"/>
        <v>#N/A</v>
      </c>
    </row>
    <row r="86" spans="1:17">
      <c r="A86" s="28"/>
      <c r="B86" s="28"/>
      <c r="C86" s="28"/>
      <c r="D86" s="28"/>
      <c r="E86" s="28"/>
      <c r="F86" s="28"/>
      <c r="G86" s="26" t="str">
        <f t="shared" si="8"/>
        <v/>
      </c>
      <c r="H86" s="26" t="str">
        <f t="shared" si="15"/>
        <v/>
      </c>
      <c r="I86" s="26" t="str">
        <f t="shared" si="9"/>
        <v/>
      </c>
      <c r="J86" t="str">
        <f t="shared" si="10"/>
        <v/>
      </c>
      <c r="K86" s="26" t="str">
        <f t="shared" si="11"/>
        <v/>
      </c>
      <c r="L86" s="26" t="str">
        <f t="shared" si="12"/>
        <v/>
      </c>
      <c r="P86" t="e">
        <f t="shared" si="13"/>
        <v>#N/A</v>
      </c>
      <c r="Q86" t="e">
        <f t="shared" si="14"/>
        <v>#N/A</v>
      </c>
    </row>
    <row r="87" spans="1:17">
      <c r="A87" s="28"/>
      <c r="B87" s="28"/>
      <c r="C87" s="28"/>
      <c r="D87" s="28"/>
      <c r="E87" s="28"/>
      <c r="F87" s="28"/>
      <c r="G87" s="26" t="str">
        <f t="shared" si="8"/>
        <v/>
      </c>
      <c r="H87" s="26" t="str">
        <f t="shared" si="15"/>
        <v/>
      </c>
      <c r="I87" s="26" t="str">
        <f t="shared" si="9"/>
        <v/>
      </c>
      <c r="J87" t="str">
        <f t="shared" si="10"/>
        <v/>
      </c>
      <c r="K87" s="26" t="str">
        <f t="shared" si="11"/>
        <v/>
      </c>
      <c r="L87" s="26" t="str">
        <f t="shared" si="12"/>
        <v/>
      </c>
      <c r="P87" t="e">
        <f t="shared" si="13"/>
        <v>#N/A</v>
      </c>
      <c r="Q87" t="e">
        <f t="shared" si="14"/>
        <v>#N/A</v>
      </c>
    </row>
    <row r="88" spans="1:17">
      <c r="A88" s="28"/>
      <c r="B88" s="28"/>
      <c r="C88" s="28"/>
      <c r="D88" s="28"/>
      <c r="E88" s="28"/>
      <c r="F88" s="28"/>
      <c r="G88" s="26" t="str">
        <f t="shared" si="8"/>
        <v/>
      </c>
      <c r="H88" s="26" t="str">
        <f t="shared" si="15"/>
        <v/>
      </c>
      <c r="I88" s="26" t="str">
        <f t="shared" si="9"/>
        <v/>
      </c>
      <c r="J88" t="str">
        <f t="shared" si="10"/>
        <v/>
      </c>
      <c r="K88" s="26" t="str">
        <f t="shared" si="11"/>
        <v/>
      </c>
      <c r="L88" s="26" t="str">
        <f t="shared" si="12"/>
        <v/>
      </c>
      <c r="P88" t="e">
        <f t="shared" si="13"/>
        <v>#N/A</v>
      </c>
      <c r="Q88" t="e">
        <f t="shared" si="14"/>
        <v>#N/A</v>
      </c>
    </row>
    <row r="89" spans="1:17">
      <c r="A89" s="28"/>
      <c r="B89" s="28"/>
      <c r="C89" s="28"/>
      <c r="D89" s="28"/>
      <c r="E89" s="28"/>
      <c r="F89" s="28"/>
      <c r="G89" s="26" t="str">
        <f t="shared" si="8"/>
        <v/>
      </c>
      <c r="H89" s="26" t="str">
        <f t="shared" si="15"/>
        <v/>
      </c>
      <c r="I89" s="26" t="str">
        <f t="shared" si="9"/>
        <v/>
      </c>
      <c r="J89" t="str">
        <f t="shared" si="10"/>
        <v/>
      </c>
      <c r="K89" s="26" t="str">
        <f t="shared" si="11"/>
        <v/>
      </c>
      <c r="L89" s="26" t="str">
        <f t="shared" si="12"/>
        <v/>
      </c>
      <c r="P89" t="e">
        <f t="shared" si="13"/>
        <v>#N/A</v>
      </c>
      <c r="Q89" t="e">
        <f t="shared" si="14"/>
        <v>#N/A</v>
      </c>
    </row>
    <row r="90" spans="1:17">
      <c r="A90" s="28"/>
      <c r="B90" s="28"/>
      <c r="C90" s="28"/>
      <c r="D90" s="28"/>
      <c r="E90" s="28"/>
      <c r="F90" s="28"/>
      <c r="G90" s="26" t="str">
        <f t="shared" si="8"/>
        <v/>
      </c>
      <c r="H90" s="26" t="str">
        <f t="shared" si="15"/>
        <v/>
      </c>
      <c r="I90" s="26" t="str">
        <f t="shared" si="9"/>
        <v/>
      </c>
      <c r="J90" t="str">
        <f t="shared" si="10"/>
        <v/>
      </c>
      <c r="K90" s="26" t="str">
        <f t="shared" si="11"/>
        <v/>
      </c>
      <c r="L90" s="26" t="str">
        <f t="shared" si="12"/>
        <v/>
      </c>
      <c r="P90" t="e">
        <f t="shared" si="13"/>
        <v>#N/A</v>
      </c>
      <c r="Q90" t="e">
        <f t="shared" si="14"/>
        <v>#N/A</v>
      </c>
    </row>
    <row r="91" spans="1:17">
      <c r="A91" s="28"/>
      <c r="B91" s="28"/>
      <c r="C91" s="28"/>
      <c r="D91" s="28"/>
      <c r="E91" s="28"/>
      <c r="F91" s="28"/>
      <c r="G91" s="26" t="str">
        <f t="shared" si="8"/>
        <v/>
      </c>
      <c r="H91" s="26" t="str">
        <f t="shared" si="15"/>
        <v/>
      </c>
      <c r="I91" s="26" t="str">
        <f t="shared" si="9"/>
        <v/>
      </c>
      <c r="J91" t="str">
        <f t="shared" si="10"/>
        <v/>
      </c>
      <c r="K91" s="26" t="str">
        <f t="shared" si="11"/>
        <v/>
      </c>
      <c r="L91" s="26" t="str">
        <f t="shared" si="12"/>
        <v/>
      </c>
      <c r="P91" t="e">
        <f t="shared" si="13"/>
        <v>#N/A</v>
      </c>
      <c r="Q91" t="e">
        <f t="shared" si="14"/>
        <v>#N/A</v>
      </c>
    </row>
    <row r="92" spans="1:17">
      <c r="A92" s="28"/>
      <c r="B92" s="28"/>
      <c r="C92" s="28"/>
      <c r="D92" s="28"/>
      <c r="E92" s="28"/>
      <c r="F92" s="28"/>
      <c r="G92" s="26" t="str">
        <f t="shared" si="8"/>
        <v/>
      </c>
      <c r="H92" s="26" t="str">
        <f t="shared" si="15"/>
        <v/>
      </c>
      <c r="I92" s="26" t="str">
        <f t="shared" si="9"/>
        <v/>
      </c>
      <c r="J92" t="str">
        <f t="shared" si="10"/>
        <v/>
      </c>
      <c r="K92" s="26" t="str">
        <f t="shared" si="11"/>
        <v/>
      </c>
      <c r="L92" s="26" t="str">
        <f t="shared" si="12"/>
        <v/>
      </c>
      <c r="P92" t="e">
        <f t="shared" si="13"/>
        <v>#N/A</v>
      </c>
      <c r="Q92" t="e">
        <f t="shared" si="14"/>
        <v>#N/A</v>
      </c>
    </row>
    <row r="93" spans="1:17">
      <c r="A93" s="28"/>
      <c r="B93" s="28"/>
      <c r="C93" s="28"/>
      <c r="D93" s="28"/>
      <c r="E93" s="28"/>
      <c r="F93" s="28"/>
      <c r="G93" s="26" t="str">
        <f t="shared" si="8"/>
        <v/>
      </c>
      <c r="H93" s="26" t="str">
        <f t="shared" si="15"/>
        <v/>
      </c>
      <c r="I93" s="26" t="str">
        <f t="shared" si="9"/>
        <v/>
      </c>
      <c r="J93" t="str">
        <f t="shared" si="10"/>
        <v/>
      </c>
      <c r="K93" s="26" t="str">
        <f t="shared" si="11"/>
        <v/>
      </c>
      <c r="L93" s="26" t="str">
        <f t="shared" si="12"/>
        <v/>
      </c>
      <c r="P93" t="e">
        <f t="shared" si="13"/>
        <v>#N/A</v>
      </c>
      <c r="Q93" t="e">
        <f t="shared" si="14"/>
        <v>#N/A</v>
      </c>
    </row>
    <row r="94" spans="1:17">
      <c r="A94" s="28"/>
      <c r="B94" s="28"/>
      <c r="C94" s="28"/>
      <c r="D94" s="28"/>
      <c r="E94" s="28"/>
      <c r="F94" s="28"/>
      <c r="G94" s="26" t="str">
        <f t="shared" si="8"/>
        <v/>
      </c>
      <c r="H94" s="26" t="str">
        <f t="shared" si="15"/>
        <v/>
      </c>
      <c r="I94" s="26" t="str">
        <f t="shared" si="9"/>
        <v/>
      </c>
      <c r="J94" t="str">
        <f t="shared" si="10"/>
        <v/>
      </c>
      <c r="K94" s="26" t="str">
        <f t="shared" si="11"/>
        <v/>
      </c>
      <c r="L94" s="26" t="str">
        <f t="shared" si="12"/>
        <v/>
      </c>
      <c r="P94" t="e">
        <f t="shared" si="13"/>
        <v>#N/A</v>
      </c>
      <c r="Q94" t="e">
        <f t="shared" si="14"/>
        <v>#N/A</v>
      </c>
    </row>
    <row r="95" spans="1:17">
      <c r="A95" s="28"/>
      <c r="B95" s="28"/>
      <c r="C95" s="28"/>
      <c r="D95" s="28"/>
      <c r="E95" s="28"/>
      <c r="F95" s="28"/>
      <c r="G95" s="26" t="str">
        <f t="shared" si="8"/>
        <v/>
      </c>
      <c r="H95" s="26" t="str">
        <f t="shared" si="15"/>
        <v/>
      </c>
      <c r="I95" s="26" t="str">
        <f t="shared" si="9"/>
        <v/>
      </c>
      <c r="J95" t="str">
        <f t="shared" si="10"/>
        <v/>
      </c>
      <c r="K95" s="26" t="str">
        <f t="shared" si="11"/>
        <v/>
      </c>
      <c r="L95" s="26" t="str">
        <f t="shared" si="12"/>
        <v/>
      </c>
      <c r="P95" t="e">
        <f t="shared" si="13"/>
        <v>#N/A</v>
      </c>
      <c r="Q95" t="e">
        <f t="shared" si="14"/>
        <v>#N/A</v>
      </c>
    </row>
    <row r="96" spans="1:17">
      <c r="A96" s="28"/>
      <c r="B96" s="28"/>
      <c r="C96" s="28"/>
      <c r="D96" s="28"/>
      <c r="E96" s="28"/>
      <c r="F96" s="28"/>
      <c r="G96" s="26" t="str">
        <f t="shared" si="8"/>
        <v/>
      </c>
      <c r="H96" s="26" t="str">
        <f t="shared" si="15"/>
        <v/>
      </c>
      <c r="I96" s="26" t="str">
        <f t="shared" si="9"/>
        <v/>
      </c>
      <c r="J96" t="str">
        <f t="shared" si="10"/>
        <v/>
      </c>
      <c r="K96" s="26" t="str">
        <f t="shared" si="11"/>
        <v/>
      </c>
      <c r="L96" s="26" t="str">
        <f t="shared" si="12"/>
        <v/>
      </c>
      <c r="P96" t="e">
        <f t="shared" si="13"/>
        <v>#N/A</v>
      </c>
      <c r="Q96" t="e">
        <f t="shared" si="14"/>
        <v>#N/A</v>
      </c>
    </row>
    <row r="97" spans="1:17">
      <c r="A97" s="28"/>
      <c r="B97" s="28"/>
      <c r="C97" s="28"/>
      <c r="D97" s="28"/>
      <c r="E97" s="28"/>
      <c r="F97" s="28"/>
      <c r="G97" s="26" t="str">
        <f t="shared" si="8"/>
        <v/>
      </c>
      <c r="H97" s="26" t="str">
        <f t="shared" si="15"/>
        <v/>
      </c>
      <c r="I97" s="26" t="str">
        <f t="shared" si="9"/>
        <v/>
      </c>
      <c r="J97" t="str">
        <f t="shared" si="10"/>
        <v/>
      </c>
      <c r="K97" s="26" t="str">
        <f t="shared" si="11"/>
        <v/>
      </c>
      <c r="L97" s="26" t="str">
        <f t="shared" si="12"/>
        <v/>
      </c>
      <c r="P97" t="e">
        <f t="shared" si="13"/>
        <v>#N/A</v>
      </c>
      <c r="Q97" t="e">
        <f t="shared" si="14"/>
        <v>#N/A</v>
      </c>
    </row>
    <row r="98" spans="1:17">
      <c r="A98" s="28"/>
      <c r="B98" s="28"/>
      <c r="C98" s="28"/>
      <c r="D98" s="28"/>
      <c r="E98" s="28"/>
      <c r="F98" s="28"/>
      <c r="G98" s="26" t="str">
        <f t="shared" si="8"/>
        <v/>
      </c>
      <c r="H98" s="26" t="str">
        <f t="shared" si="15"/>
        <v/>
      </c>
      <c r="I98" s="26" t="str">
        <f t="shared" si="9"/>
        <v/>
      </c>
      <c r="J98" t="str">
        <f t="shared" si="10"/>
        <v/>
      </c>
      <c r="K98" s="26" t="str">
        <f t="shared" si="11"/>
        <v/>
      </c>
      <c r="L98" s="26" t="str">
        <f t="shared" si="12"/>
        <v/>
      </c>
      <c r="P98" t="e">
        <f t="shared" si="13"/>
        <v>#N/A</v>
      </c>
      <c r="Q98" t="e">
        <f t="shared" si="14"/>
        <v>#N/A</v>
      </c>
    </row>
    <row r="99" spans="1:17">
      <c r="A99" s="28"/>
      <c r="B99" s="28"/>
      <c r="C99" s="28"/>
      <c r="D99" s="28"/>
      <c r="E99" s="28"/>
      <c r="F99" s="28"/>
      <c r="G99" s="26" t="str">
        <f t="shared" si="8"/>
        <v/>
      </c>
      <c r="H99" s="26" t="str">
        <f t="shared" si="15"/>
        <v/>
      </c>
      <c r="I99" s="26" t="str">
        <f t="shared" si="9"/>
        <v/>
      </c>
      <c r="J99" t="str">
        <f t="shared" si="10"/>
        <v/>
      </c>
      <c r="K99" s="26" t="str">
        <f t="shared" si="11"/>
        <v/>
      </c>
      <c r="L99" s="26" t="str">
        <f t="shared" si="12"/>
        <v/>
      </c>
      <c r="P99" t="e">
        <f t="shared" si="13"/>
        <v>#N/A</v>
      </c>
      <c r="Q99" t="e">
        <f t="shared" si="14"/>
        <v>#N/A</v>
      </c>
    </row>
    <row r="100" spans="1:17">
      <c r="A100" s="28"/>
      <c r="B100" s="28"/>
      <c r="C100" s="28"/>
      <c r="D100" s="28"/>
      <c r="E100" s="28"/>
      <c r="F100" s="28"/>
      <c r="G100" s="26" t="str">
        <f t="shared" si="8"/>
        <v/>
      </c>
      <c r="H100" s="26" t="str">
        <f t="shared" si="15"/>
        <v/>
      </c>
      <c r="I100" s="26" t="str">
        <f t="shared" si="9"/>
        <v/>
      </c>
      <c r="J100" t="str">
        <f t="shared" si="10"/>
        <v/>
      </c>
      <c r="K100" s="26" t="str">
        <f t="shared" si="11"/>
        <v/>
      </c>
      <c r="L100" s="26" t="str">
        <f t="shared" si="12"/>
        <v/>
      </c>
      <c r="P100" t="e">
        <f t="shared" si="13"/>
        <v>#N/A</v>
      </c>
      <c r="Q100" t="e">
        <f t="shared" si="14"/>
        <v>#N/A</v>
      </c>
    </row>
    <row r="101" spans="1:17">
      <c r="A101" s="28"/>
      <c r="B101" s="28"/>
      <c r="C101" s="28"/>
      <c r="D101" s="28"/>
      <c r="E101" s="28"/>
      <c r="F101" s="28"/>
      <c r="G101" s="26" t="str">
        <f t="shared" si="8"/>
        <v/>
      </c>
      <c r="H101" s="26" t="str">
        <f t="shared" si="15"/>
        <v/>
      </c>
      <c r="I101" s="26" t="str">
        <f t="shared" si="9"/>
        <v/>
      </c>
      <c r="J101" t="str">
        <f t="shared" si="10"/>
        <v/>
      </c>
      <c r="K101" s="26" t="str">
        <f t="shared" si="11"/>
        <v/>
      </c>
      <c r="L101" s="26" t="str">
        <f t="shared" si="12"/>
        <v/>
      </c>
      <c r="P101" t="e">
        <f t="shared" si="13"/>
        <v>#N/A</v>
      </c>
      <c r="Q101" t="e">
        <f t="shared" si="14"/>
        <v>#N/A</v>
      </c>
    </row>
    <row r="102" spans="1:17">
      <c r="A102" s="28"/>
      <c r="B102" s="28"/>
      <c r="C102" s="28"/>
      <c r="D102" s="28"/>
      <c r="E102" s="28"/>
      <c r="F102" s="28"/>
      <c r="G102" s="26" t="str">
        <f t="shared" si="8"/>
        <v/>
      </c>
      <c r="H102" s="26" t="str">
        <f t="shared" si="15"/>
        <v/>
      </c>
      <c r="I102" s="26" t="str">
        <f t="shared" si="9"/>
        <v/>
      </c>
      <c r="J102" t="str">
        <f t="shared" si="10"/>
        <v/>
      </c>
      <c r="K102" s="26" t="str">
        <f t="shared" si="11"/>
        <v/>
      </c>
      <c r="L102" s="26" t="str">
        <f t="shared" si="12"/>
        <v/>
      </c>
      <c r="P102" t="e">
        <f t="shared" si="13"/>
        <v>#N/A</v>
      </c>
      <c r="Q102" t="e">
        <f t="shared" si="14"/>
        <v>#N/A</v>
      </c>
    </row>
    <row r="103" spans="1:17">
      <c r="A103" s="28"/>
      <c r="B103" s="28"/>
      <c r="C103" s="28"/>
      <c r="D103" s="28"/>
      <c r="E103" s="28"/>
      <c r="F103" s="28"/>
      <c r="G103" s="26" t="str">
        <f t="shared" si="8"/>
        <v/>
      </c>
      <c r="H103" s="26" t="str">
        <f t="shared" si="15"/>
        <v/>
      </c>
      <c r="I103" s="26" t="str">
        <f t="shared" si="9"/>
        <v/>
      </c>
      <c r="J103" t="str">
        <f t="shared" si="10"/>
        <v/>
      </c>
      <c r="K103" s="26" t="str">
        <f t="shared" si="11"/>
        <v/>
      </c>
      <c r="L103" s="26" t="str">
        <f t="shared" si="12"/>
        <v/>
      </c>
      <c r="P103" t="e">
        <f t="shared" si="13"/>
        <v>#N/A</v>
      </c>
      <c r="Q103" t="e">
        <f t="shared" si="14"/>
        <v>#N/A</v>
      </c>
    </row>
    <row r="104" spans="1:17">
      <c r="A104" s="28"/>
      <c r="B104" s="28"/>
      <c r="C104" s="28"/>
      <c r="D104" s="28"/>
      <c r="E104" s="28"/>
      <c r="F104" s="28"/>
      <c r="G104" s="26" t="str">
        <f t="shared" si="8"/>
        <v/>
      </c>
      <c r="H104" s="26" t="str">
        <f t="shared" si="15"/>
        <v/>
      </c>
      <c r="I104" s="26" t="str">
        <f t="shared" si="9"/>
        <v/>
      </c>
      <c r="J104" t="str">
        <f t="shared" si="10"/>
        <v/>
      </c>
      <c r="K104" s="26" t="str">
        <f t="shared" si="11"/>
        <v/>
      </c>
      <c r="L104" s="26" t="str">
        <f t="shared" si="12"/>
        <v/>
      </c>
      <c r="P104" t="e">
        <f t="shared" si="13"/>
        <v>#N/A</v>
      </c>
      <c r="Q104" t="e">
        <f t="shared" si="14"/>
        <v>#N/A</v>
      </c>
    </row>
    <row r="105" spans="1:17">
      <c r="A105" s="28"/>
      <c r="B105" s="28"/>
      <c r="C105" s="28"/>
      <c r="D105" s="28"/>
      <c r="E105" s="28"/>
      <c r="F105" s="28"/>
      <c r="G105" s="26" t="str">
        <f t="shared" si="8"/>
        <v/>
      </c>
      <c r="H105" s="26" t="str">
        <f t="shared" si="15"/>
        <v/>
      </c>
      <c r="I105" s="26" t="str">
        <f t="shared" si="9"/>
        <v/>
      </c>
      <c r="J105" t="str">
        <f t="shared" si="10"/>
        <v/>
      </c>
      <c r="K105" s="26" t="str">
        <f t="shared" si="11"/>
        <v/>
      </c>
      <c r="L105" s="26" t="str">
        <f t="shared" si="12"/>
        <v/>
      </c>
      <c r="P105" t="e">
        <f t="shared" si="13"/>
        <v>#N/A</v>
      </c>
      <c r="Q105" t="e">
        <f t="shared" si="14"/>
        <v>#N/A</v>
      </c>
    </row>
    <row r="106" spans="1:17">
      <c r="A106" s="28"/>
      <c r="B106" s="28"/>
      <c r="C106" s="28"/>
      <c r="D106" s="28"/>
      <c r="E106" s="28"/>
      <c r="F106" s="28"/>
      <c r="G106" s="26" t="str">
        <f t="shared" si="8"/>
        <v/>
      </c>
      <c r="H106" s="26" t="str">
        <f t="shared" si="15"/>
        <v/>
      </c>
      <c r="I106" s="26" t="str">
        <f t="shared" si="9"/>
        <v/>
      </c>
      <c r="J106" t="str">
        <f t="shared" si="10"/>
        <v/>
      </c>
      <c r="K106" s="26" t="str">
        <f t="shared" si="11"/>
        <v/>
      </c>
      <c r="L106" s="26" t="str">
        <f t="shared" si="12"/>
        <v/>
      </c>
      <c r="P106" t="e">
        <f t="shared" si="13"/>
        <v>#N/A</v>
      </c>
      <c r="Q106" t="e">
        <f t="shared" si="14"/>
        <v>#N/A</v>
      </c>
    </row>
    <row r="107" spans="1:17">
      <c r="A107" s="28"/>
      <c r="B107" s="28"/>
      <c r="C107" s="28"/>
      <c r="D107" s="28"/>
      <c r="E107" s="28"/>
      <c r="F107" s="28"/>
      <c r="G107" s="26" t="str">
        <f t="shared" si="8"/>
        <v/>
      </c>
      <c r="H107" s="26" t="str">
        <f t="shared" si="15"/>
        <v/>
      </c>
      <c r="I107" s="26" t="str">
        <f t="shared" si="9"/>
        <v/>
      </c>
      <c r="J107" t="str">
        <f t="shared" si="10"/>
        <v/>
      </c>
      <c r="K107" s="26" t="str">
        <f t="shared" si="11"/>
        <v/>
      </c>
      <c r="L107" s="26" t="str">
        <f t="shared" si="12"/>
        <v/>
      </c>
      <c r="P107" t="e">
        <f t="shared" si="13"/>
        <v>#N/A</v>
      </c>
      <c r="Q107" t="e">
        <f t="shared" si="14"/>
        <v>#N/A</v>
      </c>
    </row>
    <row r="108" spans="1:17">
      <c r="A108" s="28"/>
      <c r="B108" s="28"/>
      <c r="C108" s="28"/>
      <c r="D108" s="28"/>
      <c r="E108" s="28"/>
      <c r="F108" s="28"/>
      <c r="G108" s="26" t="str">
        <f t="shared" si="8"/>
        <v/>
      </c>
      <c r="H108" s="26" t="str">
        <f t="shared" si="15"/>
        <v/>
      </c>
      <c r="I108" s="26" t="str">
        <f t="shared" si="9"/>
        <v/>
      </c>
      <c r="J108" t="str">
        <f t="shared" si="10"/>
        <v/>
      </c>
      <c r="K108" s="26" t="str">
        <f t="shared" si="11"/>
        <v/>
      </c>
      <c r="L108" s="26" t="str">
        <f t="shared" si="12"/>
        <v/>
      </c>
      <c r="P108" t="e">
        <f t="shared" si="13"/>
        <v>#N/A</v>
      </c>
      <c r="Q108" t="e">
        <f t="shared" si="14"/>
        <v>#N/A</v>
      </c>
    </row>
    <row r="109" spans="1:17">
      <c r="A109" s="28"/>
      <c r="B109" s="28"/>
      <c r="C109" s="28"/>
      <c r="D109" s="28"/>
      <c r="E109" s="28"/>
      <c r="F109" s="28"/>
      <c r="G109" s="26" t="str">
        <f t="shared" si="8"/>
        <v/>
      </c>
      <c r="H109" s="26" t="str">
        <f t="shared" si="15"/>
        <v/>
      </c>
      <c r="I109" s="26" t="str">
        <f t="shared" si="9"/>
        <v/>
      </c>
      <c r="J109" t="str">
        <f t="shared" si="10"/>
        <v/>
      </c>
      <c r="K109" s="26" t="str">
        <f t="shared" si="11"/>
        <v/>
      </c>
      <c r="L109" s="26" t="str">
        <f t="shared" si="12"/>
        <v/>
      </c>
      <c r="P109" t="e">
        <f t="shared" si="13"/>
        <v>#N/A</v>
      </c>
      <c r="Q109" t="e">
        <f t="shared" si="14"/>
        <v>#N/A</v>
      </c>
    </row>
    <row r="110" spans="1:17">
      <c r="A110" s="28"/>
      <c r="B110" s="28"/>
      <c r="C110" s="28"/>
      <c r="D110" s="28"/>
      <c r="E110" s="28"/>
      <c r="F110" s="28"/>
      <c r="G110" s="26" t="str">
        <f t="shared" si="8"/>
        <v/>
      </c>
      <c r="H110" s="26" t="str">
        <f t="shared" si="15"/>
        <v/>
      </c>
      <c r="I110" s="26" t="str">
        <f t="shared" si="9"/>
        <v/>
      </c>
      <c r="J110" t="str">
        <f t="shared" si="10"/>
        <v/>
      </c>
      <c r="K110" s="26" t="str">
        <f t="shared" si="11"/>
        <v/>
      </c>
      <c r="L110" s="26" t="str">
        <f t="shared" si="12"/>
        <v/>
      </c>
      <c r="P110" t="e">
        <f t="shared" si="13"/>
        <v>#N/A</v>
      </c>
      <c r="Q110" t="e">
        <f t="shared" si="14"/>
        <v>#N/A</v>
      </c>
    </row>
    <row r="111" spans="1:17">
      <c r="A111" s="28"/>
      <c r="B111" s="28"/>
      <c r="C111" s="28"/>
      <c r="D111" s="28"/>
      <c r="E111" s="28"/>
      <c r="F111" s="28"/>
      <c r="G111" s="26" t="str">
        <f t="shared" si="8"/>
        <v/>
      </c>
      <c r="H111" s="26" t="str">
        <f t="shared" si="15"/>
        <v/>
      </c>
      <c r="I111" s="26" t="str">
        <f t="shared" si="9"/>
        <v/>
      </c>
      <c r="J111" t="str">
        <f t="shared" si="10"/>
        <v/>
      </c>
      <c r="K111" s="26" t="str">
        <f t="shared" si="11"/>
        <v/>
      </c>
      <c r="L111" s="26" t="str">
        <f t="shared" si="12"/>
        <v/>
      </c>
      <c r="P111" t="e">
        <f t="shared" si="13"/>
        <v>#N/A</v>
      </c>
      <c r="Q111" t="e">
        <f t="shared" si="14"/>
        <v>#N/A</v>
      </c>
    </row>
    <row r="112" spans="1:17">
      <c r="A112" s="28"/>
      <c r="B112" s="28"/>
      <c r="C112" s="28"/>
      <c r="D112" s="28"/>
      <c r="E112" s="28"/>
      <c r="F112" s="28"/>
      <c r="G112" s="26" t="str">
        <f t="shared" si="8"/>
        <v/>
      </c>
      <c r="H112" s="26" t="str">
        <f t="shared" si="15"/>
        <v/>
      </c>
      <c r="I112" s="26" t="str">
        <f t="shared" si="9"/>
        <v/>
      </c>
      <c r="J112" t="str">
        <f t="shared" si="10"/>
        <v/>
      </c>
      <c r="K112" s="26" t="str">
        <f t="shared" si="11"/>
        <v/>
      </c>
      <c r="L112" s="26" t="str">
        <f t="shared" si="12"/>
        <v/>
      </c>
      <c r="P112" t="e">
        <f t="shared" si="13"/>
        <v>#N/A</v>
      </c>
      <c r="Q112" t="e">
        <f t="shared" si="14"/>
        <v>#N/A</v>
      </c>
    </row>
    <row r="113" spans="1:17">
      <c r="A113" s="28"/>
      <c r="B113" s="28"/>
      <c r="C113" s="28"/>
      <c r="D113" s="28"/>
      <c r="E113" s="28"/>
      <c r="F113" s="28"/>
      <c r="G113" s="26" t="str">
        <f t="shared" si="8"/>
        <v/>
      </c>
      <c r="H113" s="26" t="str">
        <f t="shared" si="15"/>
        <v/>
      </c>
      <c r="I113" s="26" t="str">
        <f t="shared" si="9"/>
        <v/>
      </c>
      <c r="J113" t="str">
        <f t="shared" si="10"/>
        <v/>
      </c>
      <c r="K113" s="26" t="str">
        <f t="shared" si="11"/>
        <v/>
      </c>
      <c r="L113" s="26" t="str">
        <f t="shared" si="12"/>
        <v/>
      </c>
      <c r="P113" t="e">
        <f t="shared" si="13"/>
        <v>#N/A</v>
      </c>
      <c r="Q113" t="e">
        <f t="shared" si="14"/>
        <v>#N/A</v>
      </c>
    </row>
    <row r="114" spans="1:17">
      <c r="A114" s="28"/>
      <c r="B114" s="28"/>
      <c r="C114" s="28"/>
      <c r="D114" s="28"/>
      <c r="E114" s="28"/>
      <c r="F114" s="28"/>
      <c r="G114" s="26" t="str">
        <f t="shared" si="8"/>
        <v/>
      </c>
      <c r="H114" s="26" t="str">
        <f t="shared" si="15"/>
        <v/>
      </c>
      <c r="I114" s="26" t="str">
        <f t="shared" si="9"/>
        <v/>
      </c>
      <c r="J114" t="str">
        <f t="shared" si="10"/>
        <v/>
      </c>
      <c r="K114" s="26" t="str">
        <f t="shared" si="11"/>
        <v/>
      </c>
      <c r="L114" s="26" t="str">
        <f t="shared" si="12"/>
        <v/>
      </c>
      <c r="P114" t="e">
        <f t="shared" si="13"/>
        <v>#N/A</v>
      </c>
      <c r="Q114" t="e">
        <f t="shared" si="14"/>
        <v>#N/A</v>
      </c>
    </row>
    <row r="115" spans="1:17">
      <c r="A115" s="28"/>
      <c r="B115" s="28"/>
      <c r="C115" s="28"/>
      <c r="D115" s="28"/>
      <c r="E115" s="28"/>
      <c r="F115" s="28"/>
      <c r="G115" s="26" t="str">
        <f t="shared" si="8"/>
        <v/>
      </c>
      <c r="H115" s="26" t="str">
        <f t="shared" si="15"/>
        <v/>
      </c>
      <c r="I115" s="26" t="str">
        <f t="shared" si="9"/>
        <v/>
      </c>
      <c r="J115" t="str">
        <f t="shared" si="10"/>
        <v/>
      </c>
      <c r="K115" s="26" t="str">
        <f t="shared" si="11"/>
        <v/>
      </c>
      <c r="L115" s="26" t="str">
        <f t="shared" si="12"/>
        <v/>
      </c>
      <c r="P115" t="e">
        <f t="shared" si="13"/>
        <v>#N/A</v>
      </c>
      <c r="Q115" t="e">
        <f t="shared" si="14"/>
        <v>#N/A</v>
      </c>
    </row>
    <row r="116" spans="1:17">
      <c r="A116" s="28"/>
      <c r="B116" s="28"/>
      <c r="C116" s="28"/>
      <c r="D116" s="28"/>
      <c r="E116" s="28"/>
      <c r="F116" s="28"/>
      <c r="G116" s="26" t="str">
        <f t="shared" si="8"/>
        <v/>
      </c>
      <c r="H116" s="26" t="str">
        <f t="shared" si="15"/>
        <v/>
      </c>
      <c r="I116" s="26" t="str">
        <f t="shared" si="9"/>
        <v/>
      </c>
      <c r="J116" t="str">
        <f t="shared" si="10"/>
        <v/>
      </c>
      <c r="K116" s="26" t="str">
        <f t="shared" si="11"/>
        <v/>
      </c>
      <c r="L116" s="26" t="str">
        <f t="shared" si="12"/>
        <v/>
      </c>
      <c r="P116" t="e">
        <f t="shared" si="13"/>
        <v>#N/A</v>
      </c>
      <c r="Q116" t="e">
        <f t="shared" si="14"/>
        <v>#N/A</v>
      </c>
    </row>
    <row r="117" spans="1:17">
      <c r="A117" s="28"/>
      <c r="B117" s="28"/>
      <c r="C117" s="28"/>
      <c r="D117" s="28"/>
      <c r="E117" s="28"/>
      <c r="F117" s="28"/>
      <c r="G117" s="26" t="str">
        <f t="shared" si="8"/>
        <v/>
      </c>
      <c r="H117" s="26" t="str">
        <f t="shared" si="15"/>
        <v/>
      </c>
      <c r="I117" s="26" t="str">
        <f t="shared" si="9"/>
        <v/>
      </c>
      <c r="J117" t="str">
        <f t="shared" si="10"/>
        <v/>
      </c>
      <c r="K117" s="26" t="str">
        <f t="shared" si="11"/>
        <v/>
      </c>
      <c r="L117" s="26" t="str">
        <f t="shared" si="12"/>
        <v/>
      </c>
      <c r="P117" t="e">
        <f t="shared" si="13"/>
        <v>#N/A</v>
      </c>
      <c r="Q117" t="e">
        <f t="shared" si="14"/>
        <v>#N/A</v>
      </c>
    </row>
    <row r="118" spans="1:17">
      <c r="A118" s="28"/>
      <c r="B118" s="28"/>
      <c r="C118" s="28"/>
      <c r="D118" s="28"/>
      <c r="E118" s="28"/>
      <c r="F118" s="28"/>
      <c r="G118" s="26" t="str">
        <f t="shared" si="8"/>
        <v/>
      </c>
      <c r="H118" s="26" t="str">
        <f t="shared" si="15"/>
        <v/>
      </c>
      <c r="I118" s="26" t="str">
        <f t="shared" si="9"/>
        <v/>
      </c>
      <c r="J118" t="str">
        <f t="shared" si="10"/>
        <v/>
      </c>
      <c r="K118" s="26" t="str">
        <f t="shared" si="11"/>
        <v/>
      </c>
      <c r="L118" s="26" t="str">
        <f t="shared" si="12"/>
        <v/>
      </c>
      <c r="P118" t="e">
        <f t="shared" si="13"/>
        <v>#N/A</v>
      </c>
      <c r="Q118" t="e">
        <f t="shared" si="14"/>
        <v>#N/A</v>
      </c>
    </row>
    <row r="119" spans="1:17">
      <c r="A119" s="28"/>
      <c r="B119" s="28"/>
      <c r="C119" s="28"/>
      <c r="D119" s="28"/>
      <c r="E119" s="28"/>
      <c r="F119" s="28"/>
      <c r="G119" s="26" t="str">
        <f t="shared" si="8"/>
        <v/>
      </c>
      <c r="H119" s="26" t="str">
        <f t="shared" si="15"/>
        <v/>
      </c>
      <c r="I119" s="26" t="str">
        <f t="shared" si="9"/>
        <v/>
      </c>
      <c r="J119" t="str">
        <f t="shared" si="10"/>
        <v/>
      </c>
      <c r="K119" s="26" t="str">
        <f t="shared" si="11"/>
        <v/>
      </c>
      <c r="L119" s="26" t="str">
        <f t="shared" si="12"/>
        <v/>
      </c>
      <c r="P119" t="e">
        <f t="shared" si="13"/>
        <v>#N/A</v>
      </c>
      <c r="Q119" t="e">
        <f t="shared" si="14"/>
        <v>#N/A</v>
      </c>
    </row>
    <row r="120" spans="1:17">
      <c r="A120" s="28"/>
      <c r="B120" s="28"/>
      <c r="C120" s="28"/>
      <c r="D120" s="28"/>
      <c r="E120" s="28"/>
      <c r="F120" s="28"/>
      <c r="G120" s="26" t="str">
        <f t="shared" si="8"/>
        <v/>
      </c>
      <c r="H120" s="26" t="str">
        <f t="shared" si="15"/>
        <v/>
      </c>
      <c r="I120" s="26" t="str">
        <f t="shared" si="9"/>
        <v/>
      </c>
      <c r="J120" t="str">
        <f t="shared" si="10"/>
        <v/>
      </c>
      <c r="K120" s="26" t="str">
        <f t="shared" si="11"/>
        <v/>
      </c>
      <c r="L120" s="26" t="str">
        <f t="shared" si="12"/>
        <v/>
      </c>
      <c r="P120" t="e">
        <f t="shared" si="13"/>
        <v>#N/A</v>
      </c>
      <c r="Q120" t="e">
        <f t="shared" si="14"/>
        <v>#N/A</v>
      </c>
    </row>
    <row r="121" spans="1:17">
      <c r="A121" s="28"/>
      <c r="B121" s="28"/>
      <c r="C121" s="28"/>
      <c r="D121" s="28"/>
      <c r="E121" s="28"/>
      <c r="F121" s="28"/>
      <c r="G121" s="26" t="str">
        <f t="shared" si="8"/>
        <v/>
      </c>
      <c r="H121" s="26" t="str">
        <f t="shared" si="15"/>
        <v/>
      </c>
      <c r="I121" s="26" t="str">
        <f t="shared" si="9"/>
        <v/>
      </c>
      <c r="J121" t="str">
        <f t="shared" si="10"/>
        <v/>
      </c>
      <c r="K121" s="26" t="str">
        <f t="shared" si="11"/>
        <v/>
      </c>
      <c r="L121" s="26" t="str">
        <f t="shared" si="12"/>
        <v/>
      </c>
      <c r="P121" t="e">
        <f t="shared" si="13"/>
        <v>#N/A</v>
      </c>
      <c r="Q121" t="e">
        <f t="shared" si="14"/>
        <v>#N/A</v>
      </c>
    </row>
    <row r="122" spans="1:17">
      <c r="A122" s="28"/>
      <c r="B122" s="28"/>
      <c r="C122" s="28"/>
      <c r="D122" s="28"/>
      <c r="E122" s="28"/>
      <c r="F122" s="28"/>
      <c r="G122" s="26" t="str">
        <f t="shared" si="8"/>
        <v/>
      </c>
      <c r="H122" s="26" t="str">
        <f t="shared" si="15"/>
        <v/>
      </c>
      <c r="I122" s="26" t="str">
        <f t="shared" si="9"/>
        <v/>
      </c>
      <c r="J122" t="str">
        <f t="shared" si="10"/>
        <v/>
      </c>
      <c r="K122" s="26" t="str">
        <f t="shared" si="11"/>
        <v/>
      </c>
      <c r="L122" s="26" t="str">
        <f t="shared" si="12"/>
        <v/>
      </c>
      <c r="P122" t="e">
        <f t="shared" si="13"/>
        <v>#N/A</v>
      </c>
      <c r="Q122" t="e">
        <f t="shared" si="14"/>
        <v>#N/A</v>
      </c>
    </row>
    <row r="123" spans="1:17">
      <c r="A123" s="28"/>
      <c r="B123" s="28"/>
      <c r="C123" s="28"/>
      <c r="D123" s="28"/>
      <c r="E123" s="28"/>
      <c r="F123" s="28"/>
      <c r="G123" s="26" t="str">
        <f t="shared" si="8"/>
        <v/>
      </c>
      <c r="H123" s="26" t="str">
        <f t="shared" si="15"/>
        <v/>
      </c>
      <c r="I123" s="26" t="str">
        <f t="shared" si="9"/>
        <v/>
      </c>
      <c r="J123" t="str">
        <f t="shared" si="10"/>
        <v/>
      </c>
      <c r="K123" s="26" t="str">
        <f t="shared" si="11"/>
        <v/>
      </c>
      <c r="L123" s="26" t="str">
        <f t="shared" si="12"/>
        <v/>
      </c>
      <c r="P123" t="e">
        <f t="shared" si="13"/>
        <v>#N/A</v>
      </c>
      <c r="Q123" t="e">
        <f t="shared" si="14"/>
        <v>#N/A</v>
      </c>
    </row>
    <row r="124" spans="1:17">
      <c r="A124" s="28"/>
      <c r="B124" s="28"/>
      <c r="C124" s="28"/>
      <c r="D124" s="28"/>
      <c r="E124" s="28"/>
      <c r="F124" s="28"/>
      <c r="G124" s="26" t="str">
        <f t="shared" si="8"/>
        <v/>
      </c>
      <c r="H124" s="26" t="str">
        <f t="shared" si="15"/>
        <v/>
      </c>
      <c r="I124" s="26" t="str">
        <f t="shared" si="9"/>
        <v/>
      </c>
      <c r="J124" t="str">
        <f t="shared" si="10"/>
        <v/>
      </c>
      <c r="K124" s="26" t="str">
        <f t="shared" si="11"/>
        <v/>
      </c>
      <c r="L124" s="26" t="str">
        <f t="shared" si="12"/>
        <v/>
      </c>
      <c r="P124" t="e">
        <f t="shared" si="13"/>
        <v>#N/A</v>
      </c>
      <c r="Q124" t="e">
        <f t="shared" si="14"/>
        <v>#N/A</v>
      </c>
    </row>
    <row r="125" spans="1:17">
      <c r="A125" s="28"/>
      <c r="B125" s="28"/>
      <c r="C125" s="28"/>
      <c r="D125" s="28"/>
      <c r="E125" s="28"/>
      <c r="F125" s="28"/>
      <c r="G125" s="26" t="str">
        <f t="shared" si="8"/>
        <v/>
      </c>
      <c r="H125" s="26" t="str">
        <f t="shared" si="15"/>
        <v/>
      </c>
      <c r="I125" s="26" t="str">
        <f t="shared" si="9"/>
        <v/>
      </c>
      <c r="J125" t="str">
        <f t="shared" si="10"/>
        <v/>
      </c>
      <c r="K125" s="26" t="str">
        <f t="shared" si="11"/>
        <v/>
      </c>
      <c r="L125" s="26" t="str">
        <f t="shared" si="12"/>
        <v/>
      </c>
      <c r="P125" t="e">
        <f t="shared" si="13"/>
        <v>#N/A</v>
      </c>
      <c r="Q125" t="e">
        <f t="shared" si="14"/>
        <v>#N/A</v>
      </c>
    </row>
    <row r="126" spans="1:17">
      <c r="A126" s="28"/>
      <c r="B126" s="28"/>
      <c r="C126" s="28"/>
      <c r="D126" s="28"/>
      <c r="E126" s="28"/>
      <c r="F126" s="28"/>
      <c r="G126" s="26" t="str">
        <f t="shared" si="8"/>
        <v/>
      </c>
      <c r="H126" s="26" t="str">
        <f t="shared" si="15"/>
        <v/>
      </c>
      <c r="I126" s="26" t="str">
        <f t="shared" si="9"/>
        <v/>
      </c>
      <c r="J126" t="str">
        <f t="shared" si="10"/>
        <v/>
      </c>
      <c r="K126" s="26" t="str">
        <f t="shared" si="11"/>
        <v/>
      </c>
      <c r="L126" s="26" t="str">
        <f t="shared" si="12"/>
        <v/>
      </c>
      <c r="P126" t="e">
        <f t="shared" si="13"/>
        <v>#N/A</v>
      </c>
      <c r="Q126" t="e">
        <f t="shared" si="14"/>
        <v>#N/A</v>
      </c>
    </row>
    <row r="127" spans="1:17">
      <c r="A127" s="28"/>
      <c r="B127" s="28"/>
      <c r="C127" s="28"/>
      <c r="D127" s="28"/>
      <c r="E127" s="28"/>
      <c r="F127" s="28"/>
      <c r="G127" s="26" t="str">
        <f t="shared" si="8"/>
        <v/>
      </c>
      <c r="H127" s="26" t="str">
        <f t="shared" si="15"/>
        <v/>
      </c>
      <c r="I127" s="26" t="str">
        <f t="shared" si="9"/>
        <v/>
      </c>
      <c r="J127" t="str">
        <f t="shared" si="10"/>
        <v/>
      </c>
      <c r="K127" s="26" t="str">
        <f t="shared" si="11"/>
        <v/>
      </c>
      <c r="L127" s="26" t="str">
        <f t="shared" si="12"/>
        <v/>
      </c>
      <c r="P127" t="e">
        <f t="shared" si="13"/>
        <v>#N/A</v>
      </c>
      <c r="Q127" t="e">
        <f t="shared" si="14"/>
        <v>#N/A</v>
      </c>
    </row>
    <row r="128" spans="1:17">
      <c r="A128" s="28"/>
      <c r="B128" s="28"/>
      <c r="C128" s="28"/>
      <c r="D128" s="28"/>
      <c r="E128" s="28"/>
      <c r="F128" s="28"/>
      <c r="G128" s="26" t="str">
        <f t="shared" si="8"/>
        <v/>
      </c>
      <c r="H128" s="26" t="str">
        <f t="shared" si="15"/>
        <v/>
      </c>
      <c r="I128" s="26" t="str">
        <f t="shared" si="9"/>
        <v/>
      </c>
      <c r="J128" t="str">
        <f t="shared" si="10"/>
        <v/>
      </c>
      <c r="K128" s="26" t="str">
        <f t="shared" si="11"/>
        <v/>
      </c>
      <c r="L128" s="26" t="str">
        <f t="shared" si="12"/>
        <v/>
      </c>
      <c r="P128" t="e">
        <f t="shared" si="13"/>
        <v>#N/A</v>
      </c>
      <c r="Q128" t="e">
        <f t="shared" si="14"/>
        <v>#N/A</v>
      </c>
    </row>
    <row r="129" spans="1:17">
      <c r="A129" s="28"/>
      <c r="B129" s="28"/>
      <c r="C129" s="28"/>
      <c r="D129" s="28"/>
      <c r="E129" s="28"/>
      <c r="F129" s="28"/>
      <c r="G129" s="26" t="str">
        <f t="shared" si="8"/>
        <v/>
      </c>
      <c r="H129" s="26" t="str">
        <f t="shared" si="15"/>
        <v/>
      </c>
      <c r="I129" s="26" t="str">
        <f t="shared" si="9"/>
        <v/>
      </c>
      <c r="J129" t="str">
        <f t="shared" si="10"/>
        <v/>
      </c>
      <c r="K129" s="26" t="str">
        <f t="shared" si="11"/>
        <v/>
      </c>
      <c r="L129" s="26" t="str">
        <f t="shared" si="12"/>
        <v/>
      </c>
      <c r="P129" t="e">
        <f t="shared" si="13"/>
        <v>#N/A</v>
      </c>
      <c r="Q129" t="e">
        <f t="shared" si="14"/>
        <v>#N/A</v>
      </c>
    </row>
    <row r="130" spans="1:17">
      <c r="A130" s="28"/>
      <c r="B130" s="28"/>
      <c r="C130" s="28"/>
      <c r="D130" s="28"/>
      <c r="E130" s="28"/>
      <c r="F130" s="28"/>
      <c r="G130" s="26" t="str">
        <f t="shared" ref="G130:G193" si="16">IF(B130="","",243.04*(LN(C130/100)+17.625*B130/(243.04+B130))/(17.625-LN(C130/100)-17.625*B130/(243.04+B130)))</f>
        <v/>
      </c>
      <c r="H130" s="26" t="str">
        <f t="shared" si="15"/>
        <v/>
      </c>
      <c r="I130" s="26" t="str">
        <f t="shared" ref="I130:I193" si="17">IF(B130="","",B130-E130)</f>
        <v/>
      </c>
      <c r="J130" t="str">
        <f t="shared" ref="J130:J193" si="18">IF(H130="","",IF(H130&gt;0.6,"Heating",IF(H130&lt;-0.2,"Cooling","Steady")))</f>
        <v/>
      </c>
      <c r="K130" s="26" t="str">
        <f t="shared" ref="K130:K193" si="19">IF(J130="Cooling",I130,"")</f>
        <v/>
      </c>
      <c r="L130" s="26" t="str">
        <f t="shared" ref="L130:L193" si="20">IF(J130="Cooling",H130,"")</f>
        <v/>
      </c>
      <c r="P130" t="e">
        <f t="shared" ref="P130:P193" si="21">IF(K130="",NA(),K130)</f>
        <v>#N/A</v>
      </c>
      <c r="Q130" t="e">
        <f t="shared" ref="Q130:Q193" si="22">IF(L130="",NA(),L130)</f>
        <v>#N/A</v>
      </c>
    </row>
    <row r="131" spans="1:17">
      <c r="A131" s="28"/>
      <c r="B131" s="28"/>
      <c r="C131" s="28"/>
      <c r="D131" s="28"/>
      <c r="E131" s="28"/>
      <c r="F131" s="28"/>
      <c r="G131" s="26" t="str">
        <f t="shared" si="16"/>
        <v/>
      </c>
      <c r="H131" s="26" t="str">
        <f t="shared" si="15"/>
        <v/>
      </c>
      <c r="I131" s="26" t="str">
        <f t="shared" si="17"/>
        <v/>
      </c>
      <c r="J131" t="str">
        <f t="shared" si="18"/>
        <v/>
      </c>
      <c r="K131" s="26" t="str">
        <f t="shared" si="19"/>
        <v/>
      </c>
      <c r="L131" s="26" t="str">
        <f t="shared" si="20"/>
        <v/>
      </c>
      <c r="P131" t="e">
        <f t="shared" si="21"/>
        <v>#N/A</v>
      </c>
      <c r="Q131" t="e">
        <f t="shared" si="22"/>
        <v>#N/A</v>
      </c>
    </row>
    <row r="132" spans="1:17">
      <c r="A132" s="28"/>
      <c r="B132" s="28"/>
      <c r="C132" s="28"/>
      <c r="D132" s="28"/>
      <c r="E132" s="28"/>
      <c r="F132" s="28"/>
      <c r="G132" s="26" t="str">
        <f t="shared" si="16"/>
        <v/>
      </c>
      <c r="H132" s="26" t="str">
        <f t="shared" ref="H132:H195" si="23">IFERROR(IF(OR(B130="",B134=""),"",(B134-B130)/4*60),"")</f>
        <v/>
      </c>
      <c r="I132" s="26" t="str">
        <f t="shared" si="17"/>
        <v/>
      </c>
      <c r="J132" t="str">
        <f t="shared" si="18"/>
        <v/>
      </c>
      <c r="K132" s="26" t="str">
        <f t="shared" si="19"/>
        <v/>
      </c>
      <c r="L132" s="26" t="str">
        <f t="shared" si="20"/>
        <v/>
      </c>
      <c r="P132" t="e">
        <f t="shared" si="21"/>
        <v>#N/A</v>
      </c>
      <c r="Q132" t="e">
        <f t="shared" si="22"/>
        <v>#N/A</v>
      </c>
    </row>
    <row r="133" spans="1:17">
      <c r="A133" s="28"/>
      <c r="B133" s="28"/>
      <c r="C133" s="28"/>
      <c r="D133" s="28"/>
      <c r="E133" s="28"/>
      <c r="F133" s="28"/>
      <c r="G133" s="26" t="str">
        <f t="shared" si="16"/>
        <v/>
      </c>
      <c r="H133" s="26" t="str">
        <f t="shared" si="23"/>
        <v/>
      </c>
      <c r="I133" s="26" t="str">
        <f t="shared" si="17"/>
        <v/>
      </c>
      <c r="J133" t="str">
        <f t="shared" si="18"/>
        <v/>
      </c>
      <c r="K133" s="26" t="str">
        <f t="shared" si="19"/>
        <v/>
      </c>
      <c r="L133" s="26" t="str">
        <f t="shared" si="20"/>
        <v/>
      </c>
      <c r="P133" t="e">
        <f t="shared" si="21"/>
        <v>#N/A</v>
      </c>
      <c r="Q133" t="e">
        <f t="shared" si="22"/>
        <v>#N/A</v>
      </c>
    </row>
    <row r="134" spans="1:17">
      <c r="A134" s="28"/>
      <c r="B134" s="28"/>
      <c r="C134" s="28"/>
      <c r="D134" s="28"/>
      <c r="E134" s="28"/>
      <c r="F134" s="28"/>
      <c r="G134" s="26" t="str">
        <f t="shared" si="16"/>
        <v/>
      </c>
      <c r="H134" s="26" t="str">
        <f t="shared" si="23"/>
        <v/>
      </c>
      <c r="I134" s="26" t="str">
        <f t="shared" si="17"/>
        <v/>
      </c>
      <c r="J134" t="str">
        <f t="shared" si="18"/>
        <v/>
      </c>
      <c r="K134" s="26" t="str">
        <f t="shared" si="19"/>
        <v/>
      </c>
      <c r="L134" s="26" t="str">
        <f t="shared" si="20"/>
        <v/>
      </c>
      <c r="P134" t="e">
        <f t="shared" si="21"/>
        <v>#N/A</v>
      </c>
      <c r="Q134" t="e">
        <f t="shared" si="22"/>
        <v>#N/A</v>
      </c>
    </row>
    <row r="135" spans="1:17">
      <c r="A135" s="28"/>
      <c r="B135" s="28"/>
      <c r="C135" s="28"/>
      <c r="D135" s="28"/>
      <c r="E135" s="28"/>
      <c r="F135" s="28"/>
      <c r="G135" s="26" t="str">
        <f t="shared" si="16"/>
        <v/>
      </c>
      <c r="H135" s="26" t="str">
        <f t="shared" si="23"/>
        <v/>
      </c>
      <c r="I135" s="26" t="str">
        <f t="shared" si="17"/>
        <v/>
      </c>
      <c r="J135" t="str">
        <f t="shared" si="18"/>
        <v/>
      </c>
      <c r="K135" s="26" t="str">
        <f t="shared" si="19"/>
        <v/>
      </c>
      <c r="L135" s="26" t="str">
        <f t="shared" si="20"/>
        <v/>
      </c>
      <c r="P135" t="e">
        <f t="shared" si="21"/>
        <v>#N/A</v>
      </c>
      <c r="Q135" t="e">
        <f t="shared" si="22"/>
        <v>#N/A</v>
      </c>
    </row>
    <row r="136" spans="1:17">
      <c r="A136" s="28"/>
      <c r="B136" s="28"/>
      <c r="C136" s="28"/>
      <c r="D136" s="28"/>
      <c r="E136" s="28"/>
      <c r="F136" s="28"/>
      <c r="G136" s="26" t="str">
        <f t="shared" si="16"/>
        <v/>
      </c>
      <c r="H136" s="26" t="str">
        <f t="shared" si="23"/>
        <v/>
      </c>
      <c r="I136" s="26" t="str">
        <f t="shared" si="17"/>
        <v/>
      </c>
      <c r="J136" t="str">
        <f t="shared" si="18"/>
        <v/>
      </c>
      <c r="K136" s="26" t="str">
        <f t="shared" si="19"/>
        <v/>
      </c>
      <c r="L136" s="26" t="str">
        <f t="shared" si="20"/>
        <v/>
      </c>
      <c r="P136" t="e">
        <f t="shared" si="21"/>
        <v>#N/A</v>
      </c>
      <c r="Q136" t="e">
        <f t="shared" si="22"/>
        <v>#N/A</v>
      </c>
    </row>
    <row r="137" spans="1:17">
      <c r="A137" s="28"/>
      <c r="B137" s="28"/>
      <c r="C137" s="28"/>
      <c r="D137" s="28"/>
      <c r="E137" s="28"/>
      <c r="F137" s="28"/>
      <c r="G137" s="26" t="str">
        <f t="shared" si="16"/>
        <v/>
      </c>
      <c r="H137" s="26" t="str">
        <f t="shared" si="23"/>
        <v/>
      </c>
      <c r="I137" s="26" t="str">
        <f t="shared" si="17"/>
        <v/>
      </c>
      <c r="J137" t="str">
        <f t="shared" si="18"/>
        <v/>
      </c>
      <c r="K137" s="26" t="str">
        <f t="shared" si="19"/>
        <v/>
      </c>
      <c r="L137" s="26" t="str">
        <f t="shared" si="20"/>
        <v/>
      </c>
      <c r="P137" t="e">
        <f t="shared" si="21"/>
        <v>#N/A</v>
      </c>
      <c r="Q137" t="e">
        <f t="shared" si="22"/>
        <v>#N/A</v>
      </c>
    </row>
    <row r="138" spans="1:17">
      <c r="A138" s="28"/>
      <c r="B138" s="28"/>
      <c r="C138" s="28"/>
      <c r="D138" s="28"/>
      <c r="E138" s="28"/>
      <c r="F138" s="28"/>
      <c r="G138" s="26" t="str">
        <f t="shared" si="16"/>
        <v/>
      </c>
      <c r="H138" s="26" t="str">
        <f t="shared" si="23"/>
        <v/>
      </c>
      <c r="I138" s="26" t="str">
        <f t="shared" si="17"/>
        <v/>
      </c>
      <c r="J138" t="str">
        <f t="shared" si="18"/>
        <v/>
      </c>
      <c r="K138" s="26" t="str">
        <f t="shared" si="19"/>
        <v/>
      </c>
      <c r="L138" s="26" t="str">
        <f t="shared" si="20"/>
        <v/>
      </c>
      <c r="P138" t="e">
        <f t="shared" si="21"/>
        <v>#N/A</v>
      </c>
      <c r="Q138" t="e">
        <f t="shared" si="22"/>
        <v>#N/A</v>
      </c>
    </row>
    <row r="139" spans="1:17">
      <c r="A139" s="28"/>
      <c r="B139" s="28"/>
      <c r="C139" s="28"/>
      <c r="D139" s="28"/>
      <c r="E139" s="28"/>
      <c r="F139" s="28"/>
      <c r="G139" s="26" t="str">
        <f t="shared" si="16"/>
        <v/>
      </c>
      <c r="H139" s="26" t="str">
        <f t="shared" si="23"/>
        <v/>
      </c>
      <c r="I139" s="26" t="str">
        <f t="shared" si="17"/>
        <v/>
      </c>
      <c r="J139" t="str">
        <f t="shared" si="18"/>
        <v/>
      </c>
      <c r="K139" s="26" t="str">
        <f t="shared" si="19"/>
        <v/>
      </c>
      <c r="L139" s="26" t="str">
        <f t="shared" si="20"/>
        <v/>
      </c>
      <c r="P139" t="e">
        <f t="shared" si="21"/>
        <v>#N/A</v>
      </c>
      <c r="Q139" t="e">
        <f t="shared" si="22"/>
        <v>#N/A</v>
      </c>
    </row>
    <row r="140" spans="1:17">
      <c r="A140" s="28"/>
      <c r="B140" s="28"/>
      <c r="C140" s="28"/>
      <c r="D140" s="28"/>
      <c r="E140" s="28"/>
      <c r="F140" s="28"/>
      <c r="G140" s="26" t="str">
        <f t="shared" si="16"/>
        <v/>
      </c>
      <c r="H140" s="26" t="str">
        <f t="shared" si="23"/>
        <v/>
      </c>
      <c r="I140" s="26" t="str">
        <f t="shared" si="17"/>
        <v/>
      </c>
      <c r="J140" t="str">
        <f t="shared" si="18"/>
        <v/>
      </c>
      <c r="K140" s="26" t="str">
        <f t="shared" si="19"/>
        <v/>
      </c>
      <c r="L140" s="26" t="str">
        <f t="shared" si="20"/>
        <v/>
      </c>
      <c r="P140" t="e">
        <f t="shared" si="21"/>
        <v>#N/A</v>
      </c>
      <c r="Q140" t="e">
        <f t="shared" si="22"/>
        <v>#N/A</v>
      </c>
    </row>
    <row r="141" spans="1:17">
      <c r="A141" s="28"/>
      <c r="B141" s="28"/>
      <c r="C141" s="28"/>
      <c r="D141" s="28"/>
      <c r="E141" s="28"/>
      <c r="F141" s="28"/>
      <c r="G141" s="26" t="str">
        <f t="shared" si="16"/>
        <v/>
      </c>
      <c r="H141" s="26" t="str">
        <f t="shared" si="23"/>
        <v/>
      </c>
      <c r="I141" s="26" t="str">
        <f t="shared" si="17"/>
        <v/>
      </c>
      <c r="J141" t="str">
        <f t="shared" si="18"/>
        <v/>
      </c>
      <c r="K141" s="26" t="str">
        <f t="shared" si="19"/>
        <v/>
      </c>
      <c r="L141" s="26" t="str">
        <f t="shared" si="20"/>
        <v/>
      </c>
      <c r="P141" t="e">
        <f t="shared" si="21"/>
        <v>#N/A</v>
      </c>
      <c r="Q141" t="e">
        <f t="shared" si="22"/>
        <v>#N/A</v>
      </c>
    </row>
    <row r="142" spans="1:17">
      <c r="A142" s="28"/>
      <c r="B142" s="28"/>
      <c r="C142" s="28"/>
      <c r="D142" s="28"/>
      <c r="E142" s="28"/>
      <c r="F142" s="28"/>
      <c r="G142" s="26" t="str">
        <f t="shared" si="16"/>
        <v/>
      </c>
      <c r="H142" s="26" t="str">
        <f t="shared" si="23"/>
        <v/>
      </c>
      <c r="I142" s="26" t="str">
        <f t="shared" si="17"/>
        <v/>
      </c>
      <c r="J142" t="str">
        <f t="shared" si="18"/>
        <v/>
      </c>
      <c r="K142" s="26" t="str">
        <f t="shared" si="19"/>
        <v/>
      </c>
      <c r="L142" s="26" t="str">
        <f t="shared" si="20"/>
        <v/>
      </c>
      <c r="P142" t="e">
        <f t="shared" si="21"/>
        <v>#N/A</v>
      </c>
      <c r="Q142" t="e">
        <f t="shared" si="22"/>
        <v>#N/A</v>
      </c>
    </row>
    <row r="143" spans="1:17">
      <c r="A143" s="28"/>
      <c r="B143" s="28"/>
      <c r="C143" s="28"/>
      <c r="D143" s="28"/>
      <c r="E143" s="28"/>
      <c r="F143" s="28"/>
      <c r="G143" s="26" t="str">
        <f t="shared" si="16"/>
        <v/>
      </c>
      <c r="H143" s="26" t="str">
        <f t="shared" si="23"/>
        <v/>
      </c>
      <c r="I143" s="26" t="str">
        <f t="shared" si="17"/>
        <v/>
      </c>
      <c r="J143" t="str">
        <f t="shared" si="18"/>
        <v/>
      </c>
      <c r="K143" s="26" t="str">
        <f t="shared" si="19"/>
        <v/>
      </c>
      <c r="L143" s="26" t="str">
        <f t="shared" si="20"/>
        <v/>
      </c>
      <c r="P143" t="e">
        <f t="shared" si="21"/>
        <v>#N/A</v>
      </c>
      <c r="Q143" t="e">
        <f t="shared" si="22"/>
        <v>#N/A</v>
      </c>
    </row>
    <row r="144" spans="1:17">
      <c r="A144" s="28"/>
      <c r="B144" s="28"/>
      <c r="C144" s="28"/>
      <c r="D144" s="28"/>
      <c r="E144" s="28"/>
      <c r="F144" s="28"/>
      <c r="G144" s="26" t="str">
        <f t="shared" si="16"/>
        <v/>
      </c>
      <c r="H144" s="26" t="str">
        <f t="shared" si="23"/>
        <v/>
      </c>
      <c r="I144" s="26" t="str">
        <f t="shared" si="17"/>
        <v/>
      </c>
      <c r="J144" t="str">
        <f t="shared" si="18"/>
        <v/>
      </c>
      <c r="K144" s="26" t="str">
        <f t="shared" si="19"/>
        <v/>
      </c>
      <c r="L144" s="26" t="str">
        <f t="shared" si="20"/>
        <v/>
      </c>
      <c r="P144" t="e">
        <f t="shared" si="21"/>
        <v>#N/A</v>
      </c>
      <c r="Q144" t="e">
        <f t="shared" si="22"/>
        <v>#N/A</v>
      </c>
    </row>
    <row r="145" spans="1:17">
      <c r="A145" s="28"/>
      <c r="B145" s="28"/>
      <c r="C145" s="28"/>
      <c r="D145" s="28"/>
      <c r="E145" s="28"/>
      <c r="F145" s="28"/>
      <c r="G145" s="26" t="str">
        <f t="shared" si="16"/>
        <v/>
      </c>
      <c r="H145" s="26" t="str">
        <f t="shared" si="23"/>
        <v/>
      </c>
      <c r="I145" s="26" t="str">
        <f t="shared" si="17"/>
        <v/>
      </c>
      <c r="J145" t="str">
        <f t="shared" si="18"/>
        <v/>
      </c>
      <c r="K145" s="26" t="str">
        <f t="shared" si="19"/>
        <v/>
      </c>
      <c r="L145" s="26" t="str">
        <f t="shared" si="20"/>
        <v/>
      </c>
      <c r="P145" t="e">
        <f t="shared" si="21"/>
        <v>#N/A</v>
      </c>
      <c r="Q145" t="e">
        <f t="shared" si="22"/>
        <v>#N/A</v>
      </c>
    </row>
    <row r="146" spans="1:17">
      <c r="A146" s="28"/>
      <c r="B146" s="28"/>
      <c r="C146" s="28"/>
      <c r="D146" s="28"/>
      <c r="E146" s="28"/>
      <c r="F146" s="28"/>
      <c r="G146" s="26" t="str">
        <f t="shared" si="16"/>
        <v/>
      </c>
      <c r="H146" s="26" t="str">
        <f t="shared" si="23"/>
        <v/>
      </c>
      <c r="I146" s="26" t="str">
        <f t="shared" si="17"/>
        <v/>
      </c>
      <c r="J146" t="str">
        <f t="shared" si="18"/>
        <v/>
      </c>
      <c r="K146" s="26" t="str">
        <f t="shared" si="19"/>
        <v/>
      </c>
      <c r="L146" s="26" t="str">
        <f t="shared" si="20"/>
        <v/>
      </c>
      <c r="P146" t="e">
        <f t="shared" si="21"/>
        <v>#N/A</v>
      </c>
      <c r="Q146" t="e">
        <f t="shared" si="22"/>
        <v>#N/A</v>
      </c>
    </row>
    <row r="147" spans="1:17">
      <c r="A147" s="28"/>
      <c r="B147" s="28"/>
      <c r="C147" s="28"/>
      <c r="D147" s="28"/>
      <c r="E147" s="28"/>
      <c r="F147" s="28"/>
      <c r="G147" s="26" t="str">
        <f t="shared" si="16"/>
        <v/>
      </c>
      <c r="H147" s="26" t="str">
        <f t="shared" si="23"/>
        <v/>
      </c>
      <c r="I147" s="26" t="str">
        <f t="shared" si="17"/>
        <v/>
      </c>
      <c r="J147" t="str">
        <f t="shared" si="18"/>
        <v/>
      </c>
      <c r="K147" s="26" t="str">
        <f t="shared" si="19"/>
        <v/>
      </c>
      <c r="L147" s="26" t="str">
        <f t="shared" si="20"/>
        <v/>
      </c>
      <c r="P147" t="e">
        <f t="shared" si="21"/>
        <v>#N/A</v>
      </c>
      <c r="Q147" t="e">
        <f t="shared" si="22"/>
        <v>#N/A</v>
      </c>
    </row>
    <row r="148" spans="1:17">
      <c r="A148" s="28"/>
      <c r="B148" s="28"/>
      <c r="C148" s="28"/>
      <c r="D148" s="28"/>
      <c r="E148" s="28"/>
      <c r="F148" s="28"/>
      <c r="G148" s="26" t="str">
        <f t="shared" si="16"/>
        <v/>
      </c>
      <c r="H148" s="26" t="str">
        <f t="shared" si="23"/>
        <v/>
      </c>
      <c r="I148" s="26" t="str">
        <f t="shared" si="17"/>
        <v/>
      </c>
      <c r="J148" t="str">
        <f t="shared" si="18"/>
        <v/>
      </c>
      <c r="K148" s="26" t="str">
        <f t="shared" si="19"/>
        <v/>
      </c>
      <c r="L148" s="26" t="str">
        <f t="shared" si="20"/>
        <v/>
      </c>
      <c r="P148" t="e">
        <f t="shared" si="21"/>
        <v>#N/A</v>
      </c>
      <c r="Q148" t="e">
        <f t="shared" si="22"/>
        <v>#N/A</v>
      </c>
    </row>
    <row r="149" spans="1:17">
      <c r="A149" s="28"/>
      <c r="B149" s="28"/>
      <c r="C149" s="28"/>
      <c r="D149" s="28"/>
      <c r="E149" s="28"/>
      <c r="F149" s="28"/>
      <c r="G149" s="26" t="str">
        <f t="shared" si="16"/>
        <v/>
      </c>
      <c r="H149" s="26" t="str">
        <f t="shared" si="23"/>
        <v/>
      </c>
      <c r="I149" s="26" t="str">
        <f t="shared" si="17"/>
        <v/>
      </c>
      <c r="J149" t="str">
        <f t="shared" si="18"/>
        <v/>
      </c>
      <c r="K149" s="26" t="str">
        <f t="shared" si="19"/>
        <v/>
      </c>
      <c r="L149" s="26" t="str">
        <f t="shared" si="20"/>
        <v/>
      </c>
      <c r="P149" t="e">
        <f t="shared" si="21"/>
        <v>#N/A</v>
      </c>
      <c r="Q149" t="e">
        <f t="shared" si="22"/>
        <v>#N/A</v>
      </c>
    </row>
    <row r="150" spans="1:17">
      <c r="A150" s="28"/>
      <c r="B150" s="28"/>
      <c r="C150" s="28"/>
      <c r="D150" s="28"/>
      <c r="E150" s="28"/>
      <c r="F150" s="28"/>
      <c r="G150" s="26" t="str">
        <f t="shared" si="16"/>
        <v/>
      </c>
      <c r="H150" s="26" t="str">
        <f t="shared" si="23"/>
        <v/>
      </c>
      <c r="I150" s="26" t="str">
        <f t="shared" si="17"/>
        <v/>
      </c>
      <c r="J150" t="str">
        <f t="shared" si="18"/>
        <v/>
      </c>
      <c r="K150" s="26" t="str">
        <f t="shared" si="19"/>
        <v/>
      </c>
      <c r="L150" s="26" t="str">
        <f t="shared" si="20"/>
        <v/>
      </c>
      <c r="P150" t="e">
        <f t="shared" si="21"/>
        <v>#N/A</v>
      </c>
      <c r="Q150" t="e">
        <f t="shared" si="22"/>
        <v>#N/A</v>
      </c>
    </row>
    <row r="151" spans="1:17">
      <c r="A151" s="28"/>
      <c r="B151" s="28"/>
      <c r="C151" s="28"/>
      <c r="D151" s="28"/>
      <c r="E151" s="28"/>
      <c r="F151" s="28"/>
      <c r="G151" s="26" t="str">
        <f t="shared" si="16"/>
        <v/>
      </c>
      <c r="H151" s="26" t="str">
        <f t="shared" si="23"/>
        <v/>
      </c>
      <c r="I151" s="26" t="str">
        <f t="shared" si="17"/>
        <v/>
      </c>
      <c r="J151" t="str">
        <f t="shared" si="18"/>
        <v/>
      </c>
      <c r="K151" s="26" t="str">
        <f t="shared" si="19"/>
        <v/>
      </c>
      <c r="L151" s="26" t="str">
        <f t="shared" si="20"/>
        <v/>
      </c>
      <c r="P151" t="e">
        <f t="shared" si="21"/>
        <v>#N/A</v>
      </c>
      <c r="Q151" t="e">
        <f t="shared" si="22"/>
        <v>#N/A</v>
      </c>
    </row>
    <row r="152" spans="1:17">
      <c r="A152" s="28"/>
      <c r="B152" s="28"/>
      <c r="C152" s="28"/>
      <c r="D152" s="28"/>
      <c r="E152" s="28"/>
      <c r="F152" s="28"/>
      <c r="G152" s="26" t="str">
        <f t="shared" si="16"/>
        <v/>
      </c>
      <c r="H152" s="26" t="str">
        <f t="shared" si="23"/>
        <v/>
      </c>
      <c r="I152" s="26" t="str">
        <f t="shared" si="17"/>
        <v/>
      </c>
      <c r="J152" t="str">
        <f t="shared" si="18"/>
        <v/>
      </c>
      <c r="K152" s="26" t="str">
        <f t="shared" si="19"/>
        <v/>
      </c>
      <c r="L152" s="26" t="str">
        <f t="shared" si="20"/>
        <v/>
      </c>
      <c r="P152" t="e">
        <f t="shared" si="21"/>
        <v>#N/A</v>
      </c>
      <c r="Q152" t="e">
        <f t="shared" si="22"/>
        <v>#N/A</v>
      </c>
    </row>
    <row r="153" spans="1:17">
      <c r="A153" s="28"/>
      <c r="B153" s="28"/>
      <c r="C153" s="28"/>
      <c r="D153" s="28"/>
      <c r="E153" s="28"/>
      <c r="F153" s="28"/>
      <c r="G153" s="26" t="str">
        <f t="shared" si="16"/>
        <v/>
      </c>
      <c r="H153" s="26" t="str">
        <f t="shared" si="23"/>
        <v/>
      </c>
      <c r="I153" s="26" t="str">
        <f t="shared" si="17"/>
        <v/>
      </c>
      <c r="J153" t="str">
        <f t="shared" si="18"/>
        <v/>
      </c>
      <c r="K153" s="26" t="str">
        <f t="shared" si="19"/>
        <v/>
      </c>
      <c r="L153" s="26" t="str">
        <f t="shared" si="20"/>
        <v/>
      </c>
      <c r="P153" t="e">
        <f t="shared" si="21"/>
        <v>#N/A</v>
      </c>
      <c r="Q153" t="e">
        <f t="shared" si="22"/>
        <v>#N/A</v>
      </c>
    </row>
    <row r="154" spans="1:17">
      <c r="A154" s="28"/>
      <c r="B154" s="28"/>
      <c r="C154" s="28"/>
      <c r="D154" s="28"/>
      <c r="E154" s="28"/>
      <c r="F154" s="28"/>
      <c r="G154" s="26" t="str">
        <f t="shared" si="16"/>
        <v/>
      </c>
      <c r="H154" s="26" t="str">
        <f t="shared" si="23"/>
        <v/>
      </c>
      <c r="I154" s="26" t="str">
        <f t="shared" si="17"/>
        <v/>
      </c>
      <c r="J154" t="str">
        <f t="shared" si="18"/>
        <v/>
      </c>
      <c r="K154" s="26" t="str">
        <f t="shared" si="19"/>
        <v/>
      </c>
      <c r="L154" s="26" t="str">
        <f t="shared" si="20"/>
        <v/>
      </c>
      <c r="P154" t="e">
        <f t="shared" si="21"/>
        <v>#N/A</v>
      </c>
      <c r="Q154" t="e">
        <f t="shared" si="22"/>
        <v>#N/A</v>
      </c>
    </row>
    <row r="155" spans="1:17">
      <c r="A155" s="28"/>
      <c r="B155" s="28"/>
      <c r="C155" s="28"/>
      <c r="D155" s="28"/>
      <c r="E155" s="28"/>
      <c r="F155" s="28"/>
      <c r="G155" s="26" t="str">
        <f t="shared" si="16"/>
        <v/>
      </c>
      <c r="H155" s="26" t="str">
        <f t="shared" si="23"/>
        <v/>
      </c>
      <c r="I155" s="26" t="str">
        <f t="shared" si="17"/>
        <v/>
      </c>
      <c r="J155" t="str">
        <f t="shared" si="18"/>
        <v/>
      </c>
      <c r="K155" s="26" t="str">
        <f t="shared" si="19"/>
        <v/>
      </c>
      <c r="L155" s="26" t="str">
        <f t="shared" si="20"/>
        <v/>
      </c>
      <c r="P155" t="e">
        <f t="shared" si="21"/>
        <v>#N/A</v>
      </c>
      <c r="Q155" t="e">
        <f t="shared" si="22"/>
        <v>#N/A</v>
      </c>
    </row>
    <row r="156" spans="1:17">
      <c r="A156" s="28"/>
      <c r="B156" s="28"/>
      <c r="C156" s="28"/>
      <c r="D156" s="28"/>
      <c r="E156" s="28"/>
      <c r="F156" s="28"/>
      <c r="G156" s="26" t="str">
        <f t="shared" si="16"/>
        <v/>
      </c>
      <c r="H156" s="26" t="str">
        <f t="shared" si="23"/>
        <v/>
      </c>
      <c r="I156" s="26" t="str">
        <f t="shared" si="17"/>
        <v/>
      </c>
      <c r="J156" t="str">
        <f t="shared" si="18"/>
        <v/>
      </c>
      <c r="K156" s="26" t="str">
        <f t="shared" si="19"/>
        <v/>
      </c>
      <c r="L156" s="26" t="str">
        <f t="shared" si="20"/>
        <v/>
      </c>
      <c r="P156" t="e">
        <f t="shared" si="21"/>
        <v>#N/A</v>
      </c>
      <c r="Q156" t="e">
        <f t="shared" si="22"/>
        <v>#N/A</v>
      </c>
    </row>
    <row r="157" spans="1:17">
      <c r="A157" s="28"/>
      <c r="B157" s="28"/>
      <c r="C157" s="28"/>
      <c r="D157" s="28"/>
      <c r="E157" s="28"/>
      <c r="F157" s="28"/>
      <c r="G157" s="26" t="str">
        <f t="shared" si="16"/>
        <v/>
      </c>
      <c r="H157" s="26" t="str">
        <f t="shared" si="23"/>
        <v/>
      </c>
      <c r="I157" s="26" t="str">
        <f t="shared" si="17"/>
        <v/>
      </c>
      <c r="J157" t="str">
        <f t="shared" si="18"/>
        <v/>
      </c>
      <c r="K157" s="26" t="str">
        <f t="shared" si="19"/>
        <v/>
      </c>
      <c r="L157" s="26" t="str">
        <f t="shared" si="20"/>
        <v/>
      </c>
      <c r="P157" t="e">
        <f t="shared" si="21"/>
        <v>#N/A</v>
      </c>
      <c r="Q157" t="e">
        <f t="shared" si="22"/>
        <v>#N/A</v>
      </c>
    </row>
    <row r="158" spans="1:17">
      <c r="A158" s="28"/>
      <c r="B158" s="28"/>
      <c r="C158" s="28"/>
      <c r="D158" s="28"/>
      <c r="E158" s="28"/>
      <c r="F158" s="28"/>
      <c r="G158" s="26" t="str">
        <f t="shared" si="16"/>
        <v/>
      </c>
      <c r="H158" s="26" t="str">
        <f t="shared" si="23"/>
        <v/>
      </c>
      <c r="I158" s="26" t="str">
        <f t="shared" si="17"/>
        <v/>
      </c>
      <c r="J158" t="str">
        <f t="shared" si="18"/>
        <v/>
      </c>
      <c r="K158" s="26" t="str">
        <f t="shared" si="19"/>
        <v/>
      </c>
      <c r="L158" s="26" t="str">
        <f t="shared" si="20"/>
        <v/>
      </c>
      <c r="P158" t="e">
        <f t="shared" si="21"/>
        <v>#N/A</v>
      </c>
      <c r="Q158" t="e">
        <f t="shared" si="22"/>
        <v>#N/A</v>
      </c>
    </row>
    <row r="159" spans="1:17">
      <c r="A159" s="28"/>
      <c r="B159" s="28"/>
      <c r="C159" s="28"/>
      <c r="D159" s="28"/>
      <c r="E159" s="28"/>
      <c r="F159" s="28"/>
      <c r="G159" s="26" t="str">
        <f t="shared" si="16"/>
        <v/>
      </c>
      <c r="H159" s="26" t="str">
        <f t="shared" si="23"/>
        <v/>
      </c>
      <c r="I159" s="26" t="str">
        <f t="shared" si="17"/>
        <v/>
      </c>
      <c r="J159" t="str">
        <f t="shared" si="18"/>
        <v/>
      </c>
      <c r="K159" s="26" t="str">
        <f t="shared" si="19"/>
        <v/>
      </c>
      <c r="L159" s="26" t="str">
        <f t="shared" si="20"/>
        <v/>
      </c>
      <c r="P159" t="e">
        <f t="shared" si="21"/>
        <v>#N/A</v>
      </c>
      <c r="Q159" t="e">
        <f t="shared" si="22"/>
        <v>#N/A</v>
      </c>
    </row>
    <row r="160" spans="1:17">
      <c r="A160" s="28"/>
      <c r="B160" s="28"/>
      <c r="C160" s="28"/>
      <c r="D160" s="28"/>
      <c r="E160" s="28"/>
      <c r="F160" s="28"/>
      <c r="G160" s="26" t="str">
        <f t="shared" si="16"/>
        <v/>
      </c>
      <c r="H160" s="26" t="str">
        <f t="shared" si="23"/>
        <v/>
      </c>
      <c r="I160" s="26" t="str">
        <f t="shared" si="17"/>
        <v/>
      </c>
      <c r="J160" t="str">
        <f t="shared" si="18"/>
        <v/>
      </c>
      <c r="K160" s="26" t="str">
        <f t="shared" si="19"/>
        <v/>
      </c>
      <c r="L160" s="26" t="str">
        <f t="shared" si="20"/>
        <v/>
      </c>
      <c r="P160" t="e">
        <f t="shared" si="21"/>
        <v>#N/A</v>
      </c>
      <c r="Q160" t="e">
        <f t="shared" si="22"/>
        <v>#N/A</v>
      </c>
    </row>
    <row r="161" spans="1:17">
      <c r="A161" s="28"/>
      <c r="B161" s="28"/>
      <c r="C161" s="28"/>
      <c r="D161" s="28"/>
      <c r="E161" s="28"/>
      <c r="F161" s="28"/>
      <c r="G161" s="26" t="str">
        <f t="shared" si="16"/>
        <v/>
      </c>
      <c r="H161" s="26" t="str">
        <f t="shared" si="23"/>
        <v/>
      </c>
      <c r="I161" s="26" t="str">
        <f t="shared" si="17"/>
        <v/>
      </c>
      <c r="J161" t="str">
        <f t="shared" si="18"/>
        <v/>
      </c>
      <c r="K161" s="26" t="str">
        <f t="shared" si="19"/>
        <v/>
      </c>
      <c r="L161" s="26" t="str">
        <f t="shared" si="20"/>
        <v/>
      </c>
      <c r="P161" t="e">
        <f t="shared" si="21"/>
        <v>#N/A</v>
      </c>
      <c r="Q161" t="e">
        <f t="shared" si="22"/>
        <v>#N/A</v>
      </c>
    </row>
    <row r="162" spans="1:17">
      <c r="A162" s="28"/>
      <c r="B162" s="28"/>
      <c r="C162" s="28"/>
      <c r="D162" s="28"/>
      <c r="E162" s="28"/>
      <c r="F162" s="28"/>
      <c r="G162" s="26" t="str">
        <f t="shared" si="16"/>
        <v/>
      </c>
      <c r="H162" s="26" t="str">
        <f t="shared" si="23"/>
        <v/>
      </c>
      <c r="I162" s="26" t="str">
        <f t="shared" si="17"/>
        <v/>
      </c>
      <c r="J162" t="str">
        <f t="shared" si="18"/>
        <v/>
      </c>
      <c r="K162" s="26" t="str">
        <f t="shared" si="19"/>
        <v/>
      </c>
      <c r="L162" s="26" t="str">
        <f t="shared" si="20"/>
        <v/>
      </c>
      <c r="P162" t="e">
        <f t="shared" si="21"/>
        <v>#N/A</v>
      </c>
      <c r="Q162" t="e">
        <f t="shared" si="22"/>
        <v>#N/A</v>
      </c>
    </row>
    <row r="163" spans="1:17">
      <c r="A163" s="28"/>
      <c r="B163" s="28"/>
      <c r="C163" s="28"/>
      <c r="D163" s="28"/>
      <c r="E163" s="28"/>
      <c r="F163" s="28"/>
      <c r="G163" s="26" t="str">
        <f t="shared" si="16"/>
        <v/>
      </c>
      <c r="H163" s="26" t="str">
        <f t="shared" si="23"/>
        <v/>
      </c>
      <c r="I163" s="26" t="str">
        <f t="shared" si="17"/>
        <v/>
      </c>
      <c r="J163" t="str">
        <f t="shared" si="18"/>
        <v/>
      </c>
      <c r="K163" s="26" t="str">
        <f t="shared" si="19"/>
        <v/>
      </c>
      <c r="L163" s="26" t="str">
        <f t="shared" si="20"/>
        <v/>
      </c>
      <c r="P163" t="e">
        <f t="shared" si="21"/>
        <v>#N/A</v>
      </c>
      <c r="Q163" t="e">
        <f t="shared" si="22"/>
        <v>#N/A</v>
      </c>
    </row>
    <row r="164" spans="1:17">
      <c r="A164" s="28"/>
      <c r="B164" s="28"/>
      <c r="C164" s="28"/>
      <c r="D164" s="28"/>
      <c r="E164" s="28"/>
      <c r="F164" s="28"/>
      <c r="G164" s="26" t="str">
        <f t="shared" si="16"/>
        <v/>
      </c>
      <c r="H164" s="26" t="str">
        <f t="shared" si="23"/>
        <v/>
      </c>
      <c r="I164" s="26" t="str">
        <f t="shared" si="17"/>
        <v/>
      </c>
      <c r="J164" t="str">
        <f t="shared" si="18"/>
        <v/>
      </c>
      <c r="K164" s="26" t="str">
        <f t="shared" si="19"/>
        <v/>
      </c>
      <c r="L164" s="26" t="str">
        <f t="shared" si="20"/>
        <v/>
      </c>
      <c r="P164" t="e">
        <f t="shared" si="21"/>
        <v>#N/A</v>
      </c>
      <c r="Q164" t="e">
        <f t="shared" si="22"/>
        <v>#N/A</v>
      </c>
    </row>
    <row r="165" spans="1:17">
      <c r="A165" s="28"/>
      <c r="B165" s="28"/>
      <c r="C165" s="28"/>
      <c r="D165" s="28"/>
      <c r="E165" s="28"/>
      <c r="F165" s="28"/>
      <c r="G165" s="26" t="str">
        <f t="shared" si="16"/>
        <v/>
      </c>
      <c r="H165" s="26" t="str">
        <f t="shared" si="23"/>
        <v/>
      </c>
      <c r="I165" s="26" t="str">
        <f t="shared" si="17"/>
        <v/>
      </c>
      <c r="J165" t="str">
        <f t="shared" si="18"/>
        <v/>
      </c>
      <c r="K165" s="26" t="str">
        <f t="shared" si="19"/>
        <v/>
      </c>
      <c r="L165" s="26" t="str">
        <f t="shared" si="20"/>
        <v/>
      </c>
      <c r="P165" t="e">
        <f t="shared" si="21"/>
        <v>#N/A</v>
      </c>
      <c r="Q165" t="e">
        <f t="shared" si="22"/>
        <v>#N/A</v>
      </c>
    </row>
    <row r="166" spans="1:17">
      <c r="A166" s="28"/>
      <c r="B166" s="28"/>
      <c r="C166" s="28"/>
      <c r="D166" s="28"/>
      <c r="E166" s="28"/>
      <c r="F166" s="28"/>
      <c r="G166" s="26" t="str">
        <f t="shared" si="16"/>
        <v/>
      </c>
      <c r="H166" s="26" t="str">
        <f t="shared" si="23"/>
        <v/>
      </c>
      <c r="I166" s="26" t="str">
        <f t="shared" si="17"/>
        <v/>
      </c>
      <c r="J166" t="str">
        <f t="shared" si="18"/>
        <v/>
      </c>
      <c r="K166" s="26" t="str">
        <f t="shared" si="19"/>
        <v/>
      </c>
      <c r="L166" s="26" t="str">
        <f t="shared" si="20"/>
        <v/>
      </c>
      <c r="P166" t="e">
        <f t="shared" si="21"/>
        <v>#N/A</v>
      </c>
      <c r="Q166" t="e">
        <f t="shared" si="22"/>
        <v>#N/A</v>
      </c>
    </row>
    <row r="167" spans="1:17">
      <c r="A167" s="28"/>
      <c r="B167" s="28"/>
      <c r="C167" s="28"/>
      <c r="D167" s="28"/>
      <c r="E167" s="28"/>
      <c r="F167" s="28"/>
      <c r="G167" s="26" t="str">
        <f t="shared" si="16"/>
        <v/>
      </c>
      <c r="H167" s="26" t="str">
        <f t="shared" si="23"/>
        <v/>
      </c>
      <c r="I167" s="26" t="str">
        <f t="shared" si="17"/>
        <v/>
      </c>
      <c r="J167" t="str">
        <f t="shared" si="18"/>
        <v/>
      </c>
      <c r="K167" s="26" t="str">
        <f t="shared" si="19"/>
        <v/>
      </c>
      <c r="L167" s="26" t="str">
        <f t="shared" si="20"/>
        <v/>
      </c>
      <c r="P167" t="e">
        <f t="shared" si="21"/>
        <v>#N/A</v>
      </c>
      <c r="Q167" t="e">
        <f t="shared" si="22"/>
        <v>#N/A</v>
      </c>
    </row>
    <row r="168" spans="1:17">
      <c r="A168" s="28"/>
      <c r="B168" s="28"/>
      <c r="C168" s="28"/>
      <c r="D168" s="28"/>
      <c r="E168" s="28"/>
      <c r="F168" s="28"/>
      <c r="G168" s="26" t="str">
        <f t="shared" si="16"/>
        <v/>
      </c>
      <c r="H168" s="26" t="str">
        <f t="shared" si="23"/>
        <v/>
      </c>
      <c r="I168" s="26" t="str">
        <f t="shared" si="17"/>
        <v/>
      </c>
      <c r="J168" t="str">
        <f t="shared" si="18"/>
        <v/>
      </c>
      <c r="K168" s="26" t="str">
        <f t="shared" si="19"/>
        <v/>
      </c>
      <c r="L168" s="26" t="str">
        <f t="shared" si="20"/>
        <v/>
      </c>
      <c r="P168" t="e">
        <f t="shared" si="21"/>
        <v>#N/A</v>
      </c>
      <c r="Q168" t="e">
        <f t="shared" si="22"/>
        <v>#N/A</v>
      </c>
    </row>
    <row r="169" spans="1:17">
      <c r="A169" s="28"/>
      <c r="B169" s="28"/>
      <c r="C169" s="28"/>
      <c r="D169" s="28"/>
      <c r="E169" s="28"/>
      <c r="F169" s="28"/>
      <c r="G169" s="26" t="str">
        <f t="shared" si="16"/>
        <v/>
      </c>
      <c r="H169" s="26" t="str">
        <f t="shared" si="23"/>
        <v/>
      </c>
      <c r="I169" s="26" t="str">
        <f t="shared" si="17"/>
        <v/>
      </c>
      <c r="J169" t="str">
        <f t="shared" si="18"/>
        <v/>
      </c>
      <c r="K169" s="26" t="str">
        <f t="shared" si="19"/>
        <v/>
      </c>
      <c r="L169" s="26" t="str">
        <f t="shared" si="20"/>
        <v/>
      </c>
      <c r="P169" t="e">
        <f t="shared" si="21"/>
        <v>#N/A</v>
      </c>
      <c r="Q169" t="e">
        <f t="shared" si="22"/>
        <v>#N/A</v>
      </c>
    </row>
    <row r="170" spans="1:17">
      <c r="A170" s="28"/>
      <c r="B170" s="28"/>
      <c r="C170" s="28"/>
      <c r="D170" s="28"/>
      <c r="E170" s="28"/>
      <c r="F170" s="28"/>
      <c r="G170" s="26" t="str">
        <f t="shared" si="16"/>
        <v/>
      </c>
      <c r="H170" s="26" t="str">
        <f t="shared" si="23"/>
        <v/>
      </c>
      <c r="I170" s="26" t="str">
        <f t="shared" si="17"/>
        <v/>
      </c>
      <c r="J170" t="str">
        <f t="shared" si="18"/>
        <v/>
      </c>
      <c r="K170" s="26" t="str">
        <f t="shared" si="19"/>
        <v/>
      </c>
      <c r="L170" s="26" t="str">
        <f t="shared" si="20"/>
        <v/>
      </c>
      <c r="P170" t="e">
        <f t="shared" si="21"/>
        <v>#N/A</v>
      </c>
      <c r="Q170" t="e">
        <f t="shared" si="22"/>
        <v>#N/A</v>
      </c>
    </row>
    <row r="171" spans="1:17">
      <c r="A171" s="28"/>
      <c r="B171" s="28"/>
      <c r="C171" s="28"/>
      <c r="D171" s="28"/>
      <c r="E171" s="28"/>
      <c r="F171" s="28"/>
      <c r="G171" s="26" t="str">
        <f t="shared" si="16"/>
        <v/>
      </c>
      <c r="H171" s="26" t="str">
        <f t="shared" si="23"/>
        <v/>
      </c>
      <c r="I171" s="26" t="str">
        <f t="shared" si="17"/>
        <v/>
      </c>
      <c r="J171" t="str">
        <f t="shared" si="18"/>
        <v/>
      </c>
      <c r="K171" s="26" t="str">
        <f t="shared" si="19"/>
        <v/>
      </c>
      <c r="L171" s="26" t="str">
        <f t="shared" si="20"/>
        <v/>
      </c>
      <c r="P171" t="e">
        <f t="shared" si="21"/>
        <v>#N/A</v>
      </c>
      <c r="Q171" t="e">
        <f t="shared" si="22"/>
        <v>#N/A</v>
      </c>
    </row>
    <row r="172" spans="1:17">
      <c r="A172" s="28"/>
      <c r="B172" s="28"/>
      <c r="C172" s="28"/>
      <c r="D172" s="28"/>
      <c r="E172" s="28"/>
      <c r="F172" s="28"/>
      <c r="G172" s="26" t="str">
        <f t="shared" si="16"/>
        <v/>
      </c>
      <c r="H172" s="26" t="str">
        <f t="shared" si="23"/>
        <v/>
      </c>
      <c r="I172" s="26" t="str">
        <f t="shared" si="17"/>
        <v/>
      </c>
      <c r="J172" t="str">
        <f t="shared" si="18"/>
        <v/>
      </c>
      <c r="K172" s="26" t="str">
        <f t="shared" si="19"/>
        <v/>
      </c>
      <c r="L172" s="26" t="str">
        <f t="shared" si="20"/>
        <v/>
      </c>
      <c r="P172" t="e">
        <f t="shared" si="21"/>
        <v>#N/A</v>
      </c>
      <c r="Q172" t="e">
        <f t="shared" si="22"/>
        <v>#N/A</v>
      </c>
    </row>
    <row r="173" spans="1:17">
      <c r="A173" s="28"/>
      <c r="B173" s="28"/>
      <c r="C173" s="28"/>
      <c r="D173" s="28"/>
      <c r="E173" s="28"/>
      <c r="F173" s="28"/>
      <c r="G173" s="26" t="str">
        <f t="shared" si="16"/>
        <v/>
      </c>
      <c r="H173" s="26" t="str">
        <f t="shared" si="23"/>
        <v/>
      </c>
      <c r="I173" s="26" t="str">
        <f t="shared" si="17"/>
        <v/>
      </c>
      <c r="J173" t="str">
        <f t="shared" si="18"/>
        <v/>
      </c>
      <c r="K173" s="26" t="str">
        <f t="shared" si="19"/>
        <v/>
      </c>
      <c r="L173" s="26" t="str">
        <f t="shared" si="20"/>
        <v/>
      </c>
      <c r="P173" t="e">
        <f t="shared" si="21"/>
        <v>#N/A</v>
      </c>
      <c r="Q173" t="e">
        <f t="shared" si="22"/>
        <v>#N/A</v>
      </c>
    </row>
    <row r="174" spans="1:17">
      <c r="A174" s="28"/>
      <c r="B174" s="28"/>
      <c r="C174" s="28"/>
      <c r="D174" s="28"/>
      <c r="E174" s="28"/>
      <c r="F174" s="28"/>
      <c r="G174" s="26" t="str">
        <f t="shared" si="16"/>
        <v/>
      </c>
      <c r="H174" s="26" t="str">
        <f t="shared" si="23"/>
        <v/>
      </c>
      <c r="I174" s="26" t="str">
        <f t="shared" si="17"/>
        <v/>
      </c>
      <c r="J174" t="str">
        <f t="shared" si="18"/>
        <v/>
      </c>
      <c r="K174" s="26" t="str">
        <f t="shared" si="19"/>
        <v/>
      </c>
      <c r="L174" s="26" t="str">
        <f t="shared" si="20"/>
        <v/>
      </c>
      <c r="P174" t="e">
        <f t="shared" si="21"/>
        <v>#N/A</v>
      </c>
      <c r="Q174" t="e">
        <f t="shared" si="22"/>
        <v>#N/A</v>
      </c>
    </row>
    <row r="175" spans="1:17">
      <c r="A175" s="28"/>
      <c r="B175" s="28"/>
      <c r="C175" s="28"/>
      <c r="D175" s="28"/>
      <c r="E175" s="28"/>
      <c r="F175" s="28"/>
      <c r="G175" s="26" t="str">
        <f t="shared" si="16"/>
        <v/>
      </c>
      <c r="H175" s="26" t="str">
        <f t="shared" si="23"/>
        <v/>
      </c>
      <c r="I175" s="26" t="str">
        <f t="shared" si="17"/>
        <v/>
      </c>
      <c r="J175" t="str">
        <f t="shared" si="18"/>
        <v/>
      </c>
      <c r="K175" s="26" t="str">
        <f t="shared" si="19"/>
        <v/>
      </c>
      <c r="L175" s="26" t="str">
        <f t="shared" si="20"/>
        <v/>
      </c>
      <c r="P175" t="e">
        <f t="shared" si="21"/>
        <v>#N/A</v>
      </c>
      <c r="Q175" t="e">
        <f t="shared" si="22"/>
        <v>#N/A</v>
      </c>
    </row>
    <row r="176" spans="1:17">
      <c r="A176" s="28"/>
      <c r="B176" s="28"/>
      <c r="C176" s="28"/>
      <c r="D176" s="28"/>
      <c r="E176" s="28"/>
      <c r="F176" s="28"/>
      <c r="G176" s="26" t="str">
        <f t="shared" si="16"/>
        <v/>
      </c>
      <c r="H176" s="26" t="str">
        <f t="shared" si="23"/>
        <v/>
      </c>
      <c r="I176" s="26" t="str">
        <f t="shared" si="17"/>
        <v/>
      </c>
      <c r="J176" t="str">
        <f t="shared" si="18"/>
        <v/>
      </c>
      <c r="K176" s="26" t="str">
        <f t="shared" si="19"/>
        <v/>
      </c>
      <c r="L176" s="26" t="str">
        <f t="shared" si="20"/>
        <v/>
      </c>
      <c r="P176" t="e">
        <f t="shared" si="21"/>
        <v>#N/A</v>
      </c>
      <c r="Q176" t="e">
        <f t="shared" si="22"/>
        <v>#N/A</v>
      </c>
    </row>
    <row r="177" spans="1:17">
      <c r="A177" s="28"/>
      <c r="B177" s="28"/>
      <c r="C177" s="28"/>
      <c r="D177" s="28"/>
      <c r="E177" s="28"/>
      <c r="F177" s="28"/>
      <c r="G177" s="26" t="str">
        <f t="shared" si="16"/>
        <v/>
      </c>
      <c r="H177" s="26" t="str">
        <f t="shared" si="23"/>
        <v/>
      </c>
      <c r="I177" s="26" t="str">
        <f t="shared" si="17"/>
        <v/>
      </c>
      <c r="J177" t="str">
        <f t="shared" si="18"/>
        <v/>
      </c>
      <c r="K177" s="26" t="str">
        <f t="shared" si="19"/>
        <v/>
      </c>
      <c r="L177" s="26" t="str">
        <f t="shared" si="20"/>
        <v/>
      </c>
      <c r="P177" t="e">
        <f t="shared" si="21"/>
        <v>#N/A</v>
      </c>
      <c r="Q177" t="e">
        <f t="shared" si="22"/>
        <v>#N/A</v>
      </c>
    </row>
    <row r="178" spans="1:17">
      <c r="A178" s="28"/>
      <c r="B178" s="28"/>
      <c r="C178" s="28"/>
      <c r="D178" s="28"/>
      <c r="E178" s="28"/>
      <c r="F178" s="28"/>
      <c r="G178" s="26" t="str">
        <f t="shared" si="16"/>
        <v/>
      </c>
      <c r="H178" s="26" t="str">
        <f t="shared" si="23"/>
        <v/>
      </c>
      <c r="I178" s="26" t="str">
        <f t="shared" si="17"/>
        <v/>
      </c>
      <c r="J178" t="str">
        <f t="shared" si="18"/>
        <v/>
      </c>
      <c r="K178" s="26" t="str">
        <f t="shared" si="19"/>
        <v/>
      </c>
      <c r="L178" s="26" t="str">
        <f t="shared" si="20"/>
        <v/>
      </c>
      <c r="P178" t="e">
        <f t="shared" si="21"/>
        <v>#N/A</v>
      </c>
      <c r="Q178" t="e">
        <f t="shared" si="22"/>
        <v>#N/A</v>
      </c>
    </row>
    <row r="179" spans="1:17">
      <c r="A179" s="28"/>
      <c r="B179" s="28"/>
      <c r="C179" s="28"/>
      <c r="D179" s="28"/>
      <c r="E179" s="28"/>
      <c r="F179" s="28"/>
      <c r="G179" s="26" t="str">
        <f t="shared" si="16"/>
        <v/>
      </c>
      <c r="H179" s="26" t="str">
        <f t="shared" si="23"/>
        <v/>
      </c>
      <c r="I179" s="26" t="str">
        <f t="shared" si="17"/>
        <v/>
      </c>
      <c r="J179" t="str">
        <f t="shared" si="18"/>
        <v/>
      </c>
      <c r="K179" s="26" t="str">
        <f t="shared" si="19"/>
        <v/>
      </c>
      <c r="L179" s="26" t="str">
        <f t="shared" si="20"/>
        <v/>
      </c>
      <c r="P179" t="e">
        <f t="shared" si="21"/>
        <v>#N/A</v>
      </c>
      <c r="Q179" t="e">
        <f t="shared" si="22"/>
        <v>#N/A</v>
      </c>
    </row>
    <row r="180" spans="1:17">
      <c r="A180" s="28"/>
      <c r="B180" s="28"/>
      <c r="C180" s="28"/>
      <c r="D180" s="28"/>
      <c r="E180" s="28"/>
      <c r="F180" s="28"/>
      <c r="G180" s="26" t="str">
        <f t="shared" si="16"/>
        <v/>
      </c>
      <c r="H180" s="26" t="str">
        <f t="shared" si="23"/>
        <v/>
      </c>
      <c r="I180" s="26" t="str">
        <f t="shared" si="17"/>
        <v/>
      </c>
      <c r="J180" t="str">
        <f t="shared" si="18"/>
        <v/>
      </c>
      <c r="K180" s="26" t="str">
        <f t="shared" si="19"/>
        <v/>
      </c>
      <c r="L180" s="26" t="str">
        <f t="shared" si="20"/>
        <v/>
      </c>
      <c r="P180" t="e">
        <f t="shared" si="21"/>
        <v>#N/A</v>
      </c>
      <c r="Q180" t="e">
        <f t="shared" si="22"/>
        <v>#N/A</v>
      </c>
    </row>
    <row r="181" spans="1:17">
      <c r="A181" s="28"/>
      <c r="B181" s="28"/>
      <c r="C181" s="28"/>
      <c r="D181" s="28"/>
      <c r="E181" s="28"/>
      <c r="F181" s="28"/>
      <c r="G181" s="26" t="str">
        <f t="shared" si="16"/>
        <v/>
      </c>
      <c r="H181" s="26" t="str">
        <f t="shared" si="23"/>
        <v/>
      </c>
      <c r="I181" s="26" t="str">
        <f t="shared" si="17"/>
        <v/>
      </c>
      <c r="J181" t="str">
        <f t="shared" si="18"/>
        <v/>
      </c>
      <c r="K181" s="26" t="str">
        <f t="shared" si="19"/>
        <v/>
      </c>
      <c r="L181" s="26" t="str">
        <f t="shared" si="20"/>
        <v/>
      </c>
      <c r="P181" t="e">
        <f t="shared" si="21"/>
        <v>#N/A</v>
      </c>
      <c r="Q181" t="e">
        <f t="shared" si="22"/>
        <v>#N/A</v>
      </c>
    </row>
    <row r="182" spans="1:17">
      <c r="A182" s="28"/>
      <c r="B182" s="28"/>
      <c r="C182" s="28"/>
      <c r="D182" s="28"/>
      <c r="E182" s="28"/>
      <c r="F182" s="28"/>
      <c r="G182" s="26" t="str">
        <f t="shared" si="16"/>
        <v/>
      </c>
      <c r="H182" s="26" t="str">
        <f t="shared" si="23"/>
        <v/>
      </c>
      <c r="I182" s="26" t="str">
        <f t="shared" si="17"/>
        <v/>
      </c>
      <c r="J182" t="str">
        <f t="shared" si="18"/>
        <v/>
      </c>
      <c r="K182" s="26" t="str">
        <f t="shared" si="19"/>
        <v/>
      </c>
      <c r="L182" s="26" t="str">
        <f t="shared" si="20"/>
        <v/>
      </c>
      <c r="P182" t="e">
        <f t="shared" si="21"/>
        <v>#N/A</v>
      </c>
      <c r="Q182" t="e">
        <f t="shared" si="22"/>
        <v>#N/A</v>
      </c>
    </row>
    <row r="183" spans="1:17">
      <c r="A183" s="28"/>
      <c r="B183" s="28"/>
      <c r="C183" s="28"/>
      <c r="D183" s="28"/>
      <c r="E183" s="28"/>
      <c r="F183" s="28"/>
      <c r="G183" s="26" t="str">
        <f t="shared" si="16"/>
        <v/>
      </c>
      <c r="H183" s="26" t="str">
        <f t="shared" si="23"/>
        <v/>
      </c>
      <c r="I183" s="26" t="str">
        <f t="shared" si="17"/>
        <v/>
      </c>
      <c r="J183" t="str">
        <f t="shared" si="18"/>
        <v/>
      </c>
      <c r="K183" s="26" t="str">
        <f t="shared" si="19"/>
        <v/>
      </c>
      <c r="L183" s="26" t="str">
        <f t="shared" si="20"/>
        <v/>
      </c>
      <c r="P183" t="e">
        <f t="shared" si="21"/>
        <v>#N/A</v>
      </c>
      <c r="Q183" t="e">
        <f t="shared" si="22"/>
        <v>#N/A</v>
      </c>
    </row>
    <row r="184" spans="1:17">
      <c r="A184" s="28"/>
      <c r="B184" s="28"/>
      <c r="C184" s="28"/>
      <c r="D184" s="28"/>
      <c r="E184" s="28"/>
      <c r="F184" s="28"/>
      <c r="G184" s="26" t="str">
        <f t="shared" si="16"/>
        <v/>
      </c>
      <c r="H184" s="26" t="str">
        <f t="shared" si="23"/>
        <v/>
      </c>
      <c r="I184" s="26" t="str">
        <f t="shared" si="17"/>
        <v/>
      </c>
      <c r="J184" t="str">
        <f t="shared" si="18"/>
        <v/>
      </c>
      <c r="K184" s="26" t="str">
        <f t="shared" si="19"/>
        <v/>
      </c>
      <c r="L184" s="26" t="str">
        <f t="shared" si="20"/>
        <v/>
      </c>
      <c r="P184" t="e">
        <f t="shared" si="21"/>
        <v>#N/A</v>
      </c>
      <c r="Q184" t="e">
        <f t="shared" si="22"/>
        <v>#N/A</v>
      </c>
    </row>
    <row r="185" spans="1:17">
      <c r="A185" s="28"/>
      <c r="B185" s="28"/>
      <c r="C185" s="28"/>
      <c r="D185" s="28"/>
      <c r="E185" s="28"/>
      <c r="F185" s="28"/>
      <c r="G185" s="26" t="str">
        <f t="shared" si="16"/>
        <v/>
      </c>
      <c r="H185" s="26" t="str">
        <f t="shared" si="23"/>
        <v/>
      </c>
      <c r="I185" s="26" t="str">
        <f t="shared" si="17"/>
        <v/>
      </c>
      <c r="J185" t="str">
        <f t="shared" si="18"/>
        <v/>
      </c>
      <c r="K185" s="26" t="str">
        <f t="shared" si="19"/>
        <v/>
      </c>
      <c r="L185" s="26" t="str">
        <f t="shared" si="20"/>
        <v/>
      </c>
      <c r="P185" t="e">
        <f t="shared" si="21"/>
        <v>#N/A</v>
      </c>
      <c r="Q185" t="e">
        <f t="shared" si="22"/>
        <v>#N/A</v>
      </c>
    </row>
    <row r="186" spans="1:17">
      <c r="A186" s="28"/>
      <c r="B186" s="28"/>
      <c r="C186" s="28"/>
      <c r="D186" s="28"/>
      <c r="E186" s="28"/>
      <c r="F186" s="28"/>
      <c r="G186" s="26" t="str">
        <f t="shared" si="16"/>
        <v/>
      </c>
      <c r="H186" s="26" t="str">
        <f t="shared" si="23"/>
        <v/>
      </c>
      <c r="I186" s="26" t="str">
        <f t="shared" si="17"/>
        <v/>
      </c>
      <c r="J186" t="str">
        <f t="shared" si="18"/>
        <v/>
      </c>
      <c r="K186" s="26" t="str">
        <f t="shared" si="19"/>
        <v/>
      </c>
      <c r="L186" s="26" t="str">
        <f t="shared" si="20"/>
        <v/>
      </c>
      <c r="P186" t="e">
        <f t="shared" si="21"/>
        <v>#N/A</v>
      </c>
      <c r="Q186" t="e">
        <f t="shared" si="22"/>
        <v>#N/A</v>
      </c>
    </row>
    <row r="187" spans="1:17">
      <c r="A187" s="28"/>
      <c r="B187" s="28"/>
      <c r="C187" s="28"/>
      <c r="D187" s="28"/>
      <c r="E187" s="28"/>
      <c r="F187" s="28"/>
      <c r="G187" s="26" t="str">
        <f t="shared" si="16"/>
        <v/>
      </c>
      <c r="H187" s="26" t="str">
        <f t="shared" si="23"/>
        <v/>
      </c>
      <c r="I187" s="26" t="str">
        <f t="shared" si="17"/>
        <v/>
      </c>
      <c r="J187" t="str">
        <f t="shared" si="18"/>
        <v/>
      </c>
      <c r="K187" s="26" t="str">
        <f t="shared" si="19"/>
        <v/>
      </c>
      <c r="L187" s="26" t="str">
        <f t="shared" si="20"/>
        <v/>
      </c>
      <c r="P187" t="e">
        <f t="shared" si="21"/>
        <v>#N/A</v>
      </c>
      <c r="Q187" t="e">
        <f t="shared" si="22"/>
        <v>#N/A</v>
      </c>
    </row>
    <row r="188" spans="1:17">
      <c r="A188" s="28"/>
      <c r="B188" s="28"/>
      <c r="C188" s="28"/>
      <c r="D188" s="28"/>
      <c r="E188" s="28"/>
      <c r="F188" s="28"/>
      <c r="G188" s="26" t="str">
        <f t="shared" si="16"/>
        <v/>
      </c>
      <c r="H188" s="26" t="str">
        <f t="shared" si="23"/>
        <v/>
      </c>
      <c r="I188" s="26" t="str">
        <f t="shared" si="17"/>
        <v/>
      </c>
      <c r="J188" t="str">
        <f t="shared" si="18"/>
        <v/>
      </c>
      <c r="K188" s="26" t="str">
        <f t="shared" si="19"/>
        <v/>
      </c>
      <c r="L188" s="26" t="str">
        <f t="shared" si="20"/>
        <v/>
      </c>
      <c r="P188" t="e">
        <f t="shared" si="21"/>
        <v>#N/A</v>
      </c>
      <c r="Q188" t="e">
        <f t="shared" si="22"/>
        <v>#N/A</v>
      </c>
    </row>
    <row r="189" spans="1:17">
      <c r="A189" s="28"/>
      <c r="B189" s="28"/>
      <c r="C189" s="28"/>
      <c r="D189" s="28"/>
      <c r="E189" s="28"/>
      <c r="F189" s="28"/>
      <c r="G189" s="26" t="str">
        <f t="shared" si="16"/>
        <v/>
      </c>
      <c r="H189" s="26" t="str">
        <f t="shared" si="23"/>
        <v/>
      </c>
      <c r="I189" s="26" t="str">
        <f t="shared" si="17"/>
        <v/>
      </c>
      <c r="J189" t="str">
        <f t="shared" si="18"/>
        <v/>
      </c>
      <c r="K189" s="26" t="str">
        <f t="shared" si="19"/>
        <v/>
      </c>
      <c r="L189" s="26" t="str">
        <f t="shared" si="20"/>
        <v/>
      </c>
      <c r="P189" t="e">
        <f t="shared" si="21"/>
        <v>#N/A</v>
      </c>
      <c r="Q189" t="e">
        <f t="shared" si="22"/>
        <v>#N/A</v>
      </c>
    </row>
    <row r="190" spans="1:17">
      <c r="A190" s="28"/>
      <c r="B190" s="28"/>
      <c r="C190" s="28"/>
      <c r="D190" s="28"/>
      <c r="E190" s="28"/>
      <c r="F190" s="28"/>
      <c r="G190" s="26" t="str">
        <f t="shared" si="16"/>
        <v/>
      </c>
      <c r="H190" s="26" t="str">
        <f t="shared" si="23"/>
        <v/>
      </c>
      <c r="I190" s="26" t="str">
        <f t="shared" si="17"/>
        <v/>
      </c>
      <c r="J190" t="str">
        <f t="shared" si="18"/>
        <v/>
      </c>
      <c r="K190" s="26" t="str">
        <f t="shared" si="19"/>
        <v/>
      </c>
      <c r="L190" s="26" t="str">
        <f t="shared" si="20"/>
        <v/>
      </c>
      <c r="P190" t="e">
        <f t="shared" si="21"/>
        <v>#N/A</v>
      </c>
      <c r="Q190" t="e">
        <f t="shared" si="22"/>
        <v>#N/A</v>
      </c>
    </row>
    <row r="191" spans="1:17">
      <c r="A191" s="28"/>
      <c r="B191" s="28"/>
      <c r="C191" s="28"/>
      <c r="D191" s="28"/>
      <c r="E191" s="28"/>
      <c r="F191" s="28"/>
      <c r="G191" s="26" t="str">
        <f t="shared" si="16"/>
        <v/>
      </c>
      <c r="H191" s="26" t="str">
        <f t="shared" si="23"/>
        <v/>
      </c>
      <c r="I191" s="26" t="str">
        <f t="shared" si="17"/>
        <v/>
      </c>
      <c r="J191" t="str">
        <f t="shared" si="18"/>
        <v/>
      </c>
      <c r="K191" s="26" t="str">
        <f t="shared" si="19"/>
        <v/>
      </c>
      <c r="L191" s="26" t="str">
        <f t="shared" si="20"/>
        <v/>
      </c>
      <c r="P191" t="e">
        <f t="shared" si="21"/>
        <v>#N/A</v>
      </c>
      <c r="Q191" t="e">
        <f t="shared" si="22"/>
        <v>#N/A</v>
      </c>
    </row>
    <row r="192" spans="1:17">
      <c r="A192" s="28"/>
      <c r="B192" s="28"/>
      <c r="C192" s="28"/>
      <c r="D192" s="28"/>
      <c r="E192" s="28"/>
      <c r="F192" s="28"/>
      <c r="G192" s="26" t="str">
        <f t="shared" si="16"/>
        <v/>
      </c>
      <c r="H192" s="26" t="str">
        <f t="shared" si="23"/>
        <v/>
      </c>
      <c r="I192" s="26" t="str">
        <f t="shared" si="17"/>
        <v/>
      </c>
      <c r="J192" t="str">
        <f t="shared" si="18"/>
        <v/>
      </c>
      <c r="K192" s="26" t="str">
        <f t="shared" si="19"/>
        <v/>
      </c>
      <c r="L192" s="26" t="str">
        <f t="shared" si="20"/>
        <v/>
      </c>
      <c r="P192" t="e">
        <f t="shared" si="21"/>
        <v>#N/A</v>
      </c>
      <c r="Q192" t="e">
        <f t="shared" si="22"/>
        <v>#N/A</v>
      </c>
    </row>
    <row r="193" spans="1:17">
      <c r="A193" s="28"/>
      <c r="B193" s="28"/>
      <c r="C193" s="28"/>
      <c r="D193" s="28"/>
      <c r="E193" s="28"/>
      <c r="F193" s="28"/>
      <c r="G193" s="26" t="str">
        <f t="shared" si="16"/>
        <v/>
      </c>
      <c r="H193" s="26" t="str">
        <f t="shared" si="23"/>
        <v/>
      </c>
      <c r="I193" s="26" t="str">
        <f t="shared" si="17"/>
        <v/>
      </c>
      <c r="J193" t="str">
        <f t="shared" si="18"/>
        <v/>
      </c>
      <c r="K193" s="26" t="str">
        <f t="shared" si="19"/>
        <v/>
      </c>
      <c r="L193" s="26" t="str">
        <f t="shared" si="20"/>
        <v/>
      </c>
      <c r="P193" t="e">
        <f t="shared" si="21"/>
        <v>#N/A</v>
      </c>
      <c r="Q193" t="e">
        <f t="shared" si="22"/>
        <v>#N/A</v>
      </c>
    </row>
    <row r="194" spans="1:17">
      <c r="A194" s="28"/>
      <c r="B194" s="28"/>
      <c r="C194" s="28"/>
      <c r="D194" s="28"/>
      <c r="E194" s="28"/>
      <c r="F194" s="28"/>
      <c r="G194" s="26" t="str">
        <f t="shared" ref="G194:G257" si="24">IF(B194="","",243.04*(LN(C194/100)+17.625*B194/(243.04+B194))/(17.625-LN(C194/100)-17.625*B194/(243.04+B194)))</f>
        <v/>
      </c>
      <c r="H194" s="26" t="str">
        <f t="shared" si="23"/>
        <v/>
      </c>
      <c r="I194" s="26" t="str">
        <f t="shared" ref="I194:I257" si="25">IF(B194="","",B194-E194)</f>
        <v/>
      </c>
      <c r="J194" t="str">
        <f t="shared" ref="J194:J257" si="26">IF(H194="","",IF(H194&gt;0.6,"Heating",IF(H194&lt;-0.2,"Cooling","Steady")))</f>
        <v/>
      </c>
      <c r="K194" s="26" t="str">
        <f t="shared" ref="K194:K257" si="27">IF(J194="Cooling",I194,"")</f>
        <v/>
      </c>
      <c r="L194" s="26" t="str">
        <f t="shared" ref="L194:L257" si="28">IF(J194="Cooling",H194,"")</f>
        <v/>
      </c>
      <c r="P194" t="e">
        <f t="shared" ref="P194:P257" si="29">IF(K194="",NA(),K194)</f>
        <v>#N/A</v>
      </c>
      <c r="Q194" t="e">
        <f t="shared" ref="Q194:Q257" si="30">IF(L194="",NA(),L194)</f>
        <v>#N/A</v>
      </c>
    </row>
    <row r="195" spans="1:17">
      <c r="A195" s="28"/>
      <c r="B195" s="28"/>
      <c r="C195" s="28"/>
      <c r="D195" s="28"/>
      <c r="E195" s="28"/>
      <c r="F195" s="28"/>
      <c r="G195" s="26" t="str">
        <f t="shared" si="24"/>
        <v/>
      </c>
      <c r="H195" s="26" t="str">
        <f t="shared" si="23"/>
        <v/>
      </c>
      <c r="I195" s="26" t="str">
        <f t="shared" si="25"/>
        <v/>
      </c>
      <c r="J195" t="str">
        <f t="shared" si="26"/>
        <v/>
      </c>
      <c r="K195" s="26" t="str">
        <f t="shared" si="27"/>
        <v/>
      </c>
      <c r="L195" s="26" t="str">
        <f t="shared" si="28"/>
        <v/>
      </c>
      <c r="P195" t="e">
        <f t="shared" si="29"/>
        <v>#N/A</v>
      </c>
      <c r="Q195" t="e">
        <f t="shared" si="30"/>
        <v>#N/A</v>
      </c>
    </row>
    <row r="196" spans="1:17">
      <c r="A196" s="28"/>
      <c r="B196" s="28"/>
      <c r="C196" s="28"/>
      <c r="D196" s="28"/>
      <c r="E196" s="28"/>
      <c r="F196" s="28"/>
      <c r="G196" s="26" t="str">
        <f t="shared" si="24"/>
        <v/>
      </c>
      <c r="H196" s="26" t="str">
        <f t="shared" ref="H196:H259" si="31">IFERROR(IF(OR(B194="",B198=""),"",(B198-B194)/4*60),"")</f>
        <v/>
      </c>
      <c r="I196" s="26" t="str">
        <f t="shared" si="25"/>
        <v/>
      </c>
      <c r="J196" t="str">
        <f t="shared" si="26"/>
        <v/>
      </c>
      <c r="K196" s="26" t="str">
        <f t="shared" si="27"/>
        <v/>
      </c>
      <c r="L196" s="26" t="str">
        <f t="shared" si="28"/>
        <v/>
      </c>
      <c r="P196" t="e">
        <f t="shared" si="29"/>
        <v>#N/A</v>
      </c>
      <c r="Q196" t="e">
        <f t="shared" si="30"/>
        <v>#N/A</v>
      </c>
    </row>
    <row r="197" spans="1:17">
      <c r="A197" s="28"/>
      <c r="B197" s="28"/>
      <c r="C197" s="28"/>
      <c r="D197" s="28"/>
      <c r="E197" s="28"/>
      <c r="F197" s="28"/>
      <c r="G197" s="26" t="str">
        <f t="shared" si="24"/>
        <v/>
      </c>
      <c r="H197" s="26" t="str">
        <f t="shared" si="31"/>
        <v/>
      </c>
      <c r="I197" s="26" t="str">
        <f t="shared" si="25"/>
        <v/>
      </c>
      <c r="J197" t="str">
        <f t="shared" si="26"/>
        <v/>
      </c>
      <c r="K197" s="26" t="str">
        <f t="shared" si="27"/>
        <v/>
      </c>
      <c r="L197" s="26" t="str">
        <f t="shared" si="28"/>
        <v/>
      </c>
      <c r="P197" t="e">
        <f t="shared" si="29"/>
        <v>#N/A</v>
      </c>
      <c r="Q197" t="e">
        <f t="shared" si="30"/>
        <v>#N/A</v>
      </c>
    </row>
    <row r="198" spans="1:17">
      <c r="A198" s="28"/>
      <c r="B198" s="28"/>
      <c r="C198" s="28"/>
      <c r="D198" s="28"/>
      <c r="E198" s="28"/>
      <c r="F198" s="28"/>
      <c r="G198" s="26" t="str">
        <f t="shared" si="24"/>
        <v/>
      </c>
      <c r="H198" s="26" t="str">
        <f t="shared" si="31"/>
        <v/>
      </c>
      <c r="I198" s="26" t="str">
        <f t="shared" si="25"/>
        <v/>
      </c>
      <c r="J198" t="str">
        <f t="shared" si="26"/>
        <v/>
      </c>
      <c r="K198" s="26" t="str">
        <f t="shared" si="27"/>
        <v/>
      </c>
      <c r="L198" s="26" t="str">
        <f t="shared" si="28"/>
        <v/>
      </c>
      <c r="P198" t="e">
        <f t="shared" si="29"/>
        <v>#N/A</v>
      </c>
      <c r="Q198" t="e">
        <f t="shared" si="30"/>
        <v>#N/A</v>
      </c>
    </row>
    <row r="199" spans="1:17">
      <c r="A199" s="28"/>
      <c r="B199" s="28"/>
      <c r="C199" s="28"/>
      <c r="D199" s="28"/>
      <c r="E199" s="28"/>
      <c r="F199" s="28"/>
      <c r="G199" s="26" t="str">
        <f t="shared" si="24"/>
        <v/>
      </c>
      <c r="H199" s="26" t="str">
        <f t="shared" si="31"/>
        <v/>
      </c>
      <c r="I199" s="26" t="str">
        <f t="shared" si="25"/>
        <v/>
      </c>
      <c r="J199" t="str">
        <f t="shared" si="26"/>
        <v/>
      </c>
      <c r="K199" s="26" t="str">
        <f t="shared" si="27"/>
        <v/>
      </c>
      <c r="L199" s="26" t="str">
        <f t="shared" si="28"/>
        <v/>
      </c>
      <c r="P199" t="e">
        <f t="shared" si="29"/>
        <v>#N/A</v>
      </c>
      <c r="Q199" t="e">
        <f t="shared" si="30"/>
        <v>#N/A</v>
      </c>
    </row>
    <row r="200" spans="1:17">
      <c r="A200" s="28"/>
      <c r="B200" s="28"/>
      <c r="C200" s="28"/>
      <c r="D200" s="28"/>
      <c r="E200" s="28"/>
      <c r="F200" s="28"/>
      <c r="G200" s="26" t="str">
        <f t="shared" si="24"/>
        <v/>
      </c>
      <c r="H200" s="26" t="str">
        <f t="shared" si="31"/>
        <v/>
      </c>
      <c r="I200" s="26" t="str">
        <f t="shared" si="25"/>
        <v/>
      </c>
      <c r="J200" t="str">
        <f t="shared" si="26"/>
        <v/>
      </c>
      <c r="K200" s="26" t="str">
        <f t="shared" si="27"/>
        <v/>
      </c>
      <c r="L200" s="26" t="str">
        <f t="shared" si="28"/>
        <v/>
      </c>
      <c r="P200" t="e">
        <f t="shared" si="29"/>
        <v>#N/A</v>
      </c>
      <c r="Q200" t="e">
        <f t="shared" si="30"/>
        <v>#N/A</v>
      </c>
    </row>
    <row r="201" spans="1:17">
      <c r="A201" s="28"/>
      <c r="B201" s="28"/>
      <c r="C201" s="28"/>
      <c r="D201" s="28"/>
      <c r="E201" s="28"/>
      <c r="F201" s="28"/>
      <c r="G201" s="26" t="str">
        <f t="shared" si="24"/>
        <v/>
      </c>
      <c r="H201" s="26" t="str">
        <f t="shared" si="31"/>
        <v/>
      </c>
      <c r="I201" s="26" t="str">
        <f t="shared" si="25"/>
        <v/>
      </c>
      <c r="J201" t="str">
        <f t="shared" si="26"/>
        <v/>
      </c>
      <c r="K201" s="26" t="str">
        <f t="shared" si="27"/>
        <v/>
      </c>
      <c r="L201" s="26" t="str">
        <f t="shared" si="28"/>
        <v/>
      </c>
      <c r="P201" t="e">
        <f t="shared" si="29"/>
        <v>#N/A</v>
      </c>
      <c r="Q201" t="e">
        <f t="shared" si="30"/>
        <v>#N/A</v>
      </c>
    </row>
    <row r="202" spans="1:17">
      <c r="A202" s="28"/>
      <c r="B202" s="28"/>
      <c r="C202" s="28"/>
      <c r="D202" s="28"/>
      <c r="E202" s="28"/>
      <c r="F202" s="28"/>
      <c r="G202" s="26" t="str">
        <f t="shared" si="24"/>
        <v/>
      </c>
      <c r="H202" s="26" t="str">
        <f t="shared" si="31"/>
        <v/>
      </c>
      <c r="I202" s="26" t="str">
        <f t="shared" si="25"/>
        <v/>
      </c>
      <c r="J202" t="str">
        <f t="shared" si="26"/>
        <v/>
      </c>
      <c r="K202" s="26" t="str">
        <f t="shared" si="27"/>
        <v/>
      </c>
      <c r="L202" s="26" t="str">
        <f t="shared" si="28"/>
        <v/>
      </c>
      <c r="P202" t="e">
        <f t="shared" si="29"/>
        <v>#N/A</v>
      </c>
      <c r="Q202" t="e">
        <f t="shared" si="30"/>
        <v>#N/A</v>
      </c>
    </row>
    <row r="203" spans="1:17">
      <c r="A203" s="28"/>
      <c r="B203" s="28"/>
      <c r="C203" s="28"/>
      <c r="D203" s="28"/>
      <c r="E203" s="28"/>
      <c r="F203" s="28"/>
      <c r="G203" s="26" t="str">
        <f t="shared" si="24"/>
        <v/>
      </c>
      <c r="H203" s="26" t="str">
        <f t="shared" si="31"/>
        <v/>
      </c>
      <c r="I203" s="26" t="str">
        <f t="shared" si="25"/>
        <v/>
      </c>
      <c r="J203" t="str">
        <f t="shared" si="26"/>
        <v/>
      </c>
      <c r="K203" s="26" t="str">
        <f t="shared" si="27"/>
        <v/>
      </c>
      <c r="L203" s="26" t="str">
        <f t="shared" si="28"/>
        <v/>
      </c>
      <c r="P203" t="e">
        <f t="shared" si="29"/>
        <v>#N/A</v>
      </c>
      <c r="Q203" t="e">
        <f t="shared" si="30"/>
        <v>#N/A</v>
      </c>
    </row>
    <row r="204" spans="1:17">
      <c r="A204" s="28"/>
      <c r="B204" s="28"/>
      <c r="C204" s="28"/>
      <c r="D204" s="28"/>
      <c r="E204" s="28"/>
      <c r="F204" s="28"/>
      <c r="G204" s="26" t="str">
        <f t="shared" si="24"/>
        <v/>
      </c>
      <c r="H204" s="26" t="str">
        <f t="shared" si="31"/>
        <v/>
      </c>
      <c r="I204" s="26" t="str">
        <f t="shared" si="25"/>
        <v/>
      </c>
      <c r="J204" t="str">
        <f t="shared" si="26"/>
        <v/>
      </c>
      <c r="K204" s="26" t="str">
        <f t="shared" si="27"/>
        <v/>
      </c>
      <c r="L204" s="26" t="str">
        <f t="shared" si="28"/>
        <v/>
      </c>
      <c r="P204" t="e">
        <f t="shared" si="29"/>
        <v>#N/A</v>
      </c>
      <c r="Q204" t="e">
        <f t="shared" si="30"/>
        <v>#N/A</v>
      </c>
    </row>
    <row r="205" spans="1:17">
      <c r="A205" s="28"/>
      <c r="B205" s="28"/>
      <c r="C205" s="28"/>
      <c r="D205" s="28"/>
      <c r="E205" s="28"/>
      <c r="F205" s="28"/>
      <c r="G205" s="26" t="str">
        <f t="shared" si="24"/>
        <v/>
      </c>
      <c r="H205" s="26" t="str">
        <f t="shared" si="31"/>
        <v/>
      </c>
      <c r="I205" s="26" t="str">
        <f t="shared" si="25"/>
        <v/>
      </c>
      <c r="J205" t="str">
        <f t="shared" si="26"/>
        <v/>
      </c>
      <c r="K205" s="26" t="str">
        <f t="shared" si="27"/>
        <v/>
      </c>
      <c r="L205" s="26" t="str">
        <f t="shared" si="28"/>
        <v/>
      </c>
      <c r="P205" t="e">
        <f t="shared" si="29"/>
        <v>#N/A</v>
      </c>
      <c r="Q205" t="e">
        <f t="shared" si="30"/>
        <v>#N/A</v>
      </c>
    </row>
    <row r="206" spans="1:17">
      <c r="A206" s="28"/>
      <c r="B206" s="28"/>
      <c r="C206" s="28"/>
      <c r="D206" s="28"/>
      <c r="E206" s="28"/>
      <c r="F206" s="28"/>
      <c r="G206" s="26" t="str">
        <f t="shared" si="24"/>
        <v/>
      </c>
      <c r="H206" s="26" t="str">
        <f t="shared" si="31"/>
        <v/>
      </c>
      <c r="I206" s="26" t="str">
        <f t="shared" si="25"/>
        <v/>
      </c>
      <c r="J206" t="str">
        <f t="shared" si="26"/>
        <v/>
      </c>
      <c r="K206" s="26" t="str">
        <f t="shared" si="27"/>
        <v/>
      </c>
      <c r="L206" s="26" t="str">
        <f t="shared" si="28"/>
        <v/>
      </c>
      <c r="P206" t="e">
        <f t="shared" si="29"/>
        <v>#N/A</v>
      </c>
      <c r="Q206" t="e">
        <f t="shared" si="30"/>
        <v>#N/A</v>
      </c>
    </row>
    <row r="207" spans="1:17">
      <c r="A207" s="28"/>
      <c r="B207" s="28"/>
      <c r="C207" s="28"/>
      <c r="D207" s="28"/>
      <c r="E207" s="28"/>
      <c r="F207" s="28"/>
      <c r="G207" s="26" t="str">
        <f t="shared" si="24"/>
        <v/>
      </c>
      <c r="H207" s="26" t="str">
        <f t="shared" si="31"/>
        <v/>
      </c>
      <c r="I207" s="26" t="str">
        <f t="shared" si="25"/>
        <v/>
      </c>
      <c r="J207" t="str">
        <f t="shared" si="26"/>
        <v/>
      </c>
      <c r="K207" s="26" t="str">
        <f t="shared" si="27"/>
        <v/>
      </c>
      <c r="L207" s="26" t="str">
        <f t="shared" si="28"/>
        <v/>
      </c>
      <c r="P207" t="e">
        <f t="shared" si="29"/>
        <v>#N/A</v>
      </c>
      <c r="Q207" t="e">
        <f t="shared" si="30"/>
        <v>#N/A</v>
      </c>
    </row>
    <row r="208" spans="1:17">
      <c r="A208" s="28"/>
      <c r="B208" s="28"/>
      <c r="C208" s="28"/>
      <c r="D208" s="28"/>
      <c r="E208" s="28"/>
      <c r="F208" s="28"/>
      <c r="G208" s="26" t="str">
        <f t="shared" si="24"/>
        <v/>
      </c>
      <c r="H208" s="26" t="str">
        <f t="shared" si="31"/>
        <v/>
      </c>
      <c r="I208" s="26" t="str">
        <f t="shared" si="25"/>
        <v/>
      </c>
      <c r="J208" t="str">
        <f t="shared" si="26"/>
        <v/>
      </c>
      <c r="K208" s="26" t="str">
        <f t="shared" si="27"/>
        <v/>
      </c>
      <c r="L208" s="26" t="str">
        <f t="shared" si="28"/>
        <v/>
      </c>
      <c r="P208" t="e">
        <f t="shared" si="29"/>
        <v>#N/A</v>
      </c>
      <c r="Q208" t="e">
        <f t="shared" si="30"/>
        <v>#N/A</v>
      </c>
    </row>
    <row r="209" spans="1:17">
      <c r="A209" s="28"/>
      <c r="B209" s="28"/>
      <c r="C209" s="28"/>
      <c r="D209" s="28"/>
      <c r="E209" s="28"/>
      <c r="F209" s="28"/>
      <c r="G209" s="26" t="str">
        <f t="shared" si="24"/>
        <v/>
      </c>
      <c r="H209" s="26" t="str">
        <f t="shared" si="31"/>
        <v/>
      </c>
      <c r="I209" s="26" t="str">
        <f t="shared" si="25"/>
        <v/>
      </c>
      <c r="J209" t="str">
        <f t="shared" si="26"/>
        <v/>
      </c>
      <c r="K209" s="26" t="str">
        <f t="shared" si="27"/>
        <v/>
      </c>
      <c r="L209" s="26" t="str">
        <f t="shared" si="28"/>
        <v/>
      </c>
      <c r="P209" t="e">
        <f t="shared" si="29"/>
        <v>#N/A</v>
      </c>
      <c r="Q209" t="e">
        <f t="shared" si="30"/>
        <v>#N/A</v>
      </c>
    </row>
    <row r="210" spans="1:17">
      <c r="A210" s="28"/>
      <c r="B210" s="28"/>
      <c r="C210" s="28"/>
      <c r="D210" s="28"/>
      <c r="E210" s="28"/>
      <c r="F210" s="28"/>
      <c r="G210" s="26" t="str">
        <f t="shared" si="24"/>
        <v/>
      </c>
      <c r="H210" s="26" t="str">
        <f t="shared" si="31"/>
        <v/>
      </c>
      <c r="I210" s="26" t="str">
        <f t="shared" si="25"/>
        <v/>
      </c>
      <c r="J210" t="str">
        <f t="shared" si="26"/>
        <v/>
      </c>
      <c r="K210" s="26" t="str">
        <f t="shared" si="27"/>
        <v/>
      </c>
      <c r="L210" s="26" t="str">
        <f t="shared" si="28"/>
        <v/>
      </c>
      <c r="P210" t="e">
        <f t="shared" si="29"/>
        <v>#N/A</v>
      </c>
      <c r="Q210" t="e">
        <f t="shared" si="30"/>
        <v>#N/A</v>
      </c>
    </row>
    <row r="211" spans="1:17">
      <c r="A211" s="28"/>
      <c r="B211" s="28"/>
      <c r="C211" s="28"/>
      <c r="D211" s="28"/>
      <c r="E211" s="28"/>
      <c r="F211" s="28"/>
      <c r="G211" s="26" t="str">
        <f t="shared" si="24"/>
        <v/>
      </c>
      <c r="H211" s="26" t="str">
        <f t="shared" si="31"/>
        <v/>
      </c>
      <c r="I211" s="26" t="str">
        <f t="shared" si="25"/>
        <v/>
      </c>
      <c r="J211" t="str">
        <f t="shared" si="26"/>
        <v/>
      </c>
      <c r="K211" s="26" t="str">
        <f t="shared" si="27"/>
        <v/>
      </c>
      <c r="L211" s="26" t="str">
        <f t="shared" si="28"/>
        <v/>
      </c>
      <c r="P211" t="e">
        <f t="shared" si="29"/>
        <v>#N/A</v>
      </c>
      <c r="Q211" t="e">
        <f t="shared" si="30"/>
        <v>#N/A</v>
      </c>
    </row>
    <row r="212" spans="1:17">
      <c r="A212" s="28"/>
      <c r="B212" s="28"/>
      <c r="C212" s="28"/>
      <c r="D212" s="28"/>
      <c r="E212" s="28"/>
      <c r="F212" s="28"/>
      <c r="G212" s="26" t="str">
        <f t="shared" si="24"/>
        <v/>
      </c>
      <c r="H212" s="26" t="str">
        <f t="shared" si="31"/>
        <v/>
      </c>
      <c r="I212" s="26" t="str">
        <f t="shared" si="25"/>
        <v/>
      </c>
      <c r="J212" t="str">
        <f t="shared" si="26"/>
        <v/>
      </c>
      <c r="K212" s="26" t="str">
        <f t="shared" si="27"/>
        <v/>
      </c>
      <c r="L212" s="26" t="str">
        <f t="shared" si="28"/>
        <v/>
      </c>
      <c r="P212" t="e">
        <f t="shared" si="29"/>
        <v>#N/A</v>
      </c>
      <c r="Q212" t="e">
        <f t="shared" si="30"/>
        <v>#N/A</v>
      </c>
    </row>
    <row r="213" spans="1:17">
      <c r="A213" s="28"/>
      <c r="B213" s="28"/>
      <c r="C213" s="28"/>
      <c r="D213" s="28"/>
      <c r="E213" s="28"/>
      <c r="F213" s="28"/>
      <c r="G213" s="26" t="str">
        <f t="shared" si="24"/>
        <v/>
      </c>
      <c r="H213" s="26" t="str">
        <f t="shared" si="31"/>
        <v/>
      </c>
      <c r="I213" s="26" t="str">
        <f t="shared" si="25"/>
        <v/>
      </c>
      <c r="J213" t="str">
        <f t="shared" si="26"/>
        <v/>
      </c>
      <c r="K213" s="26" t="str">
        <f t="shared" si="27"/>
        <v/>
      </c>
      <c r="L213" s="26" t="str">
        <f t="shared" si="28"/>
        <v/>
      </c>
      <c r="P213" t="e">
        <f t="shared" si="29"/>
        <v>#N/A</v>
      </c>
      <c r="Q213" t="e">
        <f t="shared" si="30"/>
        <v>#N/A</v>
      </c>
    </row>
    <row r="214" spans="1:17">
      <c r="A214" s="28"/>
      <c r="B214" s="28"/>
      <c r="C214" s="28"/>
      <c r="D214" s="28"/>
      <c r="E214" s="28"/>
      <c r="F214" s="28"/>
      <c r="G214" s="26" t="str">
        <f t="shared" si="24"/>
        <v/>
      </c>
      <c r="H214" s="26" t="str">
        <f t="shared" si="31"/>
        <v/>
      </c>
      <c r="I214" s="26" t="str">
        <f t="shared" si="25"/>
        <v/>
      </c>
      <c r="J214" t="str">
        <f t="shared" si="26"/>
        <v/>
      </c>
      <c r="K214" s="26" t="str">
        <f t="shared" si="27"/>
        <v/>
      </c>
      <c r="L214" s="26" t="str">
        <f t="shared" si="28"/>
        <v/>
      </c>
      <c r="P214" t="e">
        <f t="shared" si="29"/>
        <v>#N/A</v>
      </c>
      <c r="Q214" t="e">
        <f t="shared" si="30"/>
        <v>#N/A</v>
      </c>
    </row>
    <row r="215" spans="1:17">
      <c r="A215" s="28"/>
      <c r="B215" s="28"/>
      <c r="C215" s="28"/>
      <c r="D215" s="28"/>
      <c r="E215" s="28"/>
      <c r="F215" s="28"/>
      <c r="G215" s="26" t="str">
        <f t="shared" si="24"/>
        <v/>
      </c>
      <c r="H215" s="26" t="str">
        <f t="shared" si="31"/>
        <v/>
      </c>
      <c r="I215" s="26" t="str">
        <f t="shared" si="25"/>
        <v/>
      </c>
      <c r="J215" t="str">
        <f t="shared" si="26"/>
        <v/>
      </c>
      <c r="K215" s="26" t="str">
        <f t="shared" si="27"/>
        <v/>
      </c>
      <c r="L215" s="26" t="str">
        <f t="shared" si="28"/>
        <v/>
      </c>
      <c r="P215" t="e">
        <f t="shared" si="29"/>
        <v>#N/A</v>
      </c>
      <c r="Q215" t="e">
        <f t="shared" si="30"/>
        <v>#N/A</v>
      </c>
    </row>
    <row r="216" spans="1:17">
      <c r="A216" s="28"/>
      <c r="B216" s="28"/>
      <c r="C216" s="28"/>
      <c r="D216" s="28"/>
      <c r="E216" s="28"/>
      <c r="F216" s="28"/>
      <c r="G216" s="26" t="str">
        <f t="shared" si="24"/>
        <v/>
      </c>
      <c r="H216" s="26" t="str">
        <f t="shared" si="31"/>
        <v/>
      </c>
      <c r="I216" s="26" t="str">
        <f t="shared" si="25"/>
        <v/>
      </c>
      <c r="J216" t="str">
        <f t="shared" si="26"/>
        <v/>
      </c>
      <c r="K216" s="26" t="str">
        <f t="shared" si="27"/>
        <v/>
      </c>
      <c r="L216" s="26" t="str">
        <f t="shared" si="28"/>
        <v/>
      </c>
      <c r="P216" t="e">
        <f t="shared" si="29"/>
        <v>#N/A</v>
      </c>
      <c r="Q216" t="e">
        <f t="shared" si="30"/>
        <v>#N/A</v>
      </c>
    </row>
    <row r="217" spans="1:17">
      <c r="A217" s="28"/>
      <c r="B217" s="28"/>
      <c r="C217" s="28"/>
      <c r="D217" s="28"/>
      <c r="E217" s="28"/>
      <c r="F217" s="28"/>
      <c r="G217" s="26" t="str">
        <f t="shared" si="24"/>
        <v/>
      </c>
      <c r="H217" s="26" t="str">
        <f t="shared" si="31"/>
        <v/>
      </c>
      <c r="I217" s="26" t="str">
        <f t="shared" si="25"/>
        <v/>
      </c>
      <c r="J217" t="str">
        <f t="shared" si="26"/>
        <v/>
      </c>
      <c r="K217" s="26" t="str">
        <f t="shared" si="27"/>
        <v/>
      </c>
      <c r="L217" s="26" t="str">
        <f t="shared" si="28"/>
        <v/>
      </c>
      <c r="P217" t="e">
        <f t="shared" si="29"/>
        <v>#N/A</v>
      </c>
      <c r="Q217" t="e">
        <f t="shared" si="30"/>
        <v>#N/A</v>
      </c>
    </row>
    <row r="218" spans="1:17">
      <c r="A218" s="28"/>
      <c r="B218" s="28"/>
      <c r="C218" s="28"/>
      <c r="D218" s="28"/>
      <c r="E218" s="28"/>
      <c r="F218" s="28"/>
      <c r="G218" s="26" t="str">
        <f t="shared" si="24"/>
        <v/>
      </c>
      <c r="H218" s="26" t="str">
        <f t="shared" si="31"/>
        <v/>
      </c>
      <c r="I218" s="26" t="str">
        <f t="shared" si="25"/>
        <v/>
      </c>
      <c r="J218" t="str">
        <f t="shared" si="26"/>
        <v/>
      </c>
      <c r="K218" s="26" t="str">
        <f t="shared" si="27"/>
        <v/>
      </c>
      <c r="L218" s="26" t="str">
        <f t="shared" si="28"/>
        <v/>
      </c>
      <c r="P218" t="e">
        <f t="shared" si="29"/>
        <v>#N/A</v>
      </c>
      <c r="Q218" t="e">
        <f t="shared" si="30"/>
        <v>#N/A</v>
      </c>
    </row>
    <row r="219" spans="1:17">
      <c r="A219" s="28"/>
      <c r="B219" s="28"/>
      <c r="C219" s="28"/>
      <c r="D219" s="28"/>
      <c r="E219" s="28"/>
      <c r="F219" s="28"/>
      <c r="G219" s="26" t="str">
        <f t="shared" si="24"/>
        <v/>
      </c>
      <c r="H219" s="26" t="str">
        <f t="shared" si="31"/>
        <v/>
      </c>
      <c r="I219" s="26" t="str">
        <f t="shared" si="25"/>
        <v/>
      </c>
      <c r="J219" t="str">
        <f t="shared" si="26"/>
        <v/>
      </c>
      <c r="K219" s="26" t="str">
        <f t="shared" si="27"/>
        <v/>
      </c>
      <c r="L219" s="26" t="str">
        <f t="shared" si="28"/>
        <v/>
      </c>
      <c r="P219" t="e">
        <f t="shared" si="29"/>
        <v>#N/A</v>
      </c>
      <c r="Q219" t="e">
        <f t="shared" si="30"/>
        <v>#N/A</v>
      </c>
    </row>
    <row r="220" spans="1:17">
      <c r="A220" s="28"/>
      <c r="B220" s="28"/>
      <c r="C220" s="28"/>
      <c r="D220" s="28"/>
      <c r="E220" s="28"/>
      <c r="F220" s="28"/>
      <c r="G220" s="26" t="str">
        <f t="shared" si="24"/>
        <v/>
      </c>
      <c r="H220" s="26" t="str">
        <f t="shared" si="31"/>
        <v/>
      </c>
      <c r="I220" s="26" t="str">
        <f t="shared" si="25"/>
        <v/>
      </c>
      <c r="J220" t="str">
        <f t="shared" si="26"/>
        <v/>
      </c>
      <c r="K220" s="26" t="str">
        <f t="shared" si="27"/>
        <v/>
      </c>
      <c r="L220" s="26" t="str">
        <f t="shared" si="28"/>
        <v/>
      </c>
      <c r="P220" t="e">
        <f t="shared" si="29"/>
        <v>#N/A</v>
      </c>
      <c r="Q220" t="e">
        <f t="shared" si="30"/>
        <v>#N/A</v>
      </c>
    </row>
    <row r="221" spans="1:17">
      <c r="A221" s="28"/>
      <c r="B221" s="28"/>
      <c r="C221" s="28"/>
      <c r="D221" s="28"/>
      <c r="E221" s="28"/>
      <c r="F221" s="28"/>
      <c r="G221" s="26" t="str">
        <f t="shared" si="24"/>
        <v/>
      </c>
      <c r="H221" s="26" t="str">
        <f t="shared" si="31"/>
        <v/>
      </c>
      <c r="I221" s="26" t="str">
        <f t="shared" si="25"/>
        <v/>
      </c>
      <c r="J221" t="str">
        <f t="shared" si="26"/>
        <v/>
      </c>
      <c r="K221" s="26" t="str">
        <f t="shared" si="27"/>
        <v/>
      </c>
      <c r="L221" s="26" t="str">
        <f t="shared" si="28"/>
        <v/>
      </c>
      <c r="P221" t="e">
        <f t="shared" si="29"/>
        <v>#N/A</v>
      </c>
      <c r="Q221" t="e">
        <f t="shared" si="30"/>
        <v>#N/A</v>
      </c>
    </row>
    <row r="222" spans="1:17">
      <c r="A222" s="28"/>
      <c r="B222" s="28"/>
      <c r="C222" s="28"/>
      <c r="D222" s="28"/>
      <c r="E222" s="28"/>
      <c r="F222" s="28"/>
      <c r="G222" s="26" t="str">
        <f t="shared" si="24"/>
        <v/>
      </c>
      <c r="H222" s="26" t="str">
        <f t="shared" si="31"/>
        <v/>
      </c>
      <c r="I222" s="26" t="str">
        <f t="shared" si="25"/>
        <v/>
      </c>
      <c r="J222" t="str">
        <f t="shared" si="26"/>
        <v/>
      </c>
      <c r="K222" s="26" t="str">
        <f t="shared" si="27"/>
        <v/>
      </c>
      <c r="L222" s="26" t="str">
        <f t="shared" si="28"/>
        <v/>
      </c>
      <c r="P222" t="e">
        <f t="shared" si="29"/>
        <v>#N/A</v>
      </c>
      <c r="Q222" t="e">
        <f t="shared" si="30"/>
        <v>#N/A</v>
      </c>
    </row>
    <row r="223" spans="1:17">
      <c r="A223" s="28"/>
      <c r="B223" s="28"/>
      <c r="C223" s="28"/>
      <c r="D223" s="28"/>
      <c r="E223" s="28"/>
      <c r="F223" s="28"/>
      <c r="G223" s="26" t="str">
        <f t="shared" si="24"/>
        <v/>
      </c>
      <c r="H223" s="26" t="str">
        <f t="shared" si="31"/>
        <v/>
      </c>
      <c r="I223" s="26" t="str">
        <f t="shared" si="25"/>
        <v/>
      </c>
      <c r="J223" t="str">
        <f t="shared" si="26"/>
        <v/>
      </c>
      <c r="K223" s="26" t="str">
        <f t="shared" si="27"/>
        <v/>
      </c>
      <c r="L223" s="26" t="str">
        <f t="shared" si="28"/>
        <v/>
      </c>
      <c r="P223" t="e">
        <f t="shared" si="29"/>
        <v>#N/A</v>
      </c>
      <c r="Q223" t="e">
        <f t="shared" si="30"/>
        <v>#N/A</v>
      </c>
    </row>
    <row r="224" spans="1:17">
      <c r="A224" s="28"/>
      <c r="B224" s="28"/>
      <c r="C224" s="28"/>
      <c r="D224" s="28"/>
      <c r="E224" s="28"/>
      <c r="F224" s="28"/>
      <c r="G224" s="26" t="str">
        <f t="shared" si="24"/>
        <v/>
      </c>
      <c r="H224" s="26" t="str">
        <f t="shared" si="31"/>
        <v/>
      </c>
      <c r="I224" s="26" t="str">
        <f t="shared" si="25"/>
        <v/>
      </c>
      <c r="J224" t="str">
        <f t="shared" si="26"/>
        <v/>
      </c>
      <c r="K224" s="26" t="str">
        <f t="shared" si="27"/>
        <v/>
      </c>
      <c r="L224" s="26" t="str">
        <f t="shared" si="28"/>
        <v/>
      </c>
      <c r="P224" t="e">
        <f t="shared" si="29"/>
        <v>#N/A</v>
      </c>
      <c r="Q224" t="e">
        <f t="shared" si="30"/>
        <v>#N/A</v>
      </c>
    </row>
    <row r="225" spans="1:17">
      <c r="A225" s="28"/>
      <c r="B225" s="28"/>
      <c r="C225" s="28"/>
      <c r="D225" s="28"/>
      <c r="E225" s="28"/>
      <c r="F225" s="28"/>
      <c r="G225" s="26" t="str">
        <f t="shared" si="24"/>
        <v/>
      </c>
      <c r="H225" s="26" t="str">
        <f t="shared" si="31"/>
        <v/>
      </c>
      <c r="I225" s="26" t="str">
        <f t="shared" si="25"/>
        <v/>
      </c>
      <c r="J225" t="str">
        <f t="shared" si="26"/>
        <v/>
      </c>
      <c r="K225" s="26" t="str">
        <f t="shared" si="27"/>
        <v/>
      </c>
      <c r="L225" s="26" t="str">
        <f t="shared" si="28"/>
        <v/>
      </c>
      <c r="P225" t="e">
        <f t="shared" si="29"/>
        <v>#N/A</v>
      </c>
      <c r="Q225" t="e">
        <f t="shared" si="30"/>
        <v>#N/A</v>
      </c>
    </row>
    <row r="226" spans="1:17">
      <c r="A226" s="28"/>
      <c r="B226" s="28"/>
      <c r="C226" s="28"/>
      <c r="D226" s="28"/>
      <c r="E226" s="28"/>
      <c r="F226" s="28"/>
      <c r="G226" s="26" t="str">
        <f t="shared" si="24"/>
        <v/>
      </c>
      <c r="H226" s="26" t="str">
        <f t="shared" si="31"/>
        <v/>
      </c>
      <c r="I226" s="26" t="str">
        <f t="shared" si="25"/>
        <v/>
      </c>
      <c r="J226" t="str">
        <f t="shared" si="26"/>
        <v/>
      </c>
      <c r="K226" s="26" t="str">
        <f t="shared" si="27"/>
        <v/>
      </c>
      <c r="L226" s="26" t="str">
        <f t="shared" si="28"/>
        <v/>
      </c>
      <c r="P226" t="e">
        <f t="shared" si="29"/>
        <v>#N/A</v>
      </c>
      <c r="Q226" t="e">
        <f t="shared" si="30"/>
        <v>#N/A</v>
      </c>
    </row>
    <row r="227" spans="1:17">
      <c r="A227" s="28"/>
      <c r="B227" s="28"/>
      <c r="C227" s="28"/>
      <c r="D227" s="28"/>
      <c r="E227" s="28"/>
      <c r="F227" s="28"/>
      <c r="G227" s="26" t="str">
        <f t="shared" si="24"/>
        <v/>
      </c>
      <c r="H227" s="26" t="str">
        <f t="shared" si="31"/>
        <v/>
      </c>
      <c r="I227" s="26" t="str">
        <f t="shared" si="25"/>
        <v/>
      </c>
      <c r="J227" t="str">
        <f t="shared" si="26"/>
        <v/>
      </c>
      <c r="K227" s="26" t="str">
        <f t="shared" si="27"/>
        <v/>
      </c>
      <c r="L227" s="26" t="str">
        <f t="shared" si="28"/>
        <v/>
      </c>
      <c r="P227" t="e">
        <f t="shared" si="29"/>
        <v>#N/A</v>
      </c>
      <c r="Q227" t="e">
        <f t="shared" si="30"/>
        <v>#N/A</v>
      </c>
    </row>
    <row r="228" spans="1:17">
      <c r="A228" s="28"/>
      <c r="B228" s="28"/>
      <c r="C228" s="28"/>
      <c r="D228" s="28"/>
      <c r="E228" s="28"/>
      <c r="F228" s="28"/>
      <c r="G228" s="26" t="str">
        <f t="shared" si="24"/>
        <v/>
      </c>
      <c r="H228" s="26" t="str">
        <f t="shared" si="31"/>
        <v/>
      </c>
      <c r="I228" s="26" t="str">
        <f t="shared" si="25"/>
        <v/>
      </c>
      <c r="J228" t="str">
        <f t="shared" si="26"/>
        <v/>
      </c>
      <c r="K228" s="26" t="str">
        <f t="shared" si="27"/>
        <v/>
      </c>
      <c r="L228" s="26" t="str">
        <f t="shared" si="28"/>
        <v/>
      </c>
      <c r="P228" t="e">
        <f t="shared" si="29"/>
        <v>#N/A</v>
      </c>
      <c r="Q228" t="e">
        <f t="shared" si="30"/>
        <v>#N/A</v>
      </c>
    </row>
    <row r="229" spans="1:17">
      <c r="A229" s="28"/>
      <c r="B229" s="28"/>
      <c r="C229" s="28"/>
      <c r="D229" s="28"/>
      <c r="E229" s="28"/>
      <c r="F229" s="28"/>
      <c r="G229" s="26" t="str">
        <f t="shared" si="24"/>
        <v/>
      </c>
      <c r="H229" s="26" t="str">
        <f t="shared" si="31"/>
        <v/>
      </c>
      <c r="I229" s="26" t="str">
        <f t="shared" si="25"/>
        <v/>
      </c>
      <c r="J229" t="str">
        <f t="shared" si="26"/>
        <v/>
      </c>
      <c r="K229" s="26" t="str">
        <f t="shared" si="27"/>
        <v/>
      </c>
      <c r="L229" s="26" t="str">
        <f t="shared" si="28"/>
        <v/>
      </c>
      <c r="P229" t="e">
        <f t="shared" si="29"/>
        <v>#N/A</v>
      </c>
      <c r="Q229" t="e">
        <f t="shared" si="30"/>
        <v>#N/A</v>
      </c>
    </row>
    <row r="230" spans="1:17">
      <c r="A230" s="28"/>
      <c r="B230" s="28"/>
      <c r="C230" s="28"/>
      <c r="D230" s="28"/>
      <c r="E230" s="28"/>
      <c r="F230" s="28"/>
      <c r="G230" s="26" t="str">
        <f t="shared" si="24"/>
        <v/>
      </c>
      <c r="H230" s="26" t="str">
        <f t="shared" si="31"/>
        <v/>
      </c>
      <c r="I230" s="26" t="str">
        <f t="shared" si="25"/>
        <v/>
      </c>
      <c r="J230" t="str">
        <f t="shared" si="26"/>
        <v/>
      </c>
      <c r="K230" s="26" t="str">
        <f t="shared" si="27"/>
        <v/>
      </c>
      <c r="L230" s="26" t="str">
        <f t="shared" si="28"/>
        <v/>
      </c>
      <c r="P230" t="e">
        <f t="shared" si="29"/>
        <v>#N/A</v>
      </c>
      <c r="Q230" t="e">
        <f t="shared" si="30"/>
        <v>#N/A</v>
      </c>
    </row>
    <row r="231" spans="1:17">
      <c r="A231" s="28"/>
      <c r="B231" s="28"/>
      <c r="C231" s="28"/>
      <c r="D231" s="28"/>
      <c r="E231" s="28"/>
      <c r="F231" s="28"/>
      <c r="G231" s="26" t="str">
        <f t="shared" si="24"/>
        <v/>
      </c>
      <c r="H231" s="26" t="str">
        <f t="shared" si="31"/>
        <v/>
      </c>
      <c r="I231" s="26" t="str">
        <f t="shared" si="25"/>
        <v/>
      </c>
      <c r="J231" t="str">
        <f t="shared" si="26"/>
        <v/>
      </c>
      <c r="K231" s="26" t="str">
        <f t="shared" si="27"/>
        <v/>
      </c>
      <c r="L231" s="26" t="str">
        <f t="shared" si="28"/>
        <v/>
      </c>
      <c r="P231" t="e">
        <f t="shared" si="29"/>
        <v>#N/A</v>
      </c>
      <c r="Q231" t="e">
        <f t="shared" si="30"/>
        <v>#N/A</v>
      </c>
    </row>
    <row r="232" spans="1:17">
      <c r="A232" s="28"/>
      <c r="B232" s="28"/>
      <c r="C232" s="28"/>
      <c r="D232" s="28"/>
      <c r="E232" s="28"/>
      <c r="F232" s="28"/>
      <c r="G232" s="26" t="str">
        <f t="shared" si="24"/>
        <v/>
      </c>
      <c r="H232" s="26" t="str">
        <f t="shared" si="31"/>
        <v/>
      </c>
      <c r="I232" s="26" t="str">
        <f t="shared" si="25"/>
        <v/>
      </c>
      <c r="J232" t="str">
        <f t="shared" si="26"/>
        <v/>
      </c>
      <c r="K232" s="26" t="str">
        <f t="shared" si="27"/>
        <v/>
      </c>
      <c r="L232" s="26" t="str">
        <f t="shared" si="28"/>
        <v/>
      </c>
      <c r="P232" t="e">
        <f t="shared" si="29"/>
        <v>#N/A</v>
      </c>
      <c r="Q232" t="e">
        <f t="shared" si="30"/>
        <v>#N/A</v>
      </c>
    </row>
    <row r="233" spans="1:17">
      <c r="A233" s="28"/>
      <c r="B233" s="28"/>
      <c r="C233" s="28"/>
      <c r="D233" s="28"/>
      <c r="E233" s="28"/>
      <c r="F233" s="28"/>
      <c r="G233" s="26" t="str">
        <f t="shared" si="24"/>
        <v/>
      </c>
      <c r="H233" s="26" t="str">
        <f t="shared" si="31"/>
        <v/>
      </c>
      <c r="I233" s="26" t="str">
        <f t="shared" si="25"/>
        <v/>
      </c>
      <c r="J233" t="str">
        <f t="shared" si="26"/>
        <v/>
      </c>
      <c r="K233" s="26" t="str">
        <f t="shared" si="27"/>
        <v/>
      </c>
      <c r="L233" s="26" t="str">
        <f t="shared" si="28"/>
        <v/>
      </c>
      <c r="P233" t="e">
        <f t="shared" si="29"/>
        <v>#N/A</v>
      </c>
      <c r="Q233" t="e">
        <f t="shared" si="30"/>
        <v>#N/A</v>
      </c>
    </row>
    <row r="234" spans="1:17">
      <c r="A234" s="28"/>
      <c r="B234" s="28"/>
      <c r="C234" s="28"/>
      <c r="D234" s="28"/>
      <c r="E234" s="28"/>
      <c r="F234" s="28"/>
      <c r="G234" s="26" t="str">
        <f t="shared" si="24"/>
        <v/>
      </c>
      <c r="H234" s="26" t="str">
        <f t="shared" si="31"/>
        <v/>
      </c>
      <c r="I234" s="26" t="str">
        <f t="shared" si="25"/>
        <v/>
      </c>
      <c r="J234" t="str">
        <f t="shared" si="26"/>
        <v/>
      </c>
      <c r="K234" s="26" t="str">
        <f t="shared" si="27"/>
        <v/>
      </c>
      <c r="L234" s="26" t="str">
        <f t="shared" si="28"/>
        <v/>
      </c>
      <c r="P234" t="e">
        <f t="shared" si="29"/>
        <v>#N/A</v>
      </c>
      <c r="Q234" t="e">
        <f t="shared" si="30"/>
        <v>#N/A</v>
      </c>
    </row>
    <row r="235" spans="1:17">
      <c r="A235" s="28"/>
      <c r="B235" s="28"/>
      <c r="C235" s="28"/>
      <c r="D235" s="28"/>
      <c r="E235" s="28"/>
      <c r="F235" s="28"/>
      <c r="G235" s="26" t="str">
        <f t="shared" si="24"/>
        <v/>
      </c>
      <c r="H235" s="26" t="str">
        <f t="shared" si="31"/>
        <v/>
      </c>
      <c r="I235" s="26" t="str">
        <f t="shared" si="25"/>
        <v/>
      </c>
      <c r="J235" t="str">
        <f t="shared" si="26"/>
        <v/>
      </c>
      <c r="K235" s="26" t="str">
        <f t="shared" si="27"/>
        <v/>
      </c>
      <c r="L235" s="26" t="str">
        <f t="shared" si="28"/>
        <v/>
      </c>
      <c r="P235" t="e">
        <f t="shared" si="29"/>
        <v>#N/A</v>
      </c>
      <c r="Q235" t="e">
        <f t="shared" si="30"/>
        <v>#N/A</v>
      </c>
    </row>
    <row r="236" spans="1:17">
      <c r="A236" s="28"/>
      <c r="B236" s="28"/>
      <c r="C236" s="28"/>
      <c r="D236" s="28"/>
      <c r="E236" s="28"/>
      <c r="F236" s="28"/>
      <c r="G236" s="26" t="str">
        <f t="shared" si="24"/>
        <v/>
      </c>
      <c r="H236" s="26" t="str">
        <f t="shared" si="31"/>
        <v/>
      </c>
      <c r="I236" s="26" t="str">
        <f t="shared" si="25"/>
        <v/>
      </c>
      <c r="J236" t="str">
        <f t="shared" si="26"/>
        <v/>
      </c>
      <c r="K236" s="26" t="str">
        <f t="shared" si="27"/>
        <v/>
      </c>
      <c r="L236" s="26" t="str">
        <f t="shared" si="28"/>
        <v/>
      </c>
      <c r="P236" t="e">
        <f t="shared" si="29"/>
        <v>#N/A</v>
      </c>
      <c r="Q236" t="e">
        <f t="shared" si="30"/>
        <v>#N/A</v>
      </c>
    </row>
    <row r="237" spans="1:17">
      <c r="A237" s="28"/>
      <c r="B237" s="28"/>
      <c r="C237" s="28"/>
      <c r="D237" s="28"/>
      <c r="E237" s="28"/>
      <c r="F237" s="28"/>
      <c r="G237" s="26" t="str">
        <f t="shared" si="24"/>
        <v/>
      </c>
      <c r="H237" s="26" t="str">
        <f t="shared" si="31"/>
        <v/>
      </c>
      <c r="I237" s="26" t="str">
        <f t="shared" si="25"/>
        <v/>
      </c>
      <c r="J237" t="str">
        <f t="shared" si="26"/>
        <v/>
      </c>
      <c r="K237" s="26" t="str">
        <f t="shared" si="27"/>
        <v/>
      </c>
      <c r="L237" s="26" t="str">
        <f t="shared" si="28"/>
        <v/>
      </c>
      <c r="P237" t="e">
        <f t="shared" si="29"/>
        <v>#N/A</v>
      </c>
      <c r="Q237" t="e">
        <f t="shared" si="30"/>
        <v>#N/A</v>
      </c>
    </row>
    <row r="238" spans="1:17">
      <c r="A238" s="28"/>
      <c r="B238" s="28"/>
      <c r="C238" s="28"/>
      <c r="D238" s="28"/>
      <c r="E238" s="28"/>
      <c r="F238" s="28"/>
      <c r="G238" s="26" t="str">
        <f t="shared" si="24"/>
        <v/>
      </c>
      <c r="H238" s="26" t="str">
        <f t="shared" si="31"/>
        <v/>
      </c>
      <c r="I238" s="26" t="str">
        <f t="shared" si="25"/>
        <v/>
      </c>
      <c r="J238" t="str">
        <f t="shared" si="26"/>
        <v/>
      </c>
      <c r="K238" s="26" t="str">
        <f t="shared" si="27"/>
        <v/>
      </c>
      <c r="L238" s="26" t="str">
        <f t="shared" si="28"/>
        <v/>
      </c>
      <c r="P238" t="e">
        <f t="shared" si="29"/>
        <v>#N/A</v>
      </c>
      <c r="Q238" t="e">
        <f t="shared" si="30"/>
        <v>#N/A</v>
      </c>
    </row>
    <row r="239" spans="1:17">
      <c r="A239" s="28"/>
      <c r="B239" s="28"/>
      <c r="C239" s="28"/>
      <c r="D239" s="28"/>
      <c r="E239" s="28"/>
      <c r="F239" s="28"/>
      <c r="G239" s="26" t="str">
        <f t="shared" si="24"/>
        <v/>
      </c>
      <c r="H239" s="26" t="str">
        <f t="shared" si="31"/>
        <v/>
      </c>
      <c r="I239" s="26" t="str">
        <f t="shared" si="25"/>
        <v/>
      </c>
      <c r="J239" t="str">
        <f t="shared" si="26"/>
        <v/>
      </c>
      <c r="K239" s="26" t="str">
        <f t="shared" si="27"/>
        <v/>
      </c>
      <c r="L239" s="26" t="str">
        <f t="shared" si="28"/>
        <v/>
      </c>
      <c r="P239" t="e">
        <f t="shared" si="29"/>
        <v>#N/A</v>
      </c>
      <c r="Q239" t="e">
        <f t="shared" si="30"/>
        <v>#N/A</v>
      </c>
    </row>
    <row r="240" spans="1:17">
      <c r="A240" s="28"/>
      <c r="B240" s="28"/>
      <c r="C240" s="28"/>
      <c r="D240" s="28"/>
      <c r="E240" s="28"/>
      <c r="F240" s="28"/>
      <c r="G240" s="26" t="str">
        <f t="shared" si="24"/>
        <v/>
      </c>
      <c r="H240" s="26" t="str">
        <f t="shared" si="31"/>
        <v/>
      </c>
      <c r="I240" s="26" t="str">
        <f t="shared" si="25"/>
        <v/>
      </c>
      <c r="J240" t="str">
        <f t="shared" si="26"/>
        <v/>
      </c>
      <c r="K240" s="26" t="str">
        <f t="shared" si="27"/>
        <v/>
      </c>
      <c r="L240" s="26" t="str">
        <f t="shared" si="28"/>
        <v/>
      </c>
      <c r="P240" t="e">
        <f t="shared" si="29"/>
        <v>#N/A</v>
      </c>
      <c r="Q240" t="e">
        <f t="shared" si="30"/>
        <v>#N/A</v>
      </c>
    </row>
    <row r="241" spans="1:17">
      <c r="A241" s="28"/>
      <c r="B241" s="28"/>
      <c r="C241" s="28"/>
      <c r="D241" s="28"/>
      <c r="E241" s="28"/>
      <c r="F241" s="28"/>
      <c r="G241" s="26" t="str">
        <f t="shared" si="24"/>
        <v/>
      </c>
      <c r="H241" s="26" t="str">
        <f t="shared" si="31"/>
        <v/>
      </c>
      <c r="I241" s="26" t="str">
        <f t="shared" si="25"/>
        <v/>
      </c>
      <c r="J241" t="str">
        <f t="shared" si="26"/>
        <v/>
      </c>
      <c r="K241" s="26" t="str">
        <f t="shared" si="27"/>
        <v/>
      </c>
      <c r="L241" s="26" t="str">
        <f t="shared" si="28"/>
        <v/>
      </c>
      <c r="P241" t="e">
        <f t="shared" si="29"/>
        <v>#N/A</v>
      </c>
      <c r="Q241" t="e">
        <f t="shared" si="30"/>
        <v>#N/A</v>
      </c>
    </row>
    <row r="242" spans="1:17">
      <c r="A242" s="28"/>
      <c r="B242" s="28"/>
      <c r="C242" s="28"/>
      <c r="D242" s="28"/>
      <c r="E242" s="28"/>
      <c r="F242" s="28"/>
      <c r="G242" s="26" t="str">
        <f t="shared" si="24"/>
        <v/>
      </c>
      <c r="H242" s="26" t="str">
        <f t="shared" si="31"/>
        <v/>
      </c>
      <c r="I242" s="26" t="str">
        <f t="shared" si="25"/>
        <v/>
      </c>
      <c r="J242" t="str">
        <f t="shared" si="26"/>
        <v/>
      </c>
      <c r="K242" s="26" t="str">
        <f t="shared" si="27"/>
        <v/>
      </c>
      <c r="L242" s="26" t="str">
        <f t="shared" si="28"/>
        <v/>
      </c>
      <c r="P242" t="e">
        <f t="shared" si="29"/>
        <v>#N/A</v>
      </c>
      <c r="Q242" t="e">
        <f t="shared" si="30"/>
        <v>#N/A</v>
      </c>
    </row>
    <row r="243" spans="1:17">
      <c r="A243" s="28"/>
      <c r="B243" s="28"/>
      <c r="C243" s="28"/>
      <c r="D243" s="28"/>
      <c r="E243" s="28"/>
      <c r="F243" s="28"/>
      <c r="G243" s="26" t="str">
        <f t="shared" si="24"/>
        <v/>
      </c>
      <c r="H243" s="26" t="str">
        <f t="shared" si="31"/>
        <v/>
      </c>
      <c r="I243" s="26" t="str">
        <f t="shared" si="25"/>
        <v/>
      </c>
      <c r="J243" t="str">
        <f t="shared" si="26"/>
        <v/>
      </c>
      <c r="K243" s="26" t="str">
        <f t="shared" si="27"/>
        <v/>
      </c>
      <c r="L243" s="26" t="str">
        <f t="shared" si="28"/>
        <v/>
      </c>
      <c r="P243" t="e">
        <f t="shared" si="29"/>
        <v>#N/A</v>
      </c>
      <c r="Q243" t="e">
        <f t="shared" si="30"/>
        <v>#N/A</v>
      </c>
    </row>
    <row r="244" spans="1:17">
      <c r="A244" s="28"/>
      <c r="B244" s="28"/>
      <c r="C244" s="28"/>
      <c r="D244" s="28"/>
      <c r="E244" s="28"/>
      <c r="F244" s="28"/>
      <c r="G244" s="26" t="str">
        <f t="shared" si="24"/>
        <v/>
      </c>
      <c r="H244" s="26" t="str">
        <f t="shared" si="31"/>
        <v/>
      </c>
      <c r="I244" s="26" t="str">
        <f t="shared" si="25"/>
        <v/>
      </c>
      <c r="J244" t="str">
        <f t="shared" si="26"/>
        <v/>
      </c>
      <c r="K244" s="26" t="str">
        <f t="shared" si="27"/>
        <v/>
      </c>
      <c r="L244" s="26" t="str">
        <f t="shared" si="28"/>
        <v/>
      </c>
      <c r="P244" t="e">
        <f t="shared" si="29"/>
        <v>#N/A</v>
      </c>
      <c r="Q244" t="e">
        <f t="shared" si="30"/>
        <v>#N/A</v>
      </c>
    </row>
    <row r="245" spans="1:17">
      <c r="A245" s="28"/>
      <c r="B245" s="28"/>
      <c r="C245" s="28"/>
      <c r="D245" s="28"/>
      <c r="E245" s="28"/>
      <c r="F245" s="28"/>
      <c r="G245" s="26" t="str">
        <f t="shared" si="24"/>
        <v/>
      </c>
      <c r="H245" s="26" t="str">
        <f t="shared" si="31"/>
        <v/>
      </c>
      <c r="I245" s="26" t="str">
        <f t="shared" si="25"/>
        <v/>
      </c>
      <c r="J245" t="str">
        <f t="shared" si="26"/>
        <v/>
      </c>
      <c r="K245" s="26" t="str">
        <f t="shared" si="27"/>
        <v/>
      </c>
      <c r="L245" s="26" t="str">
        <f t="shared" si="28"/>
        <v/>
      </c>
      <c r="P245" t="e">
        <f t="shared" si="29"/>
        <v>#N/A</v>
      </c>
      <c r="Q245" t="e">
        <f t="shared" si="30"/>
        <v>#N/A</v>
      </c>
    </row>
    <row r="246" spans="1:17">
      <c r="A246" s="28"/>
      <c r="B246" s="28"/>
      <c r="C246" s="28"/>
      <c r="D246" s="28"/>
      <c r="E246" s="28"/>
      <c r="F246" s="28"/>
      <c r="G246" s="26" t="str">
        <f t="shared" si="24"/>
        <v/>
      </c>
      <c r="H246" s="26" t="str">
        <f t="shared" si="31"/>
        <v/>
      </c>
      <c r="I246" s="26" t="str">
        <f t="shared" si="25"/>
        <v/>
      </c>
      <c r="J246" t="str">
        <f t="shared" si="26"/>
        <v/>
      </c>
      <c r="K246" s="26" t="str">
        <f t="shared" si="27"/>
        <v/>
      </c>
      <c r="L246" s="26" t="str">
        <f t="shared" si="28"/>
        <v/>
      </c>
      <c r="P246" t="e">
        <f t="shared" si="29"/>
        <v>#N/A</v>
      </c>
      <c r="Q246" t="e">
        <f t="shared" si="30"/>
        <v>#N/A</v>
      </c>
    </row>
    <row r="247" spans="1:17">
      <c r="A247" s="28"/>
      <c r="B247" s="28"/>
      <c r="C247" s="28"/>
      <c r="D247" s="28"/>
      <c r="E247" s="28"/>
      <c r="F247" s="28"/>
      <c r="G247" s="26" t="str">
        <f t="shared" si="24"/>
        <v/>
      </c>
      <c r="H247" s="26" t="str">
        <f t="shared" si="31"/>
        <v/>
      </c>
      <c r="I247" s="26" t="str">
        <f t="shared" si="25"/>
        <v/>
      </c>
      <c r="J247" t="str">
        <f t="shared" si="26"/>
        <v/>
      </c>
      <c r="K247" s="26" t="str">
        <f t="shared" si="27"/>
        <v/>
      </c>
      <c r="L247" s="26" t="str">
        <f t="shared" si="28"/>
        <v/>
      </c>
      <c r="P247" t="e">
        <f t="shared" si="29"/>
        <v>#N/A</v>
      </c>
      <c r="Q247" t="e">
        <f t="shared" si="30"/>
        <v>#N/A</v>
      </c>
    </row>
    <row r="248" spans="1:17">
      <c r="A248" s="28"/>
      <c r="B248" s="28"/>
      <c r="C248" s="28"/>
      <c r="D248" s="28"/>
      <c r="E248" s="28"/>
      <c r="F248" s="28"/>
      <c r="G248" s="26" t="str">
        <f t="shared" si="24"/>
        <v/>
      </c>
      <c r="H248" s="26" t="str">
        <f t="shared" si="31"/>
        <v/>
      </c>
      <c r="I248" s="26" t="str">
        <f t="shared" si="25"/>
        <v/>
      </c>
      <c r="J248" t="str">
        <f t="shared" si="26"/>
        <v/>
      </c>
      <c r="K248" s="26" t="str">
        <f t="shared" si="27"/>
        <v/>
      </c>
      <c r="L248" s="26" t="str">
        <f t="shared" si="28"/>
        <v/>
      </c>
      <c r="P248" t="e">
        <f t="shared" si="29"/>
        <v>#N/A</v>
      </c>
      <c r="Q248" t="e">
        <f t="shared" si="30"/>
        <v>#N/A</v>
      </c>
    </row>
    <row r="249" spans="1:17">
      <c r="A249" s="28"/>
      <c r="B249" s="28"/>
      <c r="C249" s="28"/>
      <c r="D249" s="28"/>
      <c r="E249" s="28"/>
      <c r="F249" s="28"/>
      <c r="G249" s="26" t="str">
        <f t="shared" si="24"/>
        <v/>
      </c>
      <c r="H249" s="26" t="str">
        <f t="shared" si="31"/>
        <v/>
      </c>
      <c r="I249" s="26" t="str">
        <f t="shared" si="25"/>
        <v/>
      </c>
      <c r="J249" t="str">
        <f t="shared" si="26"/>
        <v/>
      </c>
      <c r="K249" s="26" t="str">
        <f t="shared" si="27"/>
        <v/>
      </c>
      <c r="L249" s="26" t="str">
        <f t="shared" si="28"/>
        <v/>
      </c>
      <c r="P249" t="e">
        <f t="shared" si="29"/>
        <v>#N/A</v>
      </c>
      <c r="Q249" t="e">
        <f t="shared" si="30"/>
        <v>#N/A</v>
      </c>
    </row>
    <row r="250" spans="1:17">
      <c r="A250" s="28"/>
      <c r="B250" s="28"/>
      <c r="C250" s="28"/>
      <c r="D250" s="28"/>
      <c r="E250" s="28"/>
      <c r="F250" s="28"/>
      <c r="G250" s="26" t="str">
        <f t="shared" si="24"/>
        <v/>
      </c>
      <c r="H250" s="26" t="str">
        <f t="shared" si="31"/>
        <v/>
      </c>
      <c r="I250" s="26" t="str">
        <f t="shared" si="25"/>
        <v/>
      </c>
      <c r="J250" t="str">
        <f t="shared" si="26"/>
        <v/>
      </c>
      <c r="K250" s="26" t="str">
        <f t="shared" si="27"/>
        <v/>
      </c>
      <c r="L250" s="26" t="str">
        <f t="shared" si="28"/>
        <v/>
      </c>
      <c r="P250" t="e">
        <f t="shared" si="29"/>
        <v>#N/A</v>
      </c>
      <c r="Q250" t="e">
        <f t="shared" si="30"/>
        <v>#N/A</v>
      </c>
    </row>
    <row r="251" spans="1:17">
      <c r="A251" s="28"/>
      <c r="B251" s="28"/>
      <c r="C251" s="28"/>
      <c r="D251" s="28"/>
      <c r="E251" s="28"/>
      <c r="F251" s="28"/>
      <c r="G251" s="26" t="str">
        <f t="shared" si="24"/>
        <v/>
      </c>
      <c r="H251" s="26" t="str">
        <f t="shared" si="31"/>
        <v/>
      </c>
      <c r="I251" s="26" t="str">
        <f t="shared" si="25"/>
        <v/>
      </c>
      <c r="J251" t="str">
        <f t="shared" si="26"/>
        <v/>
      </c>
      <c r="K251" s="26" t="str">
        <f t="shared" si="27"/>
        <v/>
      </c>
      <c r="L251" s="26" t="str">
        <f t="shared" si="28"/>
        <v/>
      </c>
      <c r="P251" t="e">
        <f t="shared" si="29"/>
        <v>#N/A</v>
      </c>
      <c r="Q251" t="e">
        <f t="shared" si="30"/>
        <v>#N/A</v>
      </c>
    </row>
    <row r="252" spans="1:17">
      <c r="A252" s="28"/>
      <c r="B252" s="28"/>
      <c r="C252" s="28"/>
      <c r="D252" s="28"/>
      <c r="E252" s="28"/>
      <c r="F252" s="28"/>
      <c r="G252" s="26" t="str">
        <f t="shared" si="24"/>
        <v/>
      </c>
      <c r="H252" s="26" t="str">
        <f t="shared" si="31"/>
        <v/>
      </c>
      <c r="I252" s="26" t="str">
        <f t="shared" si="25"/>
        <v/>
      </c>
      <c r="J252" t="str">
        <f t="shared" si="26"/>
        <v/>
      </c>
      <c r="K252" s="26" t="str">
        <f t="shared" si="27"/>
        <v/>
      </c>
      <c r="L252" s="26" t="str">
        <f t="shared" si="28"/>
        <v/>
      </c>
      <c r="P252" t="e">
        <f t="shared" si="29"/>
        <v>#N/A</v>
      </c>
      <c r="Q252" t="e">
        <f t="shared" si="30"/>
        <v>#N/A</v>
      </c>
    </row>
    <row r="253" spans="1:17">
      <c r="A253" s="28"/>
      <c r="B253" s="28"/>
      <c r="C253" s="28"/>
      <c r="D253" s="28"/>
      <c r="E253" s="28"/>
      <c r="F253" s="28"/>
      <c r="G253" s="26" t="str">
        <f t="shared" si="24"/>
        <v/>
      </c>
      <c r="H253" s="26" t="str">
        <f t="shared" si="31"/>
        <v/>
      </c>
      <c r="I253" s="26" t="str">
        <f t="shared" si="25"/>
        <v/>
      </c>
      <c r="J253" t="str">
        <f t="shared" si="26"/>
        <v/>
      </c>
      <c r="K253" s="26" t="str">
        <f t="shared" si="27"/>
        <v/>
      </c>
      <c r="L253" s="26" t="str">
        <f t="shared" si="28"/>
        <v/>
      </c>
      <c r="P253" t="e">
        <f t="shared" si="29"/>
        <v>#N/A</v>
      </c>
      <c r="Q253" t="e">
        <f t="shared" si="30"/>
        <v>#N/A</v>
      </c>
    </row>
    <row r="254" spans="1:17">
      <c r="A254" s="28"/>
      <c r="B254" s="28"/>
      <c r="C254" s="28"/>
      <c r="D254" s="28"/>
      <c r="E254" s="28"/>
      <c r="F254" s="28"/>
      <c r="G254" s="26" t="str">
        <f t="shared" si="24"/>
        <v/>
      </c>
      <c r="H254" s="26" t="str">
        <f t="shared" si="31"/>
        <v/>
      </c>
      <c r="I254" s="26" t="str">
        <f t="shared" si="25"/>
        <v/>
      </c>
      <c r="J254" t="str">
        <f t="shared" si="26"/>
        <v/>
      </c>
      <c r="K254" s="26" t="str">
        <f t="shared" si="27"/>
        <v/>
      </c>
      <c r="L254" s="26" t="str">
        <f t="shared" si="28"/>
        <v/>
      </c>
      <c r="P254" t="e">
        <f t="shared" si="29"/>
        <v>#N/A</v>
      </c>
      <c r="Q254" t="e">
        <f t="shared" si="30"/>
        <v>#N/A</v>
      </c>
    </row>
    <row r="255" spans="1:17">
      <c r="A255" s="28"/>
      <c r="B255" s="28"/>
      <c r="C255" s="28"/>
      <c r="D255" s="28"/>
      <c r="E255" s="28"/>
      <c r="F255" s="28"/>
      <c r="G255" s="26" t="str">
        <f t="shared" si="24"/>
        <v/>
      </c>
      <c r="H255" s="26" t="str">
        <f t="shared" si="31"/>
        <v/>
      </c>
      <c r="I255" s="26" t="str">
        <f t="shared" si="25"/>
        <v/>
      </c>
      <c r="J255" t="str">
        <f t="shared" si="26"/>
        <v/>
      </c>
      <c r="K255" s="26" t="str">
        <f t="shared" si="27"/>
        <v/>
      </c>
      <c r="L255" s="26" t="str">
        <f t="shared" si="28"/>
        <v/>
      </c>
      <c r="P255" t="e">
        <f t="shared" si="29"/>
        <v>#N/A</v>
      </c>
      <c r="Q255" t="e">
        <f t="shared" si="30"/>
        <v>#N/A</v>
      </c>
    </row>
    <row r="256" spans="1:17">
      <c r="A256" s="28"/>
      <c r="B256" s="28"/>
      <c r="C256" s="28"/>
      <c r="D256" s="28"/>
      <c r="E256" s="28"/>
      <c r="F256" s="28"/>
      <c r="G256" s="26" t="str">
        <f t="shared" si="24"/>
        <v/>
      </c>
      <c r="H256" s="26" t="str">
        <f t="shared" si="31"/>
        <v/>
      </c>
      <c r="I256" s="26" t="str">
        <f t="shared" si="25"/>
        <v/>
      </c>
      <c r="J256" t="str">
        <f t="shared" si="26"/>
        <v/>
      </c>
      <c r="K256" s="26" t="str">
        <f t="shared" si="27"/>
        <v/>
      </c>
      <c r="L256" s="26" t="str">
        <f t="shared" si="28"/>
        <v/>
      </c>
      <c r="P256" t="e">
        <f t="shared" si="29"/>
        <v>#N/A</v>
      </c>
      <c r="Q256" t="e">
        <f t="shared" si="30"/>
        <v>#N/A</v>
      </c>
    </row>
    <row r="257" spans="1:17">
      <c r="A257" s="28"/>
      <c r="B257" s="28"/>
      <c r="C257" s="28"/>
      <c r="D257" s="28"/>
      <c r="E257" s="28"/>
      <c r="F257" s="28"/>
      <c r="G257" s="26" t="str">
        <f t="shared" si="24"/>
        <v/>
      </c>
      <c r="H257" s="26" t="str">
        <f t="shared" si="31"/>
        <v/>
      </c>
      <c r="I257" s="26" t="str">
        <f t="shared" si="25"/>
        <v/>
      </c>
      <c r="J257" t="str">
        <f t="shared" si="26"/>
        <v/>
      </c>
      <c r="K257" s="26" t="str">
        <f t="shared" si="27"/>
        <v/>
      </c>
      <c r="L257" s="26" t="str">
        <f t="shared" si="28"/>
        <v/>
      </c>
      <c r="P257" t="e">
        <f t="shared" si="29"/>
        <v>#N/A</v>
      </c>
      <c r="Q257" t="e">
        <f t="shared" si="30"/>
        <v>#N/A</v>
      </c>
    </row>
    <row r="258" spans="1:17">
      <c r="A258" s="28"/>
      <c r="B258" s="28"/>
      <c r="C258" s="28"/>
      <c r="D258" s="28"/>
      <c r="E258" s="28"/>
      <c r="F258" s="28"/>
      <c r="G258" s="26" t="str">
        <f t="shared" ref="G258:G321" si="32">IF(B258="","",243.04*(LN(C258/100)+17.625*B258/(243.04+B258))/(17.625-LN(C258/100)-17.625*B258/(243.04+B258)))</f>
        <v/>
      </c>
      <c r="H258" s="26" t="str">
        <f t="shared" si="31"/>
        <v/>
      </c>
      <c r="I258" s="26" t="str">
        <f t="shared" ref="I258:I321" si="33">IF(B258="","",B258-E258)</f>
        <v/>
      </c>
      <c r="J258" t="str">
        <f t="shared" ref="J258:J321" si="34">IF(H258="","",IF(H258&gt;0.6,"Heating",IF(H258&lt;-0.2,"Cooling","Steady")))</f>
        <v/>
      </c>
      <c r="K258" s="26" t="str">
        <f t="shared" ref="K258:K321" si="35">IF(J258="Cooling",I258,"")</f>
        <v/>
      </c>
      <c r="L258" s="26" t="str">
        <f t="shared" ref="L258:L321" si="36">IF(J258="Cooling",H258,"")</f>
        <v/>
      </c>
      <c r="P258" t="e">
        <f t="shared" ref="P258:P321" si="37">IF(K258="",NA(),K258)</f>
        <v>#N/A</v>
      </c>
      <c r="Q258" t="e">
        <f t="shared" ref="Q258:Q321" si="38">IF(L258="",NA(),L258)</f>
        <v>#N/A</v>
      </c>
    </row>
    <row r="259" spans="1:17">
      <c r="A259" s="28"/>
      <c r="B259" s="28"/>
      <c r="C259" s="28"/>
      <c r="D259" s="28"/>
      <c r="E259" s="28"/>
      <c r="F259" s="28"/>
      <c r="G259" s="26" t="str">
        <f t="shared" si="32"/>
        <v/>
      </c>
      <c r="H259" s="26" t="str">
        <f t="shared" si="31"/>
        <v/>
      </c>
      <c r="I259" s="26" t="str">
        <f t="shared" si="33"/>
        <v/>
      </c>
      <c r="J259" t="str">
        <f t="shared" si="34"/>
        <v/>
      </c>
      <c r="K259" s="26" t="str">
        <f t="shared" si="35"/>
        <v/>
      </c>
      <c r="L259" s="26" t="str">
        <f t="shared" si="36"/>
        <v/>
      </c>
      <c r="P259" t="e">
        <f t="shared" si="37"/>
        <v>#N/A</v>
      </c>
      <c r="Q259" t="e">
        <f t="shared" si="38"/>
        <v>#N/A</v>
      </c>
    </row>
    <row r="260" spans="1:17">
      <c r="A260" s="28"/>
      <c r="B260" s="28"/>
      <c r="C260" s="28"/>
      <c r="D260" s="28"/>
      <c r="E260" s="28"/>
      <c r="F260" s="28"/>
      <c r="G260" s="26" t="str">
        <f t="shared" si="32"/>
        <v/>
      </c>
      <c r="H260" s="26" t="str">
        <f t="shared" ref="H260:H323" si="39">IFERROR(IF(OR(B258="",B262=""),"",(B262-B258)/4*60),"")</f>
        <v/>
      </c>
      <c r="I260" s="26" t="str">
        <f t="shared" si="33"/>
        <v/>
      </c>
      <c r="J260" t="str">
        <f t="shared" si="34"/>
        <v/>
      </c>
      <c r="K260" s="26" t="str">
        <f t="shared" si="35"/>
        <v/>
      </c>
      <c r="L260" s="26" t="str">
        <f t="shared" si="36"/>
        <v/>
      </c>
      <c r="P260" t="e">
        <f t="shared" si="37"/>
        <v>#N/A</v>
      </c>
      <c r="Q260" t="e">
        <f t="shared" si="38"/>
        <v>#N/A</v>
      </c>
    </row>
    <row r="261" spans="1:17">
      <c r="A261" s="28"/>
      <c r="B261" s="28"/>
      <c r="C261" s="28"/>
      <c r="D261" s="28"/>
      <c r="E261" s="28"/>
      <c r="F261" s="28"/>
      <c r="G261" s="26" t="str">
        <f t="shared" si="32"/>
        <v/>
      </c>
      <c r="H261" s="26" t="str">
        <f t="shared" si="39"/>
        <v/>
      </c>
      <c r="I261" s="26" t="str">
        <f t="shared" si="33"/>
        <v/>
      </c>
      <c r="J261" t="str">
        <f t="shared" si="34"/>
        <v/>
      </c>
      <c r="K261" s="26" t="str">
        <f t="shared" si="35"/>
        <v/>
      </c>
      <c r="L261" s="26" t="str">
        <f t="shared" si="36"/>
        <v/>
      </c>
      <c r="P261" t="e">
        <f t="shared" si="37"/>
        <v>#N/A</v>
      </c>
      <c r="Q261" t="e">
        <f t="shared" si="38"/>
        <v>#N/A</v>
      </c>
    </row>
    <row r="262" spans="1:17">
      <c r="A262" s="28"/>
      <c r="B262" s="28"/>
      <c r="C262" s="28"/>
      <c r="D262" s="28"/>
      <c r="E262" s="28"/>
      <c r="F262" s="28"/>
      <c r="G262" s="26" t="str">
        <f t="shared" si="32"/>
        <v/>
      </c>
      <c r="H262" s="26" t="str">
        <f t="shared" si="39"/>
        <v/>
      </c>
      <c r="I262" s="26" t="str">
        <f t="shared" si="33"/>
        <v/>
      </c>
      <c r="J262" t="str">
        <f t="shared" si="34"/>
        <v/>
      </c>
      <c r="K262" s="26" t="str">
        <f t="shared" si="35"/>
        <v/>
      </c>
      <c r="L262" s="26" t="str">
        <f t="shared" si="36"/>
        <v/>
      </c>
      <c r="P262" t="e">
        <f t="shared" si="37"/>
        <v>#N/A</v>
      </c>
      <c r="Q262" t="e">
        <f t="shared" si="38"/>
        <v>#N/A</v>
      </c>
    </row>
    <row r="263" spans="1:17">
      <c r="A263" s="28"/>
      <c r="B263" s="28"/>
      <c r="C263" s="28"/>
      <c r="D263" s="28"/>
      <c r="E263" s="28"/>
      <c r="F263" s="28"/>
      <c r="G263" s="26" t="str">
        <f t="shared" si="32"/>
        <v/>
      </c>
      <c r="H263" s="26" t="str">
        <f t="shared" si="39"/>
        <v/>
      </c>
      <c r="I263" s="26" t="str">
        <f t="shared" si="33"/>
        <v/>
      </c>
      <c r="J263" t="str">
        <f t="shared" si="34"/>
        <v/>
      </c>
      <c r="K263" s="26" t="str">
        <f t="shared" si="35"/>
        <v/>
      </c>
      <c r="L263" s="26" t="str">
        <f t="shared" si="36"/>
        <v/>
      </c>
      <c r="P263" t="e">
        <f t="shared" si="37"/>
        <v>#N/A</v>
      </c>
      <c r="Q263" t="e">
        <f t="shared" si="38"/>
        <v>#N/A</v>
      </c>
    </row>
    <row r="264" spans="1:17">
      <c r="A264" s="28"/>
      <c r="B264" s="28"/>
      <c r="C264" s="28"/>
      <c r="D264" s="28"/>
      <c r="E264" s="28"/>
      <c r="F264" s="28"/>
      <c r="G264" s="26" t="str">
        <f t="shared" si="32"/>
        <v/>
      </c>
      <c r="H264" s="26" t="str">
        <f t="shared" si="39"/>
        <v/>
      </c>
      <c r="I264" s="26" t="str">
        <f t="shared" si="33"/>
        <v/>
      </c>
      <c r="J264" t="str">
        <f t="shared" si="34"/>
        <v/>
      </c>
      <c r="K264" s="26" t="str">
        <f t="shared" si="35"/>
        <v/>
      </c>
      <c r="L264" s="26" t="str">
        <f t="shared" si="36"/>
        <v/>
      </c>
      <c r="P264" t="e">
        <f t="shared" si="37"/>
        <v>#N/A</v>
      </c>
      <c r="Q264" t="e">
        <f t="shared" si="38"/>
        <v>#N/A</v>
      </c>
    </row>
    <row r="265" spans="1:17">
      <c r="A265" s="28"/>
      <c r="B265" s="28"/>
      <c r="C265" s="28"/>
      <c r="D265" s="28"/>
      <c r="E265" s="28"/>
      <c r="F265" s="28"/>
      <c r="G265" s="26" t="str">
        <f t="shared" si="32"/>
        <v/>
      </c>
      <c r="H265" s="26" t="str">
        <f t="shared" si="39"/>
        <v/>
      </c>
      <c r="I265" s="26" t="str">
        <f t="shared" si="33"/>
        <v/>
      </c>
      <c r="J265" t="str">
        <f t="shared" si="34"/>
        <v/>
      </c>
      <c r="K265" s="26" t="str">
        <f t="shared" si="35"/>
        <v/>
      </c>
      <c r="L265" s="26" t="str">
        <f t="shared" si="36"/>
        <v/>
      </c>
      <c r="P265" t="e">
        <f t="shared" si="37"/>
        <v>#N/A</v>
      </c>
      <c r="Q265" t="e">
        <f t="shared" si="38"/>
        <v>#N/A</v>
      </c>
    </row>
    <row r="266" spans="1:17">
      <c r="A266" s="28"/>
      <c r="B266" s="28"/>
      <c r="C266" s="28"/>
      <c r="D266" s="28"/>
      <c r="E266" s="28"/>
      <c r="F266" s="28"/>
      <c r="G266" s="26" t="str">
        <f t="shared" si="32"/>
        <v/>
      </c>
      <c r="H266" s="26" t="str">
        <f t="shared" si="39"/>
        <v/>
      </c>
      <c r="I266" s="26" t="str">
        <f t="shared" si="33"/>
        <v/>
      </c>
      <c r="J266" t="str">
        <f t="shared" si="34"/>
        <v/>
      </c>
      <c r="K266" s="26" t="str">
        <f t="shared" si="35"/>
        <v/>
      </c>
      <c r="L266" s="26" t="str">
        <f t="shared" si="36"/>
        <v/>
      </c>
      <c r="P266" t="e">
        <f t="shared" si="37"/>
        <v>#N/A</v>
      </c>
      <c r="Q266" t="e">
        <f t="shared" si="38"/>
        <v>#N/A</v>
      </c>
    </row>
    <row r="267" spans="1:17">
      <c r="A267" s="28"/>
      <c r="B267" s="28"/>
      <c r="C267" s="28"/>
      <c r="D267" s="28"/>
      <c r="E267" s="28"/>
      <c r="F267" s="28"/>
      <c r="G267" s="26" t="str">
        <f t="shared" si="32"/>
        <v/>
      </c>
      <c r="H267" s="26" t="str">
        <f t="shared" si="39"/>
        <v/>
      </c>
      <c r="I267" s="26" t="str">
        <f t="shared" si="33"/>
        <v/>
      </c>
      <c r="J267" t="str">
        <f t="shared" si="34"/>
        <v/>
      </c>
      <c r="K267" s="26" t="str">
        <f t="shared" si="35"/>
        <v/>
      </c>
      <c r="L267" s="26" t="str">
        <f t="shared" si="36"/>
        <v/>
      </c>
      <c r="P267" t="e">
        <f t="shared" si="37"/>
        <v>#N/A</v>
      </c>
      <c r="Q267" t="e">
        <f t="shared" si="38"/>
        <v>#N/A</v>
      </c>
    </row>
    <row r="268" spans="1:17">
      <c r="A268" s="28"/>
      <c r="B268" s="28"/>
      <c r="C268" s="28"/>
      <c r="D268" s="28"/>
      <c r="E268" s="28"/>
      <c r="F268" s="28"/>
      <c r="G268" s="26" t="str">
        <f t="shared" si="32"/>
        <v/>
      </c>
      <c r="H268" s="26" t="str">
        <f t="shared" si="39"/>
        <v/>
      </c>
      <c r="I268" s="26" t="str">
        <f t="shared" si="33"/>
        <v/>
      </c>
      <c r="J268" t="str">
        <f t="shared" si="34"/>
        <v/>
      </c>
      <c r="K268" s="26" t="str">
        <f t="shared" si="35"/>
        <v/>
      </c>
      <c r="L268" s="26" t="str">
        <f t="shared" si="36"/>
        <v/>
      </c>
      <c r="P268" t="e">
        <f t="shared" si="37"/>
        <v>#N/A</v>
      </c>
      <c r="Q268" t="e">
        <f t="shared" si="38"/>
        <v>#N/A</v>
      </c>
    </row>
    <row r="269" spans="1:17">
      <c r="A269" s="28"/>
      <c r="B269" s="28"/>
      <c r="C269" s="28"/>
      <c r="D269" s="28"/>
      <c r="E269" s="28"/>
      <c r="F269" s="28"/>
      <c r="G269" s="26" t="str">
        <f t="shared" si="32"/>
        <v/>
      </c>
      <c r="H269" s="26" t="str">
        <f t="shared" si="39"/>
        <v/>
      </c>
      <c r="I269" s="26" t="str">
        <f t="shared" si="33"/>
        <v/>
      </c>
      <c r="J269" t="str">
        <f t="shared" si="34"/>
        <v/>
      </c>
      <c r="K269" s="26" t="str">
        <f t="shared" si="35"/>
        <v/>
      </c>
      <c r="L269" s="26" t="str">
        <f t="shared" si="36"/>
        <v/>
      </c>
      <c r="P269" t="e">
        <f t="shared" si="37"/>
        <v>#N/A</v>
      </c>
      <c r="Q269" t="e">
        <f t="shared" si="38"/>
        <v>#N/A</v>
      </c>
    </row>
    <row r="270" spans="1:17">
      <c r="A270" s="28"/>
      <c r="B270" s="28"/>
      <c r="C270" s="28"/>
      <c r="D270" s="28"/>
      <c r="E270" s="28"/>
      <c r="F270" s="28"/>
      <c r="G270" s="26" t="str">
        <f t="shared" si="32"/>
        <v/>
      </c>
      <c r="H270" s="26" t="str">
        <f t="shared" si="39"/>
        <v/>
      </c>
      <c r="I270" s="26" t="str">
        <f t="shared" si="33"/>
        <v/>
      </c>
      <c r="J270" t="str">
        <f t="shared" si="34"/>
        <v/>
      </c>
      <c r="K270" s="26" t="str">
        <f t="shared" si="35"/>
        <v/>
      </c>
      <c r="L270" s="26" t="str">
        <f t="shared" si="36"/>
        <v/>
      </c>
      <c r="P270" t="e">
        <f t="shared" si="37"/>
        <v>#N/A</v>
      </c>
      <c r="Q270" t="e">
        <f t="shared" si="38"/>
        <v>#N/A</v>
      </c>
    </row>
    <row r="271" spans="1:17">
      <c r="A271" s="28"/>
      <c r="B271" s="28"/>
      <c r="C271" s="28"/>
      <c r="D271" s="28"/>
      <c r="E271" s="28"/>
      <c r="F271" s="28"/>
      <c r="G271" s="26" t="str">
        <f t="shared" si="32"/>
        <v/>
      </c>
      <c r="H271" s="26" t="str">
        <f t="shared" si="39"/>
        <v/>
      </c>
      <c r="I271" s="26" t="str">
        <f t="shared" si="33"/>
        <v/>
      </c>
      <c r="J271" t="str">
        <f t="shared" si="34"/>
        <v/>
      </c>
      <c r="K271" s="26" t="str">
        <f t="shared" si="35"/>
        <v/>
      </c>
      <c r="L271" s="26" t="str">
        <f t="shared" si="36"/>
        <v/>
      </c>
      <c r="P271" t="e">
        <f t="shared" si="37"/>
        <v>#N/A</v>
      </c>
      <c r="Q271" t="e">
        <f t="shared" si="38"/>
        <v>#N/A</v>
      </c>
    </row>
    <row r="272" spans="1:17">
      <c r="A272" s="28"/>
      <c r="B272" s="28"/>
      <c r="C272" s="28"/>
      <c r="D272" s="28"/>
      <c r="E272" s="28"/>
      <c r="F272" s="28"/>
      <c r="G272" s="26" t="str">
        <f t="shared" si="32"/>
        <v/>
      </c>
      <c r="H272" s="26" t="str">
        <f t="shared" si="39"/>
        <v/>
      </c>
      <c r="I272" s="26" t="str">
        <f t="shared" si="33"/>
        <v/>
      </c>
      <c r="J272" t="str">
        <f t="shared" si="34"/>
        <v/>
      </c>
      <c r="K272" s="26" t="str">
        <f t="shared" si="35"/>
        <v/>
      </c>
      <c r="L272" s="26" t="str">
        <f t="shared" si="36"/>
        <v/>
      </c>
      <c r="P272" t="e">
        <f t="shared" si="37"/>
        <v>#N/A</v>
      </c>
      <c r="Q272" t="e">
        <f t="shared" si="38"/>
        <v>#N/A</v>
      </c>
    </row>
    <row r="273" spans="1:17">
      <c r="A273" s="28"/>
      <c r="B273" s="28"/>
      <c r="C273" s="28"/>
      <c r="D273" s="28"/>
      <c r="E273" s="28"/>
      <c r="F273" s="28"/>
      <c r="G273" s="26" t="str">
        <f t="shared" si="32"/>
        <v/>
      </c>
      <c r="H273" s="26" t="str">
        <f t="shared" si="39"/>
        <v/>
      </c>
      <c r="I273" s="26" t="str">
        <f t="shared" si="33"/>
        <v/>
      </c>
      <c r="J273" t="str">
        <f t="shared" si="34"/>
        <v/>
      </c>
      <c r="K273" s="26" t="str">
        <f t="shared" si="35"/>
        <v/>
      </c>
      <c r="L273" s="26" t="str">
        <f t="shared" si="36"/>
        <v/>
      </c>
      <c r="P273" t="e">
        <f t="shared" si="37"/>
        <v>#N/A</v>
      </c>
      <c r="Q273" t="e">
        <f t="shared" si="38"/>
        <v>#N/A</v>
      </c>
    </row>
    <row r="274" spans="1:17">
      <c r="A274" s="28"/>
      <c r="B274" s="28"/>
      <c r="C274" s="28"/>
      <c r="D274" s="28"/>
      <c r="E274" s="28"/>
      <c r="F274" s="28"/>
      <c r="G274" s="26" t="str">
        <f t="shared" si="32"/>
        <v/>
      </c>
      <c r="H274" s="26" t="str">
        <f t="shared" si="39"/>
        <v/>
      </c>
      <c r="I274" s="26" t="str">
        <f t="shared" si="33"/>
        <v/>
      </c>
      <c r="J274" t="str">
        <f t="shared" si="34"/>
        <v/>
      </c>
      <c r="K274" s="26" t="str">
        <f t="shared" si="35"/>
        <v/>
      </c>
      <c r="L274" s="26" t="str">
        <f t="shared" si="36"/>
        <v/>
      </c>
      <c r="P274" t="e">
        <f t="shared" si="37"/>
        <v>#N/A</v>
      </c>
      <c r="Q274" t="e">
        <f t="shared" si="38"/>
        <v>#N/A</v>
      </c>
    </row>
    <row r="275" spans="1:17">
      <c r="A275" s="28"/>
      <c r="B275" s="28"/>
      <c r="C275" s="28"/>
      <c r="D275" s="28"/>
      <c r="E275" s="28"/>
      <c r="F275" s="28"/>
      <c r="G275" s="26" t="str">
        <f t="shared" si="32"/>
        <v/>
      </c>
      <c r="H275" s="26" t="str">
        <f t="shared" si="39"/>
        <v/>
      </c>
      <c r="I275" s="26" t="str">
        <f t="shared" si="33"/>
        <v/>
      </c>
      <c r="J275" t="str">
        <f t="shared" si="34"/>
        <v/>
      </c>
      <c r="K275" s="26" t="str">
        <f t="shared" si="35"/>
        <v/>
      </c>
      <c r="L275" s="26" t="str">
        <f t="shared" si="36"/>
        <v/>
      </c>
      <c r="P275" t="e">
        <f t="shared" si="37"/>
        <v>#N/A</v>
      </c>
      <c r="Q275" t="e">
        <f t="shared" si="38"/>
        <v>#N/A</v>
      </c>
    </row>
    <row r="276" spans="1:17">
      <c r="A276" s="28"/>
      <c r="B276" s="28"/>
      <c r="C276" s="28"/>
      <c r="D276" s="28"/>
      <c r="E276" s="28"/>
      <c r="F276" s="28"/>
      <c r="G276" s="26" t="str">
        <f t="shared" si="32"/>
        <v/>
      </c>
      <c r="H276" s="26" t="str">
        <f t="shared" si="39"/>
        <v/>
      </c>
      <c r="I276" s="26" t="str">
        <f t="shared" si="33"/>
        <v/>
      </c>
      <c r="J276" t="str">
        <f t="shared" si="34"/>
        <v/>
      </c>
      <c r="K276" s="26" t="str">
        <f t="shared" si="35"/>
        <v/>
      </c>
      <c r="L276" s="26" t="str">
        <f t="shared" si="36"/>
        <v/>
      </c>
      <c r="P276" t="e">
        <f t="shared" si="37"/>
        <v>#N/A</v>
      </c>
      <c r="Q276" t="e">
        <f t="shared" si="38"/>
        <v>#N/A</v>
      </c>
    </row>
    <row r="277" spans="1:17">
      <c r="A277" s="28"/>
      <c r="B277" s="28"/>
      <c r="C277" s="28"/>
      <c r="D277" s="28"/>
      <c r="E277" s="28"/>
      <c r="F277" s="28"/>
      <c r="G277" s="26" t="str">
        <f t="shared" si="32"/>
        <v/>
      </c>
      <c r="H277" s="26" t="str">
        <f t="shared" si="39"/>
        <v/>
      </c>
      <c r="I277" s="26" t="str">
        <f t="shared" si="33"/>
        <v/>
      </c>
      <c r="J277" t="str">
        <f t="shared" si="34"/>
        <v/>
      </c>
      <c r="K277" s="26" t="str">
        <f t="shared" si="35"/>
        <v/>
      </c>
      <c r="L277" s="26" t="str">
        <f t="shared" si="36"/>
        <v/>
      </c>
      <c r="P277" t="e">
        <f t="shared" si="37"/>
        <v>#N/A</v>
      </c>
      <c r="Q277" t="e">
        <f t="shared" si="38"/>
        <v>#N/A</v>
      </c>
    </row>
    <row r="278" spans="1:17">
      <c r="A278" s="28"/>
      <c r="B278" s="28"/>
      <c r="C278" s="28"/>
      <c r="D278" s="28"/>
      <c r="E278" s="28"/>
      <c r="F278" s="28"/>
      <c r="G278" s="26" t="str">
        <f t="shared" si="32"/>
        <v/>
      </c>
      <c r="H278" s="26" t="str">
        <f t="shared" si="39"/>
        <v/>
      </c>
      <c r="I278" s="26" t="str">
        <f t="shared" si="33"/>
        <v/>
      </c>
      <c r="J278" t="str">
        <f t="shared" si="34"/>
        <v/>
      </c>
      <c r="K278" s="26" t="str">
        <f t="shared" si="35"/>
        <v/>
      </c>
      <c r="L278" s="26" t="str">
        <f t="shared" si="36"/>
        <v/>
      </c>
      <c r="P278" t="e">
        <f t="shared" si="37"/>
        <v>#N/A</v>
      </c>
      <c r="Q278" t="e">
        <f t="shared" si="38"/>
        <v>#N/A</v>
      </c>
    </row>
    <row r="279" spans="1:17">
      <c r="A279" s="28"/>
      <c r="B279" s="28"/>
      <c r="C279" s="28"/>
      <c r="D279" s="28"/>
      <c r="E279" s="28"/>
      <c r="F279" s="28"/>
      <c r="G279" s="26" t="str">
        <f t="shared" si="32"/>
        <v/>
      </c>
      <c r="H279" s="26" t="str">
        <f t="shared" si="39"/>
        <v/>
      </c>
      <c r="I279" s="26" t="str">
        <f t="shared" si="33"/>
        <v/>
      </c>
      <c r="J279" t="str">
        <f t="shared" si="34"/>
        <v/>
      </c>
      <c r="K279" s="26" t="str">
        <f t="shared" si="35"/>
        <v/>
      </c>
      <c r="L279" s="26" t="str">
        <f t="shared" si="36"/>
        <v/>
      </c>
      <c r="P279" t="e">
        <f t="shared" si="37"/>
        <v>#N/A</v>
      </c>
      <c r="Q279" t="e">
        <f t="shared" si="38"/>
        <v>#N/A</v>
      </c>
    </row>
    <row r="280" spans="1:17">
      <c r="A280" s="28"/>
      <c r="B280" s="28"/>
      <c r="C280" s="28"/>
      <c r="D280" s="28"/>
      <c r="E280" s="28"/>
      <c r="F280" s="28"/>
      <c r="G280" s="26" t="str">
        <f t="shared" si="32"/>
        <v/>
      </c>
      <c r="H280" s="26" t="str">
        <f t="shared" si="39"/>
        <v/>
      </c>
      <c r="I280" s="26" t="str">
        <f t="shared" si="33"/>
        <v/>
      </c>
      <c r="J280" t="str">
        <f t="shared" si="34"/>
        <v/>
      </c>
      <c r="K280" s="26" t="str">
        <f t="shared" si="35"/>
        <v/>
      </c>
      <c r="L280" s="26" t="str">
        <f t="shared" si="36"/>
        <v/>
      </c>
      <c r="P280" t="e">
        <f t="shared" si="37"/>
        <v>#N/A</v>
      </c>
      <c r="Q280" t="e">
        <f t="shared" si="38"/>
        <v>#N/A</v>
      </c>
    </row>
    <row r="281" spans="1:17">
      <c r="A281" s="28"/>
      <c r="B281" s="28"/>
      <c r="C281" s="28"/>
      <c r="D281" s="28"/>
      <c r="E281" s="28"/>
      <c r="F281" s="28"/>
      <c r="G281" s="26" t="str">
        <f t="shared" si="32"/>
        <v/>
      </c>
      <c r="H281" s="26" t="str">
        <f t="shared" si="39"/>
        <v/>
      </c>
      <c r="I281" s="26" t="str">
        <f t="shared" si="33"/>
        <v/>
      </c>
      <c r="J281" t="str">
        <f t="shared" si="34"/>
        <v/>
      </c>
      <c r="K281" s="26" t="str">
        <f t="shared" si="35"/>
        <v/>
      </c>
      <c r="L281" s="26" t="str">
        <f t="shared" si="36"/>
        <v/>
      </c>
      <c r="P281" t="e">
        <f t="shared" si="37"/>
        <v>#N/A</v>
      </c>
      <c r="Q281" t="e">
        <f t="shared" si="38"/>
        <v>#N/A</v>
      </c>
    </row>
    <row r="282" spans="1:17">
      <c r="A282" s="28"/>
      <c r="B282" s="28"/>
      <c r="C282" s="28"/>
      <c r="D282" s="28"/>
      <c r="E282" s="28"/>
      <c r="F282" s="28"/>
      <c r="G282" s="26" t="str">
        <f t="shared" si="32"/>
        <v/>
      </c>
      <c r="H282" s="26" t="str">
        <f t="shared" si="39"/>
        <v/>
      </c>
      <c r="I282" s="26" t="str">
        <f t="shared" si="33"/>
        <v/>
      </c>
      <c r="J282" t="str">
        <f t="shared" si="34"/>
        <v/>
      </c>
      <c r="K282" s="26" t="str">
        <f t="shared" si="35"/>
        <v/>
      </c>
      <c r="L282" s="26" t="str">
        <f t="shared" si="36"/>
        <v/>
      </c>
      <c r="P282" t="e">
        <f t="shared" si="37"/>
        <v>#N/A</v>
      </c>
      <c r="Q282" t="e">
        <f t="shared" si="38"/>
        <v>#N/A</v>
      </c>
    </row>
    <row r="283" spans="1:17">
      <c r="A283" s="28"/>
      <c r="B283" s="28"/>
      <c r="C283" s="28"/>
      <c r="D283" s="28"/>
      <c r="E283" s="28"/>
      <c r="F283" s="28"/>
      <c r="G283" s="26" t="str">
        <f t="shared" si="32"/>
        <v/>
      </c>
      <c r="H283" s="26" t="str">
        <f t="shared" si="39"/>
        <v/>
      </c>
      <c r="I283" s="26" t="str">
        <f t="shared" si="33"/>
        <v/>
      </c>
      <c r="J283" t="str">
        <f t="shared" si="34"/>
        <v/>
      </c>
      <c r="K283" s="26" t="str">
        <f t="shared" si="35"/>
        <v/>
      </c>
      <c r="L283" s="26" t="str">
        <f t="shared" si="36"/>
        <v/>
      </c>
      <c r="P283" t="e">
        <f t="shared" si="37"/>
        <v>#N/A</v>
      </c>
      <c r="Q283" t="e">
        <f t="shared" si="38"/>
        <v>#N/A</v>
      </c>
    </row>
    <row r="284" spans="1:17">
      <c r="A284" s="28"/>
      <c r="B284" s="28"/>
      <c r="C284" s="28"/>
      <c r="D284" s="28"/>
      <c r="E284" s="28"/>
      <c r="F284" s="28"/>
      <c r="G284" s="26" t="str">
        <f t="shared" si="32"/>
        <v/>
      </c>
      <c r="H284" s="26" t="str">
        <f t="shared" si="39"/>
        <v/>
      </c>
      <c r="I284" s="26" t="str">
        <f t="shared" si="33"/>
        <v/>
      </c>
      <c r="J284" t="str">
        <f t="shared" si="34"/>
        <v/>
      </c>
      <c r="K284" s="26" t="str">
        <f t="shared" si="35"/>
        <v/>
      </c>
      <c r="L284" s="26" t="str">
        <f t="shared" si="36"/>
        <v/>
      </c>
      <c r="P284" t="e">
        <f t="shared" si="37"/>
        <v>#N/A</v>
      </c>
      <c r="Q284" t="e">
        <f t="shared" si="38"/>
        <v>#N/A</v>
      </c>
    </row>
    <row r="285" spans="1:17">
      <c r="A285" s="28"/>
      <c r="B285" s="28"/>
      <c r="C285" s="28"/>
      <c r="D285" s="28"/>
      <c r="E285" s="28"/>
      <c r="F285" s="28"/>
      <c r="G285" s="26" t="str">
        <f t="shared" si="32"/>
        <v/>
      </c>
      <c r="H285" s="26" t="str">
        <f t="shared" si="39"/>
        <v/>
      </c>
      <c r="I285" s="26" t="str">
        <f t="shared" si="33"/>
        <v/>
      </c>
      <c r="J285" t="str">
        <f t="shared" si="34"/>
        <v/>
      </c>
      <c r="K285" s="26" t="str">
        <f t="shared" si="35"/>
        <v/>
      </c>
      <c r="L285" s="26" t="str">
        <f t="shared" si="36"/>
        <v/>
      </c>
      <c r="P285" t="e">
        <f t="shared" si="37"/>
        <v>#N/A</v>
      </c>
      <c r="Q285" t="e">
        <f t="shared" si="38"/>
        <v>#N/A</v>
      </c>
    </row>
    <row r="286" spans="1:17">
      <c r="A286" s="28"/>
      <c r="B286" s="28"/>
      <c r="C286" s="28"/>
      <c r="D286" s="28"/>
      <c r="E286" s="28"/>
      <c r="F286" s="28"/>
      <c r="G286" s="26" t="str">
        <f t="shared" si="32"/>
        <v/>
      </c>
      <c r="H286" s="26" t="str">
        <f t="shared" si="39"/>
        <v/>
      </c>
      <c r="I286" s="26" t="str">
        <f t="shared" si="33"/>
        <v/>
      </c>
      <c r="J286" t="str">
        <f t="shared" si="34"/>
        <v/>
      </c>
      <c r="K286" s="26" t="str">
        <f t="shared" si="35"/>
        <v/>
      </c>
      <c r="L286" s="26" t="str">
        <f t="shared" si="36"/>
        <v/>
      </c>
      <c r="P286" t="e">
        <f t="shared" si="37"/>
        <v>#N/A</v>
      </c>
      <c r="Q286" t="e">
        <f t="shared" si="38"/>
        <v>#N/A</v>
      </c>
    </row>
    <row r="287" spans="1:17">
      <c r="A287" s="28"/>
      <c r="B287" s="28"/>
      <c r="C287" s="28"/>
      <c r="D287" s="28"/>
      <c r="E287" s="28"/>
      <c r="F287" s="28"/>
      <c r="G287" s="26" t="str">
        <f t="shared" si="32"/>
        <v/>
      </c>
      <c r="H287" s="26" t="str">
        <f t="shared" si="39"/>
        <v/>
      </c>
      <c r="I287" s="26" t="str">
        <f t="shared" si="33"/>
        <v/>
      </c>
      <c r="J287" t="str">
        <f t="shared" si="34"/>
        <v/>
      </c>
      <c r="K287" s="26" t="str">
        <f t="shared" si="35"/>
        <v/>
      </c>
      <c r="L287" s="26" t="str">
        <f t="shared" si="36"/>
        <v/>
      </c>
      <c r="P287" t="e">
        <f t="shared" si="37"/>
        <v>#N/A</v>
      </c>
      <c r="Q287" t="e">
        <f t="shared" si="38"/>
        <v>#N/A</v>
      </c>
    </row>
    <row r="288" spans="1:17">
      <c r="A288" s="28"/>
      <c r="B288" s="28"/>
      <c r="C288" s="28"/>
      <c r="D288" s="28"/>
      <c r="E288" s="28"/>
      <c r="F288" s="28"/>
      <c r="G288" s="26" t="str">
        <f t="shared" si="32"/>
        <v/>
      </c>
      <c r="H288" s="26" t="str">
        <f t="shared" si="39"/>
        <v/>
      </c>
      <c r="I288" s="26" t="str">
        <f t="shared" si="33"/>
        <v/>
      </c>
      <c r="J288" t="str">
        <f t="shared" si="34"/>
        <v/>
      </c>
      <c r="K288" s="26" t="str">
        <f t="shared" si="35"/>
        <v/>
      </c>
      <c r="L288" s="26" t="str">
        <f t="shared" si="36"/>
        <v/>
      </c>
      <c r="P288" t="e">
        <f t="shared" si="37"/>
        <v>#N/A</v>
      </c>
      <c r="Q288" t="e">
        <f t="shared" si="38"/>
        <v>#N/A</v>
      </c>
    </row>
    <row r="289" spans="1:17">
      <c r="A289" s="28"/>
      <c r="B289" s="28"/>
      <c r="C289" s="28"/>
      <c r="D289" s="28"/>
      <c r="E289" s="28"/>
      <c r="F289" s="28"/>
      <c r="G289" s="26" t="str">
        <f t="shared" si="32"/>
        <v/>
      </c>
      <c r="H289" s="26" t="str">
        <f t="shared" si="39"/>
        <v/>
      </c>
      <c r="I289" s="26" t="str">
        <f t="shared" si="33"/>
        <v/>
      </c>
      <c r="J289" t="str">
        <f t="shared" si="34"/>
        <v/>
      </c>
      <c r="K289" s="26" t="str">
        <f t="shared" si="35"/>
        <v/>
      </c>
      <c r="L289" s="26" t="str">
        <f t="shared" si="36"/>
        <v/>
      </c>
      <c r="P289" t="e">
        <f t="shared" si="37"/>
        <v>#N/A</v>
      </c>
      <c r="Q289" t="e">
        <f t="shared" si="38"/>
        <v>#N/A</v>
      </c>
    </row>
    <row r="290" spans="1:17">
      <c r="A290" s="28"/>
      <c r="B290" s="28"/>
      <c r="C290" s="28"/>
      <c r="D290" s="28"/>
      <c r="E290" s="28"/>
      <c r="F290" s="28"/>
      <c r="G290" s="26" t="str">
        <f t="shared" si="32"/>
        <v/>
      </c>
      <c r="H290" s="26" t="str">
        <f t="shared" si="39"/>
        <v/>
      </c>
      <c r="I290" s="26" t="str">
        <f t="shared" si="33"/>
        <v/>
      </c>
      <c r="J290" t="str">
        <f t="shared" si="34"/>
        <v/>
      </c>
      <c r="K290" s="26" t="str">
        <f t="shared" si="35"/>
        <v/>
      </c>
      <c r="L290" s="26" t="str">
        <f t="shared" si="36"/>
        <v/>
      </c>
      <c r="P290" t="e">
        <f t="shared" si="37"/>
        <v>#N/A</v>
      </c>
      <c r="Q290" t="e">
        <f t="shared" si="38"/>
        <v>#N/A</v>
      </c>
    </row>
    <row r="291" spans="1:17">
      <c r="A291" s="28"/>
      <c r="B291" s="28"/>
      <c r="C291" s="28"/>
      <c r="D291" s="28"/>
      <c r="E291" s="28"/>
      <c r="F291" s="28"/>
      <c r="G291" s="26" t="str">
        <f t="shared" si="32"/>
        <v/>
      </c>
      <c r="H291" s="26" t="str">
        <f t="shared" si="39"/>
        <v/>
      </c>
      <c r="I291" s="26" t="str">
        <f t="shared" si="33"/>
        <v/>
      </c>
      <c r="J291" t="str">
        <f t="shared" si="34"/>
        <v/>
      </c>
      <c r="K291" s="26" t="str">
        <f t="shared" si="35"/>
        <v/>
      </c>
      <c r="L291" s="26" t="str">
        <f t="shared" si="36"/>
        <v/>
      </c>
      <c r="P291" t="e">
        <f t="shared" si="37"/>
        <v>#N/A</v>
      </c>
      <c r="Q291" t="e">
        <f t="shared" si="38"/>
        <v>#N/A</v>
      </c>
    </row>
    <row r="292" spans="1:17">
      <c r="A292" s="28"/>
      <c r="B292" s="28"/>
      <c r="C292" s="28"/>
      <c r="D292" s="28"/>
      <c r="E292" s="28"/>
      <c r="F292" s="28"/>
      <c r="G292" s="26" t="str">
        <f t="shared" si="32"/>
        <v/>
      </c>
      <c r="H292" s="26" t="str">
        <f t="shared" si="39"/>
        <v/>
      </c>
      <c r="I292" s="26" t="str">
        <f t="shared" si="33"/>
        <v/>
      </c>
      <c r="J292" t="str">
        <f t="shared" si="34"/>
        <v/>
      </c>
      <c r="K292" s="26" t="str">
        <f t="shared" si="35"/>
        <v/>
      </c>
      <c r="L292" s="26" t="str">
        <f t="shared" si="36"/>
        <v/>
      </c>
      <c r="P292" t="e">
        <f t="shared" si="37"/>
        <v>#N/A</v>
      </c>
      <c r="Q292" t="e">
        <f t="shared" si="38"/>
        <v>#N/A</v>
      </c>
    </row>
    <row r="293" spans="1:17">
      <c r="A293" s="28"/>
      <c r="B293" s="28"/>
      <c r="C293" s="28"/>
      <c r="D293" s="28"/>
      <c r="E293" s="28"/>
      <c r="F293" s="28"/>
      <c r="G293" s="26" t="str">
        <f t="shared" si="32"/>
        <v/>
      </c>
      <c r="H293" s="26" t="str">
        <f t="shared" si="39"/>
        <v/>
      </c>
      <c r="I293" s="26" t="str">
        <f t="shared" si="33"/>
        <v/>
      </c>
      <c r="J293" t="str">
        <f t="shared" si="34"/>
        <v/>
      </c>
      <c r="K293" s="26" t="str">
        <f t="shared" si="35"/>
        <v/>
      </c>
      <c r="L293" s="26" t="str">
        <f t="shared" si="36"/>
        <v/>
      </c>
      <c r="P293" t="e">
        <f t="shared" si="37"/>
        <v>#N/A</v>
      </c>
      <c r="Q293" t="e">
        <f t="shared" si="38"/>
        <v>#N/A</v>
      </c>
    </row>
    <row r="294" spans="1:17">
      <c r="A294" s="28"/>
      <c r="B294" s="28"/>
      <c r="C294" s="28"/>
      <c r="D294" s="28"/>
      <c r="E294" s="28"/>
      <c r="F294" s="28"/>
      <c r="G294" s="26" t="str">
        <f t="shared" si="32"/>
        <v/>
      </c>
      <c r="H294" s="26" t="str">
        <f t="shared" si="39"/>
        <v/>
      </c>
      <c r="I294" s="26" t="str">
        <f t="shared" si="33"/>
        <v/>
      </c>
      <c r="J294" t="str">
        <f t="shared" si="34"/>
        <v/>
      </c>
      <c r="K294" s="26" t="str">
        <f t="shared" si="35"/>
        <v/>
      </c>
      <c r="L294" s="26" t="str">
        <f t="shared" si="36"/>
        <v/>
      </c>
      <c r="P294" t="e">
        <f t="shared" si="37"/>
        <v>#N/A</v>
      </c>
      <c r="Q294" t="e">
        <f t="shared" si="38"/>
        <v>#N/A</v>
      </c>
    </row>
    <row r="295" spans="1:17">
      <c r="A295" s="28"/>
      <c r="B295" s="28"/>
      <c r="C295" s="28"/>
      <c r="D295" s="28"/>
      <c r="E295" s="28"/>
      <c r="F295" s="28"/>
      <c r="G295" s="26" t="str">
        <f t="shared" si="32"/>
        <v/>
      </c>
      <c r="H295" s="26" t="str">
        <f t="shared" si="39"/>
        <v/>
      </c>
      <c r="I295" s="26" t="str">
        <f t="shared" si="33"/>
        <v/>
      </c>
      <c r="J295" t="str">
        <f t="shared" si="34"/>
        <v/>
      </c>
      <c r="K295" s="26" t="str">
        <f t="shared" si="35"/>
        <v/>
      </c>
      <c r="L295" s="26" t="str">
        <f t="shared" si="36"/>
        <v/>
      </c>
      <c r="P295" t="e">
        <f t="shared" si="37"/>
        <v>#N/A</v>
      </c>
      <c r="Q295" t="e">
        <f t="shared" si="38"/>
        <v>#N/A</v>
      </c>
    </row>
    <row r="296" spans="1:17">
      <c r="A296" s="28"/>
      <c r="B296" s="28"/>
      <c r="C296" s="28"/>
      <c r="D296" s="28"/>
      <c r="E296" s="28"/>
      <c r="F296" s="28"/>
      <c r="G296" s="26" t="str">
        <f t="shared" si="32"/>
        <v/>
      </c>
      <c r="H296" s="26" t="str">
        <f t="shared" si="39"/>
        <v/>
      </c>
      <c r="I296" s="26" t="str">
        <f t="shared" si="33"/>
        <v/>
      </c>
      <c r="J296" t="str">
        <f t="shared" si="34"/>
        <v/>
      </c>
      <c r="K296" s="26" t="str">
        <f t="shared" si="35"/>
        <v/>
      </c>
      <c r="L296" s="26" t="str">
        <f t="shared" si="36"/>
        <v/>
      </c>
      <c r="P296" t="e">
        <f t="shared" si="37"/>
        <v>#N/A</v>
      </c>
      <c r="Q296" t="e">
        <f t="shared" si="38"/>
        <v>#N/A</v>
      </c>
    </row>
    <row r="297" spans="1:17">
      <c r="A297" s="28"/>
      <c r="B297" s="28"/>
      <c r="C297" s="28"/>
      <c r="D297" s="28"/>
      <c r="E297" s="28"/>
      <c r="F297" s="28"/>
      <c r="G297" s="26" t="str">
        <f t="shared" si="32"/>
        <v/>
      </c>
      <c r="H297" s="26" t="str">
        <f t="shared" si="39"/>
        <v/>
      </c>
      <c r="I297" s="26" t="str">
        <f t="shared" si="33"/>
        <v/>
      </c>
      <c r="J297" t="str">
        <f t="shared" si="34"/>
        <v/>
      </c>
      <c r="K297" s="26" t="str">
        <f t="shared" si="35"/>
        <v/>
      </c>
      <c r="L297" s="26" t="str">
        <f t="shared" si="36"/>
        <v/>
      </c>
      <c r="P297" t="e">
        <f t="shared" si="37"/>
        <v>#N/A</v>
      </c>
      <c r="Q297" t="e">
        <f t="shared" si="38"/>
        <v>#N/A</v>
      </c>
    </row>
    <row r="298" spans="1:17">
      <c r="A298" s="28"/>
      <c r="B298" s="28"/>
      <c r="C298" s="28"/>
      <c r="D298" s="28"/>
      <c r="E298" s="28"/>
      <c r="F298" s="28"/>
      <c r="G298" s="26" t="str">
        <f t="shared" si="32"/>
        <v/>
      </c>
      <c r="H298" s="26" t="str">
        <f t="shared" si="39"/>
        <v/>
      </c>
      <c r="I298" s="26" t="str">
        <f t="shared" si="33"/>
        <v/>
      </c>
      <c r="J298" t="str">
        <f t="shared" si="34"/>
        <v/>
      </c>
      <c r="K298" s="26" t="str">
        <f t="shared" si="35"/>
        <v/>
      </c>
      <c r="L298" s="26" t="str">
        <f t="shared" si="36"/>
        <v/>
      </c>
      <c r="P298" t="e">
        <f t="shared" si="37"/>
        <v>#N/A</v>
      </c>
      <c r="Q298" t="e">
        <f t="shared" si="38"/>
        <v>#N/A</v>
      </c>
    </row>
    <row r="299" spans="1:17">
      <c r="A299" s="28"/>
      <c r="B299" s="28"/>
      <c r="C299" s="28"/>
      <c r="D299" s="28"/>
      <c r="E299" s="28"/>
      <c r="F299" s="28"/>
      <c r="G299" s="26" t="str">
        <f t="shared" si="32"/>
        <v/>
      </c>
      <c r="H299" s="26" t="str">
        <f t="shared" si="39"/>
        <v/>
      </c>
      <c r="I299" s="26" t="str">
        <f t="shared" si="33"/>
        <v/>
      </c>
      <c r="J299" t="str">
        <f t="shared" si="34"/>
        <v/>
      </c>
      <c r="K299" s="26" t="str">
        <f t="shared" si="35"/>
        <v/>
      </c>
      <c r="L299" s="26" t="str">
        <f t="shared" si="36"/>
        <v/>
      </c>
      <c r="P299" t="e">
        <f t="shared" si="37"/>
        <v>#N/A</v>
      </c>
      <c r="Q299" t="e">
        <f t="shared" si="38"/>
        <v>#N/A</v>
      </c>
    </row>
    <row r="300" spans="1:17">
      <c r="A300" s="28"/>
      <c r="B300" s="28"/>
      <c r="C300" s="28"/>
      <c r="D300" s="28"/>
      <c r="E300" s="28"/>
      <c r="F300" s="28"/>
      <c r="G300" s="26" t="str">
        <f t="shared" si="32"/>
        <v/>
      </c>
      <c r="H300" s="26" t="str">
        <f t="shared" si="39"/>
        <v/>
      </c>
      <c r="I300" s="26" t="str">
        <f t="shared" si="33"/>
        <v/>
      </c>
      <c r="J300" t="str">
        <f t="shared" si="34"/>
        <v/>
      </c>
      <c r="K300" s="26" t="str">
        <f t="shared" si="35"/>
        <v/>
      </c>
      <c r="L300" s="26" t="str">
        <f t="shared" si="36"/>
        <v/>
      </c>
      <c r="P300" t="e">
        <f t="shared" si="37"/>
        <v>#N/A</v>
      </c>
      <c r="Q300" t="e">
        <f t="shared" si="38"/>
        <v>#N/A</v>
      </c>
    </row>
    <row r="301" spans="1:17">
      <c r="A301" s="28"/>
      <c r="B301" s="28"/>
      <c r="C301" s="28"/>
      <c r="D301" s="28"/>
      <c r="E301" s="28"/>
      <c r="F301" s="28"/>
      <c r="G301" s="26" t="str">
        <f t="shared" si="32"/>
        <v/>
      </c>
      <c r="H301" s="26" t="str">
        <f t="shared" si="39"/>
        <v/>
      </c>
      <c r="I301" s="26" t="str">
        <f t="shared" si="33"/>
        <v/>
      </c>
      <c r="J301" t="str">
        <f t="shared" si="34"/>
        <v/>
      </c>
      <c r="K301" s="26" t="str">
        <f t="shared" si="35"/>
        <v/>
      </c>
      <c r="L301" s="26" t="str">
        <f t="shared" si="36"/>
        <v/>
      </c>
      <c r="P301" t="e">
        <f t="shared" si="37"/>
        <v>#N/A</v>
      </c>
      <c r="Q301" t="e">
        <f t="shared" si="38"/>
        <v>#N/A</v>
      </c>
    </row>
    <row r="302" spans="1:17">
      <c r="A302" s="28"/>
      <c r="B302" s="28"/>
      <c r="C302" s="28"/>
      <c r="D302" s="28"/>
      <c r="E302" s="28"/>
      <c r="F302" s="28"/>
      <c r="G302" s="26" t="str">
        <f t="shared" si="32"/>
        <v/>
      </c>
      <c r="H302" s="26" t="str">
        <f t="shared" si="39"/>
        <v/>
      </c>
      <c r="I302" s="26" t="str">
        <f t="shared" si="33"/>
        <v/>
      </c>
      <c r="J302" t="str">
        <f t="shared" si="34"/>
        <v/>
      </c>
      <c r="K302" s="26" t="str">
        <f t="shared" si="35"/>
        <v/>
      </c>
      <c r="L302" s="26" t="str">
        <f t="shared" si="36"/>
        <v/>
      </c>
      <c r="P302" t="e">
        <f t="shared" si="37"/>
        <v>#N/A</v>
      </c>
      <c r="Q302" t="e">
        <f t="shared" si="38"/>
        <v>#N/A</v>
      </c>
    </row>
    <row r="303" spans="1:17">
      <c r="A303" s="28"/>
      <c r="B303" s="28"/>
      <c r="C303" s="28"/>
      <c r="D303" s="28"/>
      <c r="E303" s="28"/>
      <c r="F303" s="28"/>
      <c r="G303" s="26" t="str">
        <f t="shared" si="32"/>
        <v/>
      </c>
      <c r="H303" s="26" t="str">
        <f t="shared" si="39"/>
        <v/>
      </c>
      <c r="I303" s="26" t="str">
        <f t="shared" si="33"/>
        <v/>
      </c>
      <c r="J303" t="str">
        <f t="shared" si="34"/>
        <v/>
      </c>
      <c r="K303" s="26" t="str">
        <f t="shared" si="35"/>
        <v/>
      </c>
      <c r="L303" s="26" t="str">
        <f t="shared" si="36"/>
        <v/>
      </c>
      <c r="P303" t="e">
        <f t="shared" si="37"/>
        <v>#N/A</v>
      </c>
      <c r="Q303" t="e">
        <f t="shared" si="38"/>
        <v>#N/A</v>
      </c>
    </row>
    <row r="304" spans="1:17">
      <c r="A304" s="28"/>
      <c r="B304" s="28"/>
      <c r="C304" s="28"/>
      <c r="D304" s="28"/>
      <c r="E304" s="28"/>
      <c r="F304" s="28"/>
      <c r="G304" s="26" t="str">
        <f t="shared" si="32"/>
        <v/>
      </c>
      <c r="H304" s="26" t="str">
        <f t="shared" si="39"/>
        <v/>
      </c>
      <c r="I304" s="26" t="str">
        <f t="shared" si="33"/>
        <v/>
      </c>
      <c r="J304" t="str">
        <f t="shared" si="34"/>
        <v/>
      </c>
      <c r="K304" s="26" t="str">
        <f t="shared" si="35"/>
        <v/>
      </c>
      <c r="L304" s="26" t="str">
        <f t="shared" si="36"/>
        <v/>
      </c>
      <c r="P304" t="e">
        <f t="shared" si="37"/>
        <v>#N/A</v>
      </c>
      <c r="Q304" t="e">
        <f t="shared" si="38"/>
        <v>#N/A</v>
      </c>
    </row>
    <row r="305" spans="1:17">
      <c r="A305" s="28"/>
      <c r="B305" s="28"/>
      <c r="C305" s="28"/>
      <c r="D305" s="28"/>
      <c r="E305" s="28"/>
      <c r="F305" s="28"/>
      <c r="G305" s="26" t="str">
        <f t="shared" si="32"/>
        <v/>
      </c>
      <c r="H305" s="26" t="str">
        <f t="shared" si="39"/>
        <v/>
      </c>
      <c r="I305" s="26" t="str">
        <f t="shared" si="33"/>
        <v/>
      </c>
      <c r="J305" t="str">
        <f t="shared" si="34"/>
        <v/>
      </c>
      <c r="K305" s="26" t="str">
        <f t="shared" si="35"/>
        <v/>
      </c>
      <c r="L305" s="26" t="str">
        <f t="shared" si="36"/>
        <v/>
      </c>
      <c r="P305" t="e">
        <f t="shared" si="37"/>
        <v>#N/A</v>
      </c>
      <c r="Q305" t="e">
        <f t="shared" si="38"/>
        <v>#N/A</v>
      </c>
    </row>
    <row r="306" spans="1:17">
      <c r="A306" s="28"/>
      <c r="B306" s="28"/>
      <c r="C306" s="28"/>
      <c r="D306" s="28"/>
      <c r="E306" s="28"/>
      <c r="F306" s="28"/>
      <c r="G306" s="26" t="str">
        <f t="shared" si="32"/>
        <v/>
      </c>
      <c r="H306" s="26" t="str">
        <f t="shared" si="39"/>
        <v/>
      </c>
      <c r="I306" s="26" t="str">
        <f t="shared" si="33"/>
        <v/>
      </c>
      <c r="J306" t="str">
        <f t="shared" si="34"/>
        <v/>
      </c>
      <c r="K306" s="26" t="str">
        <f t="shared" si="35"/>
        <v/>
      </c>
      <c r="L306" s="26" t="str">
        <f t="shared" si="36"/>
        <v/>
      </c>
      <c r="P306" t="e">
        <f t="shared" si="37"/>
        <v>#N/A</v>
      </c>
      <c r="Q306" t="e">
        <f t="shared" si="38"/>
        <v>#N/A</v>
      </c>
    </row>
    <row r="307" spans="1:17">
      <c r="A307" s="28"/>
      <c r="B307" s="28"/>
      <c r="C307" s="28"/>
      <c r="D307" s="28"/>
      <c r="E307" s="28"/>
      <c r="F307" s="28"/>
      <c r="G307" s="26" t="str">
        <f t="shared" si="32"/>
        <v/>
      </c>
      <c r="H307" s="26" t="str">
        <f t="shared" si="39"/>
        <v/>
      </c>
      <c r="I307" s="26" t="str">
        <f t="shared" si="33"/>
        <v/>
      </c>
      <c r="J307" t="str">
        <f t="shared" si="34"/>
        <v/>
      </c>
      <c r="K307" s="26" t="str">
        <f t="shared" si="35"/>
        <v/>
      </c>
      <c r="L307" s="26" t="str">
        <f t="shared" si="36"/>
        <v/>
      </c>
      <c r="P307" t="e">
        <f t="shared" si="37"/>
        <v>#N/A</v>
      </c>
      <c r="Q307" t="e">
        <f t="shared" si="38"/>
        <v>#N/A</v>
      </c>
    </row>
    <row r="308" spans="1:17">
      <c r="A308" s="28"/>
      <c r="B308" s="28"/>
      <c r="C308" s="28"/>
      <c r="D308" s="28"/>
      <c r="E308" s="28"/>
      <c r="F308" s="28"/>
      <c r="G308" s="26" t="str">
        <f t="shared" si="32"/>
        <v/>
      </c>
      <c r="H308" s="26" t="str">
        <f t="shared" si="39"/>
        <v/>
      </c>
      <c r="I308" s="26" t="str">
        <f t="shared" si="33"/>
        <v/>
      </c>
      <c r="J308" t="str">
        <f t="shared" si="34"/>
        <v/>
      </c>
      <c r="K308" s="26" t="str">
        <f t="shared" si="35"/>
        <v/>
      </c>
      <c r="L308" s="26" t="str">
        <f t="shared" si="36"/>
        <v/>
      </c>
      <c r="P308" t="e">
        <f t="shared" si="37"/>
        <v>#N/A</v>
      </c>
      <c r="Q308" t="e">
        <f t="shared" si="38"/>
        <v>#N/A</v>
      </c>
    </row>
    <row r="309" spans="1:17">
      <c r="A309" s="28"/>
      <c r="B309" s="28"/>
      <c r="C309" s="28"/>
      <c r="D309" s="28"/>
      <c r="E309" s="28"/>
      <c r="F309" s="28"/>
      <c r="G309" s="26" t="str">
        <f t="shared" si="32"/>
        <v/>
      </c>
      <c r="H309" s="26" t="str">
        <f t="shared" si="39"/>
        <v/>
      </c>
      <c r="I309" s="26" t="str">
        <f t="shared" si="33"/>
        <v/>
      </c>
      <c r="J309" t="str">
        <f t="shared" si="34"/>
        <v/>
      </c>
      <c r="K309" s="26" t="str">
        <f t="shared" si="35"/>
        <v/>
      </c>
      <c r="L309" s="26" t="str">
        <f t="shared" si="36"/>
        <v/>
      </c>
      <c r="P309" t="e">
        <f t="shared" si="37"/>
        <v>#N/A</v>
      </c>
      <c r="Q309" t="e">
        <f t="shared" si="38"/>
        <v>#N/A</v>
      </c>
    </row>
    <row r="310" spans="1:17">
      <c r="A310" s="28"/>
      <c r="B310" s="28"/>
      <c r="C310" s="28"/>
      <c r="D310" s="28"/>
      <c r="E310" s="28"/>
      <c r="F310" s="28"/>
      <c r="G310" s="26" t="str">
        <f t="shared" si="32"/>
        <v/>
      </c>
      <c r="H310" s="26" t="str">
        <f t="shared" si="39"/>
        <v/>
      </c>
      <c r="I310" s="26" t="str">
        <f t="shared" si="33"/>
        <v/>
      </c>
      <c r="J310" t="str">
        <f t="shared" si="34"/>
        <v/>
      </c>
      <c r="K310" s="26" t="str">
        <f t="shared" si="35"/>
        <v/>
      </c>
      <c r="L310" s="26" t="str">
        <f t="shared" si="36"/>
        <v/>
      </c>
      <c r="P310" t="e">
        <f t="shared" si="37"/>
        <v>#N/A</v>
      </c>
      <c r="Q310" t="e">
        <f t="shared" si="38"/>
        <v>#N/A</v>
      </c>
    </row>
    <row r="311" spans="1:17">
      <c r="A311" s="28"/>
      <c r="B311" s="28"/>
      <c r="C311" s="28"/>
      <c r="D311" s="28"/>
      <c r="E311" s="28"/>
      <c r="F311" s="28"/>
      <c r="G311" s="26" t="str">
        <f t="shared" si="32"/>
        <v/>
      </c>
      <c r="H311" s="26" t="str">
        <f t="shared" si="39"/>
        <v/>
      </c>
      <c r="I311" s="26" t="str">
        <f t="shared" si="33"/>
        <v/>
      </c>
      <c r="J311" t="str">
        <f t="shared" si="34"/>
        <v/>
      </c>
      <c r="K311" s="26" t="str">
        <f t="shared" si="35"/>
        <v/>
      </c>
      <c r="L311" s="26" t="str">
        <f t="shared" si="36"/>
        <v/>
      </c>
      <c r="P311" t="e">
        <f t="shared" si="37"/>
        <v>#N/A</v>
      </c>
      <c r="Q311" t="e">
        <f t="shared" si="38"/>
        <v>#N/A</v>
      </c>
    </row>
    <row r="312" spans="1:17">
      <c r="A312" s="28"/>
      <c r="B312" s="28"/>
      <c r="C312" s="28"/>
      <c r="D312" s="28"/>
      <c r="E312" s="28"/>
      <c r="F312" s="28"/>
      <c r="G312" s="26" t="str">
        <f t="shared" si="32"/>
        <v/>
      </c>
      <c r="H312" s="26" t="str">
        <f t="shared" si="39"/>
        <v/>
      </c>
      <c r="I312" s="26" t="str">
        <f t="shared" si="33"/>
        <v/>
      </c>
      <c r="J312" t="str">
        <f t="shared" si="34"/>
        <v/>
      </c>
      <c r="K312" s="26" t="str">
        <f t="shared" si="35"/>
        <v/>
      </c>
      <c r="L312" s="26" t="str">
        <f t="shared" si="36"/>
        <v/>
      </c>
      <c r="P312" t="e">
        <f t="shared" si="37"/>
        <v>#N/A</v>
      </c>
      <c r="Q312" t="e">
        <f t="shared" si="38"/>
        <v>#N/A</v>
      </c>
    </row>
    <row r="313" spans="1:17">
      <c r="A313" s="28"/>
      <c r="B313" s="28"/>
      <c r="C313" s="28"/>
      <c r="D313" s="28"/>
      <c r="E313" s="28"/>
      <c r="F313" s="28"/>
      <c r="G313" s="26" t="str">
        <f t="shared" si="32"/>
        <v/>
      </c>
      <c r="H313" s="26" t="str">
        <f t="shared" si="39"/>
        <v/>
      </c>
      <c r="I313" s="26" t="str">
        <f t="shared" si="33"/>
        <v/>
      </c>
      <c r="J313" t="str">
        <f t="shared" si="34"/>
        <v/>
      </c>
      <c r="K313" s="26" t="str">
        <f t="shared" si="35"/>
        <v/>
      </c>
      <c r="L313" s="26" t="str">
        <f t="shared" si="36"/>
        <v/>
      </c>
      <c r="P313" t="e">
        <f t="shared" si="37"/>
        <v>#N/A</v>
      </c>
      <c r="Q313" t="e">
        <f t="shared" si="38"/>
        <v>#N/A</v>
      </c>
    </row>
    <row r="314" spans="1:17">
      <c r="A314" s="28"/>
      <c r="B314" s="28"/>
      <c r="C314" s="28"/>
      <c r="D314" s="28"/>
      <c r="E314" s="28"/>
      <c r="F314" s="28"/>
      <c r="G314" s="26" t="str">
        <f t="shared" si="32"/>
        <v/>
      </c>
      <c r="H314" s="26" t="str">
        <f t="shared" si="39"/>
        <v/>
      </c>
      <c r="I314" s="26" t="str">
        <f t="shared" si="33"/>
        <v/>
      </c>
      <c r="J314" t="str">
        <f t="shared" si="34"/>
        <v/>
      </c>
      <c r="K314" s="26" t="str">
        <f t="shared" si="35"/>
        <v/>
      </c>
      <c r="L314" s="26" t="str">
        <f t="shared" si="36"/>
        <v/>
      </c>
      <c r="P314" t="e">
        <f t="shared" si="37"/>
        <v>#N/A</v>
      </c>
      <c r="Q314" t="e">
        <f t="shared" si="38"/>
        <v>#N/A</v>
      </c>
    </row>
    <row r="315" spans="1:17">
      <c r="A315" s="28"/>
      <c r="B315" s="28"/>
      <c r="C315" s="28"/>
      <c r="D315" s="28"/>
      <c r="E315" s="28"/>
      <c r="F315" s="28"/>
      <c r="G315" s="26" t="str">
        <f t="shared" si="32"/>
        <v/>
      </c>
      <c r="H315" s="26" t="str">
        <f t="shared" si="39"/>
        <v/>
      </c>
      <c r="I315" s="26" t="str">
        <f t="shared" si="33"/>
        <v/>
      </c>
      <c r="J315" t="str">
        <f t="shared" si="34"/>
        <v/>
      </c>
      <c r="K315" s="26" t="str">
        <f t="shared" si="35"/>
        <v/>
      </c>
      <c r="L315" s="26" t="str">
        <f t="shared" si="36"/>
        <v/>
      </c>
      <c r="P315" t="e">
        <f t="shared" si="37"/>
        <v>#N/A</v>
      </c>
      <c r="Q315" t="e">
        <f t="shared" si="38"/>
        <v>#N/A</v>
      </c>
    </row>
    <row r="316" spans="1:17">
      <c r="A316" s="28"/>
      <c r="B316" s="28"/>
      <c r="C316" s="28"/>
      <c r="D316" s="28"/>
      <c r="E316" s="28"/>
      <c r="F316" s="28"/>
      <c r="G316" s="26" t="str">
        <f t="shared" si="32"/>
        <v/>
      </c>
      <c r="H316" s="26" t="str">
        <f t="shared" si="39"/>
        <v/>
      </c>
      <c r="I316" s="26" t="str">
        <f t="shared" si="33"/>
        <v/>
      </c>
      <c r="J316" t="str">
        <f t="shared" si="34"/>
        <v/>
      </c>
      <c r="K316" s="26" t="str">
        <f t="shared" si="35"/>
        <v/>
      </c>
      <c r="L316" s="26" t="str">
        <f t="shared" si="36"/>
        <v/>
      </c>
      <c r="P316" t="e">
        <f t="shared" si="37"/>
        <v>#N/A</v>
      </c>
      <c r="Q316" t="e">
        <f t="shared" si="38"/>
        <v>#N/A</v>
      </c>
    </row>
    <row r="317" spans="1:17">
      <c r="A317" s="28"/>
      <c r="B317" s="28"/>
      <c r="C317" s="28"/>
      <c r="D317" s="28"/>
      <c r="E317" s="28"/>
      <c r="F317" s="28"/>
      <c r="G317" s="26" t="str">
        <f t="shared" si="32"/>
        <v/>
      </c>
      <c r="H317" s="26" t="str">
        <f t="shared" si="39"/>
        <v/>
      </c>
      <c r="I317" s="26" t="str">
        <f t="shared" si="33"/>
        <v/>
      </c>
      <c r="J317" t="str">
        <f t="shared" si="34"/>
        <v/>
      </c>
      <c r="K317" s="26" t="str">
        <f t="shared" si="35"/>
        <v/>
      </c>
      <c r="L317" s="26" t="str">
        <f t="shared" si="36"/>
        <v/>
      </c>
      <c r="P317" t="e">
        <f t="shared" si="37"/>
        <v>#N/A</v>
      </c>
      <c r="Q317" t="e">
        <f t="shared" si="38"/>
        <v>#N/A</v>
      </c>
    </row>
    <row r="318" spans="1:17">
      <c r="A318" s="28"/>
      <c r="B318" s="28"/>
      <c r="C318" s="28"/>
      <c r="D318" s="28"/>
      <c r="E318" s="28"/>
      <c r="F318" s="28"/>
      <c r="G318" s="26" t="str">
        <f t="shared" si="32"/>
        <v/>
      </c>
      <c r="H318" s="26" t="str">
        <f t="shared" si="39"/>
        <v/>
      </c>
      <c r="I318" s="26" t="str">
        <f t="shared" si="33"/>
        <v/>
      </c>
      <c r="J318" t="str">
        <f t="shared" si="34"/>
        <v/>
      </c>
      <c r="K318" s="26" t="str">
        <f t="shared" si="35"/>
        <v/>
      </c>
      <c r="L318" s="26" t="str">
        <f t="shared" si="36"/>
        <v/>
      </c>
      <c r="P318" t="e">
        <f t="shared" si="37"/>
        <v>#N/A</v>
      </c>
      <c r="Q318" t="e">
        <f t="shared" si="38"/>
        <v>#N/A</v>
      </c>
    </row>
    <row r="319" spans="1:17">
      <c r="A319" s="28"/>
      <c r="B319" s="28"/>
      <c r="C319" s="28"/>
      <c r="D319" s="28"/>
      <c r="E319" s="28"/>
      <c r="F319" s="28"/>
      <c r="G319" s="26" t="str">
        <f t="shared" si="32"/>
        <v/>
      </c>
      <c r="H319" s="26" t="str">
        <f t="shared" si="39"/>
        <v/>
      </c>
      <c r="I319" s="26" t="str">
        <f t="shared" si="33"/>
        <v/>
      </c>
      <c r="J319" t="str">
        <f t="shared" si="34"/>
        <v/>
      </c>
      <c r="K319" s="26" t="str">
        <f t="shared" si="35"/>
        <v/>
      </c>
      <c r="L319" s="26" t="str">
        <f t="shared" si="36"/>
        <v/>
      </c>
      <c r="P319" t="e">
        <f t="shared" si="37"/>
        <v>#N/A</v>
      </c>
      <c r="Q319" t="e">
        <f t="shared" si="38"/>
        <v>#N/A</v>
      </c>
    </row>
    <row r="320" spans="1:17">
      <c r="A320" s="28"/>
      <c r="B320" s="28"/>
      <c r="C320" s="28"/>
      <c r="D320" s="28"/>
      <c r="E320" s="28"/>
      <c r="F320" s="28"/>
      <c r="G320" s="26" t="str">
        <f t="shared" si="32"/>
        <v/>
      </c>
      <c r="H320" s="26" t="str">
        <f t="shared" si="39"/>
        <v/>
      </c>
      <c r="I320" s="26" t="str">
        <f t="shared" si="33"/>
        <v/>
      </c>
      <c r="J320" t="str">
        <f t="shared" si="34"/>
        <v/>
      </c>
      <c r="K320" s="26" t="str">
        <f t="shared" si="35"/>
        <v/>
      </c>
      <c r="L320" s="26" t="str">
        <f t="shared" si="36"/>
        <v/>
      </c>
      <c r="P320" t="e">
        <f t="shared" si="37"/>
        <v>#N/A</v>
      </c>
      <c r="Q320" t="e">
        <f t="shared" si="38"/>
        <v>#N/A</v>
      </c>
    </row>
    <row r="321" spans="1:17">
      <c r="A321" s="28"/>
      <c r="B321" s="28"/>
      <c r="C321" s="28"/>
      <c r="D321" s="28"/>
      <c r="E321" s="28"/>
      <c r="F321" s="28"/>
      <c r="G321" s="26" t="str">
        <f t="shared" si="32"/>
        <v/>
      </c>
      <c r="H321" s="26" t="str">
        <f t="shared" si="39"/>
        <v/>
      </c>
      <c r="I321" s="26" t="str">
        <f t="shared" si="33"/>
        <v/>
      </c>
      <c r="J321" t="str">
        <f t="shared" si="34"/>
        <v/>
      </c>
      <c r="K321" s="26" t="str">
        <f t="shared" si="35"/>
        <v/>
      </c>
      <c r="L321" s="26" t="str">
        <f t="shared" si="36"/>
        <v/>
      </c>
      <c r="P321" t="e">
        <f t="shared" si="37"/>
        <v>#N/A</v>
      </c>
      <c r="Q321" t="e">
        <f t="shared" si="38"/>
        <v>#N/A</v>
      </c>
    </row>
    <row r="322" spans="1:17">
      <c r="A322" s="28"/>
      <c r="B322" s="28"/>
      <c r="C322" s="28"/>
      <c r="D322" s="28"/>
      <c r="E322" s="28"/>
      <c r="F322" s="28"/>
      <c r="G322" s="26" t="str">
        <f t="shared" ref="G322:G385" si="40">IF(B322="","",243.04*(LN(C322/100)+17.625*B322/(243.04+B322))/(17.625-LN(C322/100)-17.625*B322/(243.04+B322)))</f>
        <v/>
      </c>
      <c r="H322" s="26" t="str">
        <f t="shared" si="39"/>
        <v/>
      </c>
      <c r="I322" s="26" t="str">
        <f t="shared" ref="I322:I385" si="41">IF(B322="","",B322-E322)</f>
        <v/>
      </c>
      <c r="J322" t="str">
        <f t="shared" ref="J322:J385" si="42">IF(H322="","",IF(H322&gt;0.6,"Heating",IF(H322&lt;-0.2,"Cooling","Steady")))</f>
        <v/>
      </c>
      <c r="K322" s="26" t="str">
        <f t="shared" ref="K322:K385" si="43">IF(J322="Cooling",I322,"")</f>
        <v/>
      </c>
      <c r="L322" s="26" t="str">
        <f t="shared" ref="L322:L385" si="44">IF(J322="Cooling",H322,"")</f>
        <v/>
      </c>
      <c r="P322" t="e">
        <f t="shared" ref="P322:P385" si="45">IF(K322="",NA(),K322)</f>
        <v>#N/A</v>
      </c>
      <c r="Q322" t="e">
        <f t="shared" ref="Q322:Q385" si="46">IF(L322="",NA(),L322)</f>
        <v>#N/A</v>
      </c>
    </row>
    <row r="323" spans="1:17">
      <c r="A323" s="28"/>
      <c r="B323" s="28"/>
      <c r="C323" s="28"/>
      <c r="D323" s="28"/>
      <c r="E323" s="28"/>
      <c r="F323" s="28"/>
      <c r="G323" s="26" t="str">
        <f t="shared" si="40"/>
        <v/>
      </c>
      <c r="H323" s="26" t="str">
        <f t="shared" si="39"/>
        <v/>
      </c>
      <c r="I323" s="26" t="str">
        <f t="shared" si="41"/>
        <v/>
      </c>
      <c r="J323" t="str">
        <f t="shared" si="42"/>
        <v/>
      </c>
      <c r="K323" s="26" t="str">
        <f t="shared" si="43"/>
        <v/>
      </c>
      <c r="L323" s="26" t="str">
        <f t="shared" si="44"/>
        <v/>
      </c>
      <c r="P323" t="e">
        <f t="shared" si="45"/>
        <v>#N/A</v>
      </c>
      <c r="Q323" t="e">
        <f t="shared" si="46"/>
        <v>#N/A</v>
      </c>
    </row>
    <row r="324" spans="1:17">
      <c r="A324" s="28"/>
      <c r="B324" s="28"/>
      <c r="C324" s="28"/>
      <c r="D324" s="28"/>
      <c r="E324" s="28"/>
      <c r="F324" s="28"/>
      <c r="G324" s="26" t="str">
        <f t="shared" si="40"/>
        <v/>
      </c>
      <c r="H324" s="26" t="str">
        <f t="shared" ref="H324:H387" si="47">IFERROR(IF(OR(B322="",B326=""),"",(B326-B322)/4*60),"")</f>
        <v/>
      </c>
      <c r="I324" s="26" t="str">
        <f t="shared" si="41"/>
        <v/>
      </c>
      <c r="J324" t="str">
        <f t="shared" si="42"/>
        <v/>
      </c>
      <c r="K324" s="26" t="str">
        <f t="shared" si="43"/>
        <v/>
      </c>
      <c r="L324" s="26" t="str">
        <f t="shared" si="44"/>
        <v/>
      </c>
      <c r="P324" t="e">
        <f t="shared" si="45"/>
        <v>#N/A</v>
      </c>
      <c r="Q324" t="e">
        <f t="shared" si="46"/>
        <v>#N/A</v>
      </c>
    </row>
    <row r="325" spans="1:17">
      <c r="A325" s="28"/>
      <c r="B325" s="28"/>
      <c r="C325" s="28"/>
      <c r="D325" s="28"/>
      <c r="E325" s="28"/>
      <c r="F325" s="28"/>
      <c r="G325" s="26" t="str">
        <f t="shared" si="40"/>
        <v/>
      </c>
      <c r="H325" s="26" t="str">
        <f t="shared" si="47"/>
        <v/>
      </c>
      <c r="I325" s="26" t="str">
        <f t="shared" si="41"/>
        <v/>
      </c>
      <c r="J325" t="str">
        <f t="shared" si="42"/>
        <v/>
      </c>
      <c r="K325" s="26" t="str">
        <f t="shared" si="43"/>
        <v/>
      </c>
      <c r="L325" s="26" t="str">
        <f t="shared" si="44"/>
        <v/>
      </c>
      <c r="P325" t="e">
        <f t="shared" si="45"/>
        <v>#N/A</v>
      </c>
      <c r="Q325" t="e">
        <f t="shared" si="46"/>
        <v>#N/A</v>
      </c>
    </row>
    <row r="326" spans="1:17">
      <c r="A326" s="28"/>
      <c r="B326" s="28"/>
      <c r="C326" s="28"/>
      <c r="D326" s="28"/>
      <c r="E326" s="28"/>
      <c r="F326" s="28"/>
      <c r="G326" s="26" t="str">
        <f t="shared" si="40"/>
        <v/>
      </c>
      <c r="H326" s="26" t="str">
        <f t="shared" si="47"/>
        <v/>
      </c>
      <c r="I326" s="26" t="str">
        <f t="shared" si="41"/>
        <v/>
      </c>
      <c r="J326" t="str">
        <f t="shared" si="42"/>
        <v/>
      </c>
      <c r="K326" s="26" t="str">
        <f t="shared" si="43"/>
        <v/>
      </c>
      <c r="L326" s="26" t="str">
        <f t="shared" si="44"/>
        <v/>
      </c>
      <c r="P326" t="e">
        <f t="shared" si="45"/>
        <v>#N/A</v>
      </c>
      <c r="Q326" t="e">
        <f t="shared" si="46"/>
        <v>#N/A</v>
      </c>
    </row>
    <row r="327" spans="1:17">
      <c r="A327" s="28"/>
      <c r="B327" s="28"/>
      <c r="C327" s="28"/>
      <c r="D327" s="28"/>
      <c r="E327" s="28"/>
      <c r="F327" s="28"/>
      <c r="G327" s="26" t="str">
        <f t="shared" si="40"/>
        <v/>
      </c>
      <c r="H327" s="26" t="str">
        <f t="shared" si="47"/>
        <v/>
      </c>
      <c r="I327" s="26" t="str">
        <f t="shared" si="41"/>
        <v/>
      </c>
      <c r="J327" t="str">
        <f t="shared" si="42"/>
        <v/>
      </c>
      <c r="K327" s="26" t="str">
        <f t="shared" si="43"/>
        <v/>
      </c>
      <c r="L327" s="26" t="str">
        <f t="shared" si="44"/>
        <v/>
      </c>
      <c r="P327" t="e">
        <f t="shared" si="45"/>
        <v>#N/A</v>
      </c>
      <c r="Q327" t="e">
        <f t="shared" si="46"/>
        <v>#N/A</v>
      </c>
    </row>
    <row r="328" spans="1:17">
      <c r="A328" s="28"/>
      <c r="B328" s="28"/>
      <c r="C328" s="28"/>
      <c r="D328" s="28"/>
      <c r="E328" s="28"/>
      <c r="F328" s="28"/>
      <c r="G328" s="26" t="str">
        <f t="shared" si="40"/>
        <v/>
      </c>
      <c r="H328" s="26" t="str">
        <f t="shared" si="47"/>
        <v/>
      </c>
      <c r="I328" s="26" t="str">
        <f t="shared" si="41"/>
        <v/>
      </c>
      <c r="J328" t="str">
        <f t="shared" si="42"/>
        <v/>
      </c>
      <c r="K328" s="26" t="str">
        <f t="shared" si="43"/>
        <v/>
      </c>
      <c r="L328" s="26" t="str">
        <f t="shared" si="44"/>
        <v/>
      </c>
      <c r="P328" t="e">
        <f t="shared" si="45"/>
        <v>#N/A</v>
      </c>
      <c r="Q328" t="e">
        <f t="shared" si="46"/>
        <v>#N/A</v>
      </c>
    </row>
    <row r="329" spans="1:17">
      <c r="A329" s="28"/>
      <c r="B329" s="28"/>
      <c r="C329" s="28"/>
      <c r="D329" s="28"/>
      <c r="E329" s="28"/>
      <c r="F329" s="28"/>
      <c r="G329" s="26" t="str">
        <f t="shared" si="40"/>
        <v/>
      </c>
      <c r="H329" s="26" t="str">
        <f t="shared" si="47"/>
        <v/>
      </c>
      <c r="I329" s="26" t="str">
        <f t="shared" si="41"/>
        <v/>
      </c>
      <c r="J329" t="str">
        <f t="shared" si="42"/>
        <v/>
      </c>
      <c r="K329" s="26" t="str">
        <f t="shared" si="43"/>
        <v/>
      </c>
      <c r="L329" s="26" t="str">
        <f t="shared" si="44"/>
        <v/>
      </c>
      <c r="P329" t="e">
        <f t="shared" si="45"/>
        <v>#N/A</v>
      </c>
      <c r="Q329" t="e">
        <f t="shared" si="46"/>
        <v>#N/A</v>
      </c>
    </row>
    <row r="330" spans="1:17">
      <c r="A330" s="28"/>
      <c r="B330" s="28"/>
      <c r="C330" s="28"/>
      <c r="D330" s="28"/>
      <c r="E330" s="28"/>
      <c r="F330" s="28"/>
      <c r="G330" s="26" t="str">
        <f t="shared" si="40"/>
        <v/>
      </c>
      <c r="H330" s="26" t="str">
        <f t="shared" si="47"/>
        <v/>
      </c>
      <c r="I330" s="26" t="str">
        <f t="shared" si="41"/>
        <v/>
      </c>
      <c r="J330" t="str">
        <f t="shared" si="42"/>
        <v/>
      </c>
      <c r="K330" s="26" t="str">
        <f t="shared" si="43"/>
        <v/>
      </c>
      <c r="L330" s="26" t="str">
        <f t="shared" si="44"/>
        <v/>
      </c>
      <c r="P330" t="e">
        <f t="shared" si="45"/>
        <v>#N/A</v>
      </c>
      <c r="Q330" t="e">
        <f t="shared" si="46"/>
        <v>#N/A</v>
      </c>
    </row>
    <row r="331" spans="1:17">
      <c r="A331" s="28"/>
      <c r="B331" s="28"/>
      <c r="C331" s="28"/>
      <c r="D331" s="28"/>
      <c r="E331" s="28"/>
      <c r="F331" s="28"/>
      <c r="G331" s="26" t="str">
        <f t="shared" si="40"/>
        <v/>
      </c>
      <c r="H331" s="26" t="str">
        <f t="shared" si="47"/>
        <v/>
      </c>
      <c r="I331" s="26" t="str">
        <f t="shared" si="41"/>
        <v/>
      </c>
      <c r="J331" t="str">
        <f t="shared" si="42"/>
        <v/>
      </c>
      <c r="K331" s="26" t="str">
        <f t="shared" si="43"/>
        <v/>
      </c>
      <c r="L331" s="26" t="str">
        <f t="shared" si="44"/>
        <v/>
      </c>
      <c r="P331" t="e">
        <f t="shared" si="45"/>
        <v>#N/A</v>
      </c>
      <c r="Q331" t="e">
        <f t="shared" si="46"/>
        <v>#N/A</v>
      </c>
    </row>
    <row r="332" spans="1:17">
      <c r="A332" s="28"/>
      <c r="B332" s="28"/>
      <c r="C332" s="28"/>
      <c r="D332" s="28"/>
      <c r="E332" s="28"/>
      <c r="F332" s="28"/>
      <c r="G332" s="26" t="str">
        <f t="shared" si="40"/>
        <v/>
      </c>
      <c r="H332" s="26" t="str">
        <f t="shared" si="47"/>
        <v/>
      </c>
      <c r="I332" s="26" t="str">
        <f t="shared" si="41"/>
        <v/>
      </c>
      <c r="J332" t="str">
        <f t="shared" si="42"/>
        <v/>
      </c>
      <c r="K332" s="26" t="str">
        <f t="shared" si="43"/>
        <v/>
      </c>
      <c r="L332" s="26" t="str">
        <f t="shared" si="44"/>
        <v/>
      </c>
      <c r="P332" t="e">
        <f t="shared" si="45"/>
        <v>#N/A</v>
      </c>
      <c r="Q332" t="e">
        <f t="shared" si="46"/>
        <v>#N/A</v>
      </c>
    </row>
    <row r="333" spans="1:17">
      <c r="A333" s="28"/>
      <c r="B333" s="28"/>
      <c r="C333" s="28"/>
      <c r="D333" s="28"/>
      <c r="E333" s="28"/>
      <c r="F333" s="28"/>
      <c r="G333" s="26" t="str">
        <f t="shared" si="40"/>
        <v/>
      </c>
      <c r="H333" s="26" t="str">
        <f t="shared" si="47"/>
        <v/>
      </c>
      <c r="I333" s="26" t="str">
        <f t="shared" si="41"/>
        <v/>
      </c>
      <c r="J333" t="str">
        <f t="shared" si="42"/>
        <v/>
      </c>
      <c r="K333" s="26" t="str">
        <f t="shared" si="43"/>
        <v/>
      </c>
      <c r="L333" s="26" t="str">
        <f t="shared" si="44"/>
        <v/>
      </c>
      <c r="P333" t="e">
        <f t="shared" si="45"/>
        <v>#N/A</v>
      </c>
      <c r="Q333" t="e">
        <f t="shared" si="46"/>
        <v>#N/A</v>
      </c>
    </row>
    <row r="334" spans="1:17">
      <c r="A334" s="28"/>
      <c r="B334" s="28"/>
      <c r="C334" s="28"/>
      <c r="D334" s="28"/>
      <c r="E334" s="28"/>
      <c r="F334" s="28"/>
      <c r="G334" s="26" t="str">
        <f t="shared" si="40"/>
        <v/>
      </c>
      <c r="H334" s="26" t="str">
        <f t="shared" si="47"/>
        <v/>
      </c>
      <c r="I334" s="26" t="str">
        <f t="shared" si="41"/>
        <v/>
      </c>
      <c r="J334" t="str">
        <f t="shared" si="42"/>
        <v/>
      </c>
      <c r="K334" s="26" t="str">
        <f t="shared" si="43"/>
        <v/>
      </c>
      <c r="L334" s="26" t="str">
        <f t="shared" si="44"/>
        <v/>
      </c>
      <c r="P334" t="e">
        <f t="shared" si="45"/>
        <v>#N/A</v>
      </c>
      <c r="Q334" t="e">
        <f t="shared" si="46"/>
        <v>#N/A</v>
      </c>
    </row>
    <row r="335" spans="1:17">
      <c r="A335" s="28"/>
      <c r="B335" s="28"/>
      <c r="C335" s="28"/>
      <c r="D335" s="28"/>
      <c r="E335" s="28"/>
      <c r="F335" s="28"/>
      <c r="G335" s="26" t="str">
        <f t="shared" si="40"/>
        <v/>
      </c>
      <c r="H335" s="26" t="str">
        <f t="shared" si="47"/>
        <v/>
      </c>
      <c r="I335" s="26" t="str">
        <f t="shared" si="41"/>
        <v/>
      </c>
      <c r="J335" t="str">
        <f t="shared" si="42"/>
        <v/>
      </c>
      <c r="K335" s="26" t="str">
        <f t="shared" si="43"/>
        <v/>
      </c>
      <c r="L335" s="26" t="str">
        <f t="shared" si="44"/>
        <v/>
      </c>
      <c r="P335" t="e">
        <f t="shared" si="45"/>
        <v>#N/A</v>
      </c>
      <c r="Q335" t="e">
        <f t="shared" si="46"/>
        <v>#N/A</v>
      </c>
    </row>
    <row r="336" spans="1:17">
      <c r="A336" s="28"/>
      <c r="B336" s="28"/>
      <c r="C336" s="28"/>
      <c r="D336" s="28"/>
      <c r="E336" s="28"/>
      <c r="F336" s="28"/>
      <c r="G336" s="26" t="str">
        <f t="shared" si="40"/>
        <v/>
      </c>
      <c r="H336" s="26" t="str">
        <f t="shared" si="47"/>
        <v/>
      </c>
      <c r="I336" s="26" t="str">
        <f t="shared" si="41"/>
        <v/>
      </c>
      <c r="J336" t="str">
        <f t="shared" si="42"/>
        <v/>
      </c>
      <c r="K336" s="26" t="str">
        <f t="shared" si="43"/>
        <v/>
      </c>
      <c r="L336" s="26" t="str">
        <f t="shared" si="44"/>
        <v/>
      </c>
      <c r="P336" t="e">
        <f t="shared" si="45"/>
        <v>#N/A</v>
      </c>
      <c r="Q336" t="e">
        <f t="shared" si="46"/>
        <v>#N/A</v>
      </c>
    </row>
    <row r="337" spans="1:17">
      <c r="A337" s="28"/>
      <c r="B337" s="28"/>
      <c r="C337" s="28"/>
      <c r="D337" s="28"/>
      <c r="E337" s="28"/>
      <c r="F337" s="28"/>
      <c r="G337" s="26" t="str">
        <f t="shared" si="40"/>
        <v/>
      </c>
      <c r="H337" s="26" t="str">
        <f t="shared" si="47"/>
        <v/>
      </c>
      <c r="I337" s="26" t="str">
        <f t="shared" si="41"/>
        <v/>
      </c>
      <c r="J337" t="str">
        <f t="shared" si="42"/>
        <v/>
      </c>
      <c r="K337" s="26" t="str">
        <f t="shared" si="43"/>
        <v/>
      </c>
      <c r="L337" s="26" t="str">
        <f t="shared" si="44"/>
        <v/>
      </c>
      <c r="P337" t="e">
        <f t="shared" si="45"/>
        <v>#N/A</v>
      </c>
      <c r="Q337" t="e">
        <f t="shared" si="46"/>
        <v>#N/A</v>
      </c>
    </row>
    <row r="338" spans="1:17">
      <c r="A338" s="28"/>
      <c r="B338" s="28"/>
      <c r="C338" s="28"/>
      <c r="D338" s="28"/>
      <c r="E338" s="28"/>
      <c r="F338" s="28"/>
      <c r="G338" s="26" t="str">
        <f t="shared" si="40"/>
        <v/>
      </c>
      <c r="H338" s="26" t="str">
        <f t="shared" si="47"/>
        <v/>
      </c>
      <c r="I338" s="26" t="str">
        <f t="shared" si="41"/>
        <v/>
      </c>
      <c r="J338" t="str">
        <f t="shared" si="42"/>
        <v/>
      </c>
      <c r="K338" s="26" t="str">
        <f t="shared" si="43"/>
        <v/>
      </c>
      <c r="L338" s="26" t="str">
        <f t="shared" si="44"/>
        <v/>
      </c>
      <c r="P338" t="e">
        <f t="shared" si="45"/>
        <v>#N/A</v>
      </c>
      <c r="Q338" t="e">
        <f t="shared" si="46"/>
        <v>#N/A</v>
      </c>
    </row>
    <row r="339" spans="1:17">
      <c r="A339" s="28"/>
      <c r="B339" s="28"/>
      <c r="C339" s="28"/>
      <c r="D339" s="28"/>
      <c r="E339" s="28"/>
      <c r="F339" s="28"/>
      <c r="G339" s="26" t="str">
        <f t="shared" si="40"/>
        <v/>
      </c>
      <c r="H339" s="26" t="str">
        <f t="shared" si="47"/>
        <v/>
      </c>
      <c r="I339" s="26" t="str">
        <f t="shared" si="41"/>
        <v/>
      </c>
      <c r="J339" t="str">
        <f t="shared" si="42"/>
        <v/>
      </c>
      <c r="K339" s="26" t="str">
        <f t="shared" si="43"/>
        <v/>
      </c>
      <c r="L339" s="26" t="str">
        <f t="shared" si="44"/>
        <v/>
      </c>
      <c r="P339" t="e">
        <f t="shared" si="45"/>
        <v>#N/A</v>
      </c>
      <c r="Q339" t="e">
        <f t="shared" si="46"/>
        <v>#N/A</v>
      </c>
    </row>
    <row r="340" spans="1:17">
      <c r="A340" s="28"/>
      <c r="B340" s="28"/>
      <c r="C340" s="28"/>
      <c r="D340" s="28"/>
      <c r="E340" s="28"/>
      <c r="F340" s="28"/>
      <c r="G340" s="26" t="str">
        <f t="shared" si="40"/>
        <v/>
      </c>
      <c r="H340" s="26" t="str">
        <f t="shared" si="47"/>
        <v/>
      </c>
      <c r="I340" s="26" t="str">
        <f t="shared" si="41"/>
        <v/>
      </c>
      <c r="J340" t="str">
        <f t="shared" si="42"/>
        <v/>
      </c>
      <c r="K340" s="26" t="str">
        <f t="shared" si="43"/>
        <v/>
      </c>
      <c r="L340" s="26" t="str">
        <f t="shared" si="44"/>
        <v/>
      </c>
      <c r="P340" t="e">
        <f t="shared" si="45"/>
        <v>#N/A</v>
      </c>
      <c r="Q340" t="e">
        <f t="shared" si="46"/>
        <v>#N/A</v>
      </c>
    </row>
    <row r="341" spans="1:17">
      <c r="A341" s="28"/>
      <c r="B341" s="28"/>
      <c r="C341" s="28"/>
      <c r="D341" s="28"/>
      <c r="E341" s="28"/>
      <c r="F341" s="28"/>
      <c r="G341" s="26" t="str">
        <f t="shared" si="40"/>
        <v/>
      </c>
      <c r="H341" s="26" t="str">
        <f t="shared" si="47"/>
        <v/>
      </c>
      <c r="I341" s="26" t="str">
        <f t="shared" si="41"/>
        <v/>
      </c>
      <c r="J341" t="str">
        <f t="shared" si="42"/>
        <v/>
      </c>
      <c r="K341" s="26" t="str">
        <f t="shared" si="43"/>
        <v/>
      </c>
      <c r="L341" s="26" t="str">
        <f t="shared" si="44"/>
        <v/>
      </c>
      <c r="P341" t="e">
        <f t="shared" si="45"/>
        <v>#N/A</v>
      </c>
      <c r="Q341" t="e">
        <f t="shared" si="46"/>
        <v>#N/A</v>
      </c>
    </row>
    <row r="342" spans="1:17">
      <c r="A342" s="28"/>
      <c r="B342" s="28"/>
      <c r="C342" s="28"/>
      <c r="D342" s="28"/>
      <c r="E342" s="28"/>
      <c r="F342" s="28"/>
      <c r="G342" s="26" t="str">
        <f t="shared" si="40"/>
        <v/>
      </c>
      <c r="H342" s="26" t="str">
        <f t="shared" si="47"/>
        <v/>
      </c>
      <c r="I342" s="26" t="str">
        <f t="shared" si="41"/>
        <v/>
      </c>
      <c r="J342" t="str">
        <f t="shared" si="42"/>
        <v/>
      </c>
      <c r="K342" s="26" t="str">
        <f t="shared" si="43"/>
        <v/>
      </c>
      <c r="L342" s="26" t="str">
        <f t="shared" si="44"/>
        <v/>
      </c>
      <c r="P342" t="e">
        <f t="shared" si="45"/>
        <v>#N/A</v>
      </c>
      <c r="Q342" t="e">
        <f t="shared" si="46"/>
        <v>#N/A</v>
      </c>
    </row>
    <row r="343" spans="1:17">
      <c r="A343" s="28"/>
      <c r="B343" s="28"/>
      <c r="C343" s="28"/>
      <c r="D343" s="28"/>
      <c r="E343" s="28"/>
      <c r="F343" s="28"/>
      <c r="G343" s="26" t="str">
        <f t="shared" si="40"/>
        <v/>
      </c>
      <c r="H343" s="26" t="str">
        <f t="shared" si="47"/>
        <v/>
      </c>
      <c r="I343" s="26" t="str">
        <f t="shared" si="41"/>
        <v/>
      </c>
      <c r="J343" t="str">
        <f t="shared" si="42"/>
        <v/>
      </c>
      <c r="K343" s="26" t="str">
        <f t="shared" si="43"/>
        <v/>
      </c>
      <c r="L343" s="26" t="str">
        <f t="shared" si="44"/>
        <v/>
      </c>
      <c r="P343" t="e">
        <f t="shared" si="45"/>
        <v>#N/A</v>
      </c>
      <c r="Q343" t="e">
        <f t="shared" si="46"/>
        <v>#N/A</v>
      </c>
    </row>
    <row r="344" spans="1:17">
      <c r="A344" s="28"/>
      <c r="B344" s="28"/>
      <c r="C344" s="28"/>
      <c r="D344" s="28"/>
      <c r="E344" s="28"/>
      <c r="F344" s="28"/>
      <c r="G344" s="26" t="str">
        <f t="shared" si="40"/>
        <v/>
      </c>
      <c r="H344" s="26" t="str">
        <f t="shared" si="47"/>
        <v/>
      </c>
      <c r="I344" s="26" t="str">
        <f t="shared" si="41"/>
        <v/>
      </c>
      <c r="J344" t="str">
        <f t="shared" si="42"/>
        <v/>
      </c>
      <c r="K344" s="26" t="str">
        <f t="shared" si="43"/>
        <v/>
      </c>
      <c r="L344" s="26" t="str">
        <f t="shared" si="44"/>
        <v/>
      </c>
      <c r="P344" t="e">
        <f t="shared" si="45"/>
        <v>#N/A</v>
      </c>
      <c r="Q344" t="e">
        <f t="shared" si="46"/>
        <v>#N/A</v>
      </c>
    </row>
    <row r="345" spans="1:17">
      <c r="A345" s="28"/>
      <c r="B345" s="28"/>
      <c r="C345" s="28"/>
      <c r="D345" s="28"/>
      <c r="E345" s="28"/>
      <c r="F345" s="28"/>
      <c r="G345" s="26" t="str">
        <f t="shared" si="40"/>
        <v/>
      </c>
      <c r="H345" s="26" t="str">
        <f t="shared" si="47"/>
        <v/>
      </c>
      <c r="I345" s="26" t="str">
        <f t="shared" si="41"/>
        <v/>
      </c>
      <c r="J345" t="str">
        <f t="shared" si="42"/>
        <v/>
      </c>
      <c r="K345" s="26" t="str">
        <f t="shared" si="43"/>
        <v/>
      </c>
      <c r="L345" s="26" t="str">
        <f t="shared" si="44"/>
        <v/>
      </c>
      <c r="P345" t="e">
        <f t="shared" si="45"/>
        <v>#N/A</v>
      </c>
      <c r="Q345" t="e">
        <f t="shared" si="46"/>
        <v>#N/A</v>
      </c>
    </row>
    <row r="346" spans="1:17">
      <c r="A346" s="28"/>
      <c r="B346" s="28"/>
      <c r="C346" s="28"/>
      <c r="D346" s="28"/>
      <c r="E346" s="28"/>
      <c r="F346" s="28"/>
      <c r="G346" s="26" t="str">
        <f t="shared" si="40"/>
        <v/>
      </c>
      <c r="H346" s="26" t="str">
        <f t="shared" si="47"/>
        <v/>
      </c>
      <c r="I346" s="26" t="str">
        <f t="shared" si="41"/>
        <v/>
      </c>
      <c r="J346" t="str">
        <f t="shared" si="42"/>
        <v/>
      </c>
      <c r="K346" s="26" t="str">
        <f t="shared" si="43"/>
        <v/>
      </c>
      <c r="L346" s="26" t="str">
        <f t="shared" si="44"/>
        <v/>
      </c>
      <c r="P346" t="e">
        <f t="shared" si="45"/>
        <v>#N/A</v>
      </c>
      <c r="Q346" t="e">
        <f t="shared" si="46"/>
        <v>#N/A</v>
      </c>
    </row>
    <row r="347" spans="1:17">
      <c r="A347" s="28"/>
      <c r="B347" s="28"/>
      <c r="C347" s="28"/>
      <c r="D347" s="28"/>
      <c r="E347" s="28"/>
      <c r="F347" s="28"/>
      <c r="G347" s="26" t="str">
        <f t="shared" si="40"/>
        <v/>
      </c>
      <c r="H347" s="26" t="str">
        <f t="shared" si="47"/>
        <v/>
      </c>
      <c r="I347" s="26" t="str">
        <f t="shared" si="41"/>
        <v/>
      </c>
      <c r="J347" t="str">
        <f t="shared" si="42"/>
        <v/>
      </c>
      <c r="K347" s="26" t="str">
        <f t="shared" si="43"/>
        <v/>
      </c>
      <c r="L347" s="26" t="str">
        <f t="shared" si="44"/>
        <v/>
      </c>
      <c r="P347" t="e">
        <f t="shared" si="45"/>
        <v>#N/A</v>
      </c>
      <c r="Q347" t="e">
        <f t="shared" si="46"/>
        <v>#N/A</v>
      </c>
    </row>
    <row r="348" spans="1:17">
      <c r="A348" s="28"/>
      <c r="B348" s="28"/>
      <c r="C348" s="28"/>
      <c r="D348" s="28"/>
      <c r="E348" s="28"/>
      <c r="F348" s="28"/>
      <c r="G348" s="26" t="str">
        <f t="shared" si="40"/>
        <v/>
      </c>
      <c r="H348" s="26" t="str">
        <f t="shared" si="47"/>
        <v/>
      </c>
      <c r="I348" s="26" t="str">
        <f t="shared" si="41"/>
        <v/>
      </c>
      <c r="J348" t="str">
        <f t="shared" si="42"/>
        <v/>
      </c>
      <c r="K348" s="26" t="str">
        <f t="shared" si="43"/>
        <v/>
      </c>
      <c r="L348" s="26" t="str">
        <f t="shared" si="44"/>
        <v/>
      </c>
      <c r="P348" t="e">
        <f t="shared" si="45"/>
        <v>#N/A</v>
      </c>
      <c r="Q348" t="e">
        <f t="shared" si="46"/>
        <v>#N/A</v>
      </c>
    </row>
    <row r="349" spans="1:17">
      <c r="A349" s="28"/>
      <c r="B349" s="28"/>
      <c r="C349" s="28"/>
      <c r="D349" s="28"/>
      <c r="E349" s="28"/>
      <c r="F349" s="28"/>
      <c r="G349" s="26" t="str">
        <f t="shared" si="40"/>
        <v/>
      </c>
      <c r="H349" s="26" t="str">
        <f t="shared" si="47"/>
        <v/>
      </c>
      <c r="I349" s="26" t="str">
        <f t="shared" si="41"/>
        <v/>
      </c>
      <c r="J349" t="str">
        <f t="shared" si="42"/>
        <v/>
      </c>
      <c r="K349" s="26" t="str">
        <f t="shared" si="43"/>
        <v/>
      </c>
      <c r="L349" s="26" t="str">
        <f t="shared" si="44"/>
        <v/>
      </c>
      <c r="P349" t="e">
        <f t="shared" si="45"/>
        <v>#N/A</v>
      </c>
      <c r="Q349" t="e">
        <f t="shared" si="46"/>
        <v>#N/A</v>
      </c>
    </row>
    <row r="350" spans="1:17">
      <c r="A350" s="28"/>
      <c r="B350" s="28"/>
      <c r="C350" s="28"/>
      <c r="D350" s="28"/>
      <c r="E350" s="28"/>
      <c r="F350" s="28"/>
      <c r="G350" s="26" t="str">
        <f t="shared" si="40"/>
        <v/>
      </c>
      <c r="H350" s="26" t="str">
        <f t="shared" si="47"/>
        <v/>
      </c>
      <c r="I350" s="26" t="str">
        <f t="shared" si="41"/>
        <v/>
      </c>
      <c r="J350" t="str">
        <f t="shared" si="42"/>
        <v/>
      </c>
      <c r="K350" s="26" t="str">
        <f t="shared" si="43"/>
        <v/>
      </c>
      <c r="L350" s="26" t="str">
        <f t="shared" si="44"/>
        <v/>
      </c>
      <c r="P350" t="e">
        <f t="shared" si="45"/>
        <v>#N/A</v>
      </c>
      <c r="Q350" t="e">
        <f t="shared" si="46"/>
        <v>#N/A</v>
      </c>
    </row>
    <row r="351" spans="1:17">
      <c r="A351" s="28"/>
      <c r="B351" s="28"/>
      <c r="C351" s="28"/>
      <c r="D351" s="28"/>
      <c r="E351" s="28"/>
      <c r="F351" s="28"/>
      <c r="G351" s="26" t="str">
        <f t="shared" si="40"/>
        <v/>
      </c>
      <c r="H351" s="26" t="str">
        <f t="shared" si="47"/>
        <v/>
      </c>
      <c r="I351" s="26" t="str">
        <f t="shared" si="41"/>
        <v/>
      </c>
      <c r="J351" t="str">
        <f t="shared" si="42"/>
        <v/>
      </c>
      <c r="K351" s="26" t="str">
        <f t="shared" si="43"/>
        <v/>
      </c>
      <c r="L351" s="26" t="str">
        <f t="shared" si="44"/>
        <v/>
      </c>
      <c r="P351" t="e">
        <f t="shared" si="45"/>
        <v>#N/A</v>
      </c>
      <c r="Q351" t="e">
        <f t="shared" si="46"/>
        <v>#N/A</v>
      </c>
    </row>
    <row r="352" spans="1:17">
      <c r="A352" s="28"/>
      <c r="B352" s="28"/>
      <c r="C352" s="28"/>
      <c r="D352" s="28"/>
      <c r="E352" s="28"/>
      <c r="F352" s="28"/>
      <c r="G352" s="26" t="str">
        <f t="shared" si="40"/>
        <v/>
      </c>
      <c r="H352" s="26" t="str">
        <f t="shared" si="47"/>
        <v/>
      </c>
      <c r="I352" s="26" t="str">
        <f t="shared" si="41"/>
        <v/>
      </c>
      <c r="J352" t="str">
        <f t="shared" si="42"/>
        <v/>
      </c>
      <c r="K352" s="26" t="str">
        <f t="shared" si="43"/>
        <v/>
      </c>
      <c r="L352" s="26" t="str">
        <f t="shared" si="44"/>
        <v/>
      </c>
      <c r="P352" t="e">
        <f t="shared" si="45"/>
        <v>#N/A</v>
      </c>
      <c r="Q352" t="e">
        <f t="shared" si="46"/>
        <v>#N/A</v>
      </c>
    </row>
    <row r="353" spans="1:17">
      <c r="A353" s="28"/>
      <c r="B353" s="28"/>
      <c r="C353" s="28"/>
      <c r="D353" s="28"/>
      <c r="E353" s="28"/>
      <c r="F353" s="28"/>
      <c r="G353" s="26" t="str">
        <f t="shared" si="40"/>
        <v/>
      </c>
      <c r="H353" s="26" t="str">
        <f t="shared" si="47"/>
        <v/>
      </c>
      <c r="I353" s="26" t="str">
        <f t="shared" si="41"/>
        <v/>
      </c>
      <c r="J353" t="str">
        <f t="shared" si="42"/>
        <v/>
      </c>
      <c r="K353" s="26" t="str">
        <f t="shared" si="43"/>
        <v/>
      </c>
      <c r="L353" s="26" t="str">
        <f t="shared" si="44"/>
        <v/>
      </c>
      <c r="P353" t="e">
        <f t="shared" si="45"/>
        <v>#N/A</v>
      </c>
      <c r="Q353" t="e">
        <f t="shared" si="46"/>
        <v>#N/A</v>
      </c>
    </row>
    <row r="354" spans="1:17">
      <c r="A354" s="28"/>
      <c r="B354" s="28"/>
      <c r="C354" s="28"/>
      <c r="D354" s="28"/>
      <c r="E354" s="28"/>
      <c r="F354" s="28"/>
      <c r="G354" s="26" t="str">
        <f t="shared" si="40"/>
        <v/>
      </c>
      <c r="H354" s="26" t="str">
        <f t="shared" si="47"/>
        <v/>
      </c>
      <c r="I354" s="26" t="str">
        <f t="shared" si="41"/>
        <v/>
      </c>
      <c r="J354" t="str">
        <f t="shared" si="42"/>
        <v/>
      </c>
      <c r="K354" s="26" t="str">
        <f t="shared" si="43"/>
        <v/>
      </c>
      <c r="L354" s="26" t="str">
        <f t="shared" si="44"/>
        <v/>
      </c>
      <c r="P354" t="e">
        <f t="shared" si="45"/>
        <v>#N/A</v>
      </c>
      <c r="Q354" t="e">
        <f t="shared" si="46"/>
        <v>#N/A</v>
      </c>
    </row>
    <row r="355" spans="1:17">
      <c r="A355" s="28"/>
      <c r="B355" s="28"/>
      <c r="C355" s="28"/>
      <c r="D355" s="28"/>
      <c r="E355" s="28"/>
      <c r="F355" s="28"/>
      <c r="G355" s="26" t="str">
        <f t="shared" si="40"/>
        <v/>
      </c>
      <c r="H355" s="26" t="str">
        <f t="shared" si="47"/>
        <v/>
      </c>
      <c r="I355" s="26" t="str">
        <f t="shared" si="41"/>
        <v/>
      </c>
      <c r="J355" t="str">
        <f t="shared" si="42"/>
        <v/>
      </c>
      <c r="K355" s="26" t="str">
        <f t="shared" si="43"/>
        <v/>
      </c>
      <c r="L355" s="26" t="str">
        <f t="shared" si="44"/>
        <v/>
      </c>
      <c r="P355" t="e">
        <f t="shared" si="45"/>
        <v>#N/A</v>
      </c>
      <c r="Q355" t="e">
        <f t="shared" si="46"/>
        <v>#N/A</v>
      </c>
    </row>
    <row r="356" spans="1:17">
      <c r="A356" s="28"/>
      <c r="B356" s="28"/>
      <c r="C356" s="28"/>
      <c r="D356" s="28"/>
      <c r="E356" s="28"/>
      <c r="F356" s="28"/>
      <c r="G356" s="26" t="str">
        <f t="shared" si="40"/>
        <v/>
      </c>
      <c r="H356" s="26" t="str">
        <f t="shared" si="47"/>
        <v/>
      </c>
      <c r="I356" s="26" t="str">
        <f t="shared" si="41"/>
        <v/>
      </c>
      <c r="J356" t="str">
        <f t="shared" si="42"/>
        <v/>
      </c>
      <c r="K356" s="26" t="str">
        <f t="shared" si="43"/>
        <v/>
      </c>
      <c r="L356" s="26" t="str">
        <f t="shared" si="44"/>
        <v/>
      </c>
      <c r="P356" t="e">
        <f t="shared" si="45"/>
        <v>#N/A</v>
      </c>
      <c r="Q356" t="e">
        <f t="shared" si="46"/>
        <v>#N/A</v>
      </c>
    </row>
    <row r="357" spans="1:17">
      <c r="A357" s="28"/>
      <c r="B357" s="28"/>
      <c r="C357" s="28"/>
      <c r="D357" s="28"/>
      <c r="E357" s="28"/>
      <c r="F357" s="28"/>
      <c r="G357" s="26" t="str">
        <f t="shared" si="40"/>
        <v/>
      </c>
      <c r="H357" s="26" t="str">
        <f t="shared" si="47"/>
        <v/>
      </c>
      <c r="I357" s="26" t="str">
        <f t="shared" si="41"/>
        <v/>
      </c>
      <c r="J357" t="str">
        <f t="shared" si="42"/>
        <v/>
      </c>
      <c r="K357" s="26" t="str">
        <f t="shared" si="43"/>
        <v/>
      </c>
      <c r="L357" s="26" t="str">
        <f t="shared" si="44"/>
        <v/>
      </c>
      <c r="P357" t="e">
        <f t="shared" si="45"/>
        <v>#N/A</v>
      </c>
      <c r="Q357" t="e">
        <f t="shared" si="46"/>
        <v>#N/A</v>
      </c>
    </row>
    <row r="358" spans="1:17">
      <c r="A358" s="28"/>
      <c r="B358" s="28"/>
      <c r="C358" s="28"/>
      <c r="D358" s="28"/>
      <c r="E358" s="28"/>
      <c r="F358" s="28"/>
      <c r="G358" s="26" t="str">
        <f t="shared" si="40"/>
        <v/>
      </c>
      <c r="H358" s="26" t="str">
        <f t="shared" si="47"/>
        <v/>
      </c>
      <c r="I358" s="26" t="str">
        <f t="shared" si="41"/>
        <v/>
      </c>
      <c r="J358" t="str">
        <f t="shared" si="42"/>
        <v/>
      </c>
      <c r="K358" s="26" t="str">
        <f t="shared" si="43"/>
        <v/>
      </c>
      <c r="L358" s="26" t="str">
        <f t="shared" si="44"/>
        <v/>
      </c>
      <c r="P358" t="e">
        <f t="shared" si="45"/>
        <v>#N/A</v>
      </c>
      <c r="Q358" t="e">
        <f t="shared" si="46"/>
        <v>#N/A</v>
      </c>
    </row>
    <row r="359" spans="1:17">
      <c r="A359" s="28"/>
      <c r="B359" s="28"/>
      <c r="C359" s="28"/>
      <c r="D359" s="28"/>
      <c r="E359" s="28"/>
      <c r="F359" s="28"/>
      <c r="G359" s="26" t="str">
        <f t="shared" si="40"/>
        <v/>
      </c>
      <c r="H359" s="26" t="str">
        <f t="shared" si="47"/>
        <v/>
      </c>
      <c r="I359" s="26" t="str">
        <f t="shared" si="41"/>
        <v/>
      </c>
      <c r="J359" t="str">
        <f t="shared" si="42"/>
        <v/>
      </c>
      <c r="K359" s="26" t="str">
        <f t="shared" si="43"/>
        <v/>
      </c>
      <c r="L359" s="26" t="str">
        <f t="shared" si="44"/>
        <v/>
      </c>
      <c r="P359" t="e">
        <f t="shared" si="45"/>
        <v>#N/A</v>
      </c>
      <c r="Q359" t="e">
        <f t="shared" si="46"/>
        <v>#N/A</v>
      </c>
    </row>
    <row r="360" spans="1:17">
      <c r="A360" s="28"/>
      <c r="B360" s="28"/>
      <c r="C360" s="28"/>
      <c r="D360" s="28"/>
      <c r="E360" s="28"/>
      <c r="F360" s="28"/>
      <c r="G360" s="26" t="str">
        <f t="shared" si="40"/>
        <v/>
      </c>
      <c r="H360" s="26" t="str">
        <f t="shared" si="47"/>
        <v/>
      </c>
      <c r="I360" s="26" t="str">
        <f t="shared" si="41"/>
        <v/>
      </c>
      <c r="J360" t="str">
        <f t="shared" si="42"/>
        <v/>
      </c>
      <c r="K360" s="26" t="str">
        <f t="shared" si="43"/>
        <v/>
      </c>
      <c r="L360" s="26" t="str">
        <f t="shared" si="44"/>
        <v/>
      </c>
      <c r="P360" t="e">
        <f t="shared" si="45"/>
        <v>#N/A</v>
      </c>
      <c r="Q360" t="e">
        <f t="shared" si="46"/>
        <v>#N/A</v>
      </c>
    </row>
    <row r="361" spans="1:17">
      <c r="A361" s="28"/>
      <c r="B361" s="28"/>
      <c r="C361" s="28"/>
      <c r="D361" s="28"/>
      <c r="E361" s="28"/>
      <c r="F361" s="28"/>
      <c r="G361" s="26" t="str">
        <f t="shared" si="40"/>
        <v/>
      </c>
      <c r="H361" s="26" t="str">
        <f t="shared" si="47"/>
        <v/>
      </c>
      <c r="I361" s="26" t="str">
        <f t="shared" si="41"/>
        <v/>
      </c>
      <c r="J361" t="str">
        <f t="shared" si="42"/>
        <v/>
      </c>
      <c r="K361" s="26" t="str">
        <f t="shared" si="43"/>
        <v/>
      </c>
      <c r="L361" s="26" t="str">
        <f t="shared" si="44"/>
        <v/>
      </c>
      <c r="P361" t="e">
        <f t="shared" si="45"/>
        <v>#N/A</v>
      </c>
      <c r="Q361" t="e">
        <f t="shared" si="46"/>
        <v>#N/A</v>
      </c>
    </row>
    <row r="362" spans="1:17">
      <c r="A362" s="28"/>
      <c r="B362" s="28"/>
      <c r="C362" s="28"/>
      <c r="D362" s="28"/>
      <c r="E362" s="28"/>
      <c r="F362" s="28"/>
      <c r="G362" s="26" t="str">
        <f t="shared" si="40"/>
        <v/>
      </c>
      <c r="H362" s="26" t="str">
        <f t="shared" si="47"/>
        <v/>
      </c>
      <c r="I362" s="26" t="str">
        <f t="shared" si="41"/>
        <v/>
      </c>
      <c r="J362" t="str">
        <f t="shared" si="42"/>
        <v/>
      </c>
      <c r="K362" s="26" t="str">
        <f t="shared" si="43"/>
        <v/>
      </c>
      <c r="L362" s="26" t="str">
        <f t="shared" si="44"/>
        <v/>
      </c>
      <c r="P362" t="e">
        <f t="shared" si="45"/>
        <v>#N/A</v>
      </c>
      <c r="Q362" t="e">
        <f t="shared" si="46"/>
        <v>#N/A</v>
      </c>
    </row>
    <row r="363" spans="1:17">
      <c r="A363" s="28"/>
      <c r="B363" s="28"/>
      <c r="C363" s="28"/>
      <c r="D363" s="28"/>
      <c r="E363" s="28"/>
      <c r="F363" s="28"/>
      <c r="G363" s="26" t="str">
        <f t="shared" si="40"/>
        <v/>
      </c>
      <c r="H363" s="26" t="str">
        <f t="shared" si="47"/>
        <v/>
      </c>
      <c r="I363" s="26" t="str">
        <f t="shared" si="41"/>
        <v/>
      </c>
      <c r="J363" t="str">
        <f t="shared" si="42"/>
        <v/>
      </c>
      <c r="K363" s="26" t="str">
        <f t="shared" si="43"/>
        <v/>
      </c>
      <c r="L363" s="26" t="str">
        <f t="shared" si="44"/>
        <v/>
      </c>
      <c r="P363" t="e">
        <f t="shared" si="45"/>
        <v>#N/A</v>
      </c>
      <c r="Q363" t="e">
        <f t="shared" si="46"/>
        <v>#N/A</v>
      </c>
    </row>
    <row r="364" spans="1:17">
      <c r="A364" s="28"/>
      <c r="B364" s="28"/>
      <c r="C364" s="28"/>
      <c r="D364" s="28"/>
      <c r="E364" s="28"/>
      <c r="F364" s="28"/>
      <c r="G364" s="26" t="str">
        <f t="shared" si="40"/>
        <v/>
      </c>
      <c r="H364" s="26" t="str">
        <f t="shared" si="47"/>
        <v/>
      </c>
      <c r="I364" s="26" t="str">
        <f t="shared" si="41"/>
        <v/>
      </c>
      <c r="J364" t="str">
        <f t="shared" si="42"/>
        <v/>
      </c>
      <c r="K364" s="26" t="str">
        <f t="shared" si="43"/>
        <v/>
      </c>
      <c r="L364" s="26" t="str">
        <f t="shared" si="44"/>
        <v/>
      </c>
      <c r="P364" t="e">
        <f t="shared" si="45"/>
        <v>#N/A</v>
      </c>
      <c r="Q364" t="e">
        <f t="shared" si="46"/>
        <v>#N/A</v>
      </c>
    </row>
    <row r="365" spans="1:17">
      <c r="A365" s="28"/>
      <c r="B365" s="28"/>
      <c r="C365" s="28"/>
      <c r="D365" s="28"/>
      <c r="E365" s="28"/>
      <c r="F365" s="28"/>
      <c r="G365" s="26" t="str">
        <f t="shared" si="40"/>
        <v/>
      </c>
      <c r="H365" s="26" t="str">
        <f t="shared" si="47"/>
        <v/>
      </c>
      <c r="I365" s="26" t="str">
        <f t="shared" si="41"/>
        <v/>
      </c>
      <c r="J365" t="str">
        <f t="shared" si="42"/>
        <v/>
      </c>
      <c r="K365" s="26" t="str">
        <f t="shared" si="43"/>
        <v/>
      </c>
      <c r="L365" s="26" t="str">
        <f t="shared" si="44"/>
        <v/>
      </c>
      <c r="P365" t="e">
        <f t="shared" si="45"/>
        <v>#N/A</v>
      </c>
      <c r="Q365" t="e">
        <f t="shared" si="46"/>
        <v>#N/A</v>
      </c>
    </row>
    <row r="366" spans="1:17">
      <c r="A366" s="28"/>
      <c r="B366" s="28"/>
      <c r="C366" s="28"/>
      <c r="D366" s="28"/>
      <c r="E366" s="28"/>
      <c r="F366" s="28"/>
      <c r="G366" s="26" t="str">
        <f t="shared" si="40"/>
        <v/>
      </c>
      <c r="H366" s="26" t="str">
        <f t="shared" si="47"/>
        <v/>
      </c>
      <c r="I366" s="26" t="str">
        <f t="shared" si="41"/>
        <v/>
      </c>
      <c r="J366" t="str">
        <f t="shared" si="42"/>
        <v/>
      </c>
      <c r="K366" s="26" t="str">
        <f t="shared" si="43"/>
        <v/>
      </c>
      <c r="L366" s="26" t="str">
        <f t="shared" si="44"/>
        <v/>
      </c>
      <c r="P366" t="e">
        <f t="shared" si="45"/>
        <v>#N/A</v>
      </c>
      <c r="Q366" t="e">
        <f t="shared" si="46"/>
        <v>#N/A</v>
      </c>
    </row>
    <row r="367" spans="1:17">
      <c r="A367" s="28"/>
      <c r="B367" s="28"/>
      <c r="C367" s="28"/>
      <c r="D367" s="28"/>
      <c r="E367" s="28"/>
      <c r="F367" s="28"/>
      <c r="G367" s="26" t="str">
        <f t="shared" si="40"/>
        <v/>
      </c>
      <c r="H367" s="26" t="str">
        <f t="shared" si="47"/>
        <v/>
      </c>
      <c r="I367" s="26" t="str">
        <f t="shared" si="41"/>
        <v/>
      </c>
      <c r="J367" t="str">
        <f t="shared" si="42"/>
        <v/>
      </c>
      <c r="K367" s="26" t="str">
        <f t="shared" si="43"/>
        <v/>
      </c>
      <c r="L367" s="26" t="str">
        <f t="shared" si="44"/>
        <v/>
      </c>
      <c r="P367" t="e">
        <f t="shared" si="45"/>
        <v>#N/A</v>
      </c>
      <c r="Q367" t="e">
        <f t="shared" si="46"/>
        <v>#N/A</v>
      </c>
    </row>
    <row r="368" spans="1:17">
      <c r="A368" s="28"/>
      <c r="B368" s="28"/>
      <c r="C368" s="28"/>
      <c r="D368" s="28"/>
      <c r="E368" s="28"/>
      <c r="F368" s="28"/>
      <c r="G368" s="26" t="str">
        <f t="shared" si="40"/>
        <v/>
      </c>
      <c r="H368" s="26" t="str">
        <f t="shared" si="47"/>
        <v/>
      </c>
      <c r="I368" s="26" t="str">
        <f t="shared" si="41"/>
        <v/>
      </c>
      <c r="J368" t="str">
        <f t="shared" si="42"/>
        <v/>
      </c>
      <c r="K368" s="26" t="str">
        <f t="shared" si="43"/>
        <v/>
      </c>
      <c r="L368" s="26" t="str">
        <f t="shared" si="44"/>
        <v/>
      </c>
      <c r="P368" t="e">
        <f t="shared" si="45"/>
        <v>#N/A</v>
      </c>
      <c r="Q368" t="e">
        <f t="shared" si="46"/>
        <v>#N/A</v>
      </c>
    </row>
    <row r="369" spans="1:17">
      <c r="A369" s="28"/>
      <c r="B369" s="28"/>
      <c r="C369" s="28"/>
      <c r="D369" s="28"/>
      <c r="E369" s="28"/>
      <c r="F369" s="28"/>
      <c r="G369" s="26" t="str">
        <f t="shared" si="40"/>
        <v/>
      </c>
      <c r="H369" s="26" t="str">
        <f t="shared" si="47"/>
        <v/>
      </c>
      <c r="I369" s="26" t="str">
        <f t="shared" si="41"/>
        <v/>
      </c>
      <c r="J369" t="str">
        <f t="shared" si="42"/>
        <v/>
      </c>
      <c r="K369" s="26" t="str">
        <f t="shared" si="43"/>
        <v/>
      </c>
      <c r="L369" s="26" t="str">
        <f t="shared" si="44"/>
        <v/>
      </c>
      <c r="P369" t="e">
        <f t="shared" si="45"/>
        <v>#N/A</v>
      </c>
      <c r="Q369" t="e">
        <f t="shared" si="46"/>
        <v>#N/A</v>
      </c>
    </row>
    <row r="370" spans="1:17">
      <c r="A370" s="28"/>
      <c r="B370" s="28"/>
      <c r="C370" s="28"/>
      <c r="D370" s="28"/>
      <c r="E370" s="28"/>
      <c r="F370" s="28"/>
      <c r="G370" s="26" t="str">
        <f t="shared" si="40"/>
        <v/>
      </c>
      <c r="H370" s="26" t="str">
        <f t="shared" si="47"/>
        <v/>
      </c>
      <c r="I370" s="26" t="str">
        <f t="shared" si="41"/>
        <v/>
      </c>
      <c r="J370" t="str">
        <f t="shared" si="42"/>
        <v/>
      </c>
      <c r="K370" s="26" t="str">
        <f t="shared" si="43"/>
        <v/>
      </c>
      <c r="L370" s="26" t="str">
        <f t="shared" si="44"/>
        <v/>
      </c>
      <c r="P370" t="e">
        <f t="shared" si="45"/>
        <v>#N/A</v>
      </c>
      <c r="Q370" t="e">
        <f t="shared" si="46"/>
        <v>#N/A</v>
      </c>
    </row>
    <row r="371" spans="1:17">
      <c r="A371" s="28"/>
      <c r="B371" s="28"/>
      <c r="C371" s="28"/>
      <c r="D371" s="28"/>
      <c r="E371" s="28"/>
      <c r="F371" s="28"/>
      <c r="G371" s="26" t="str">
        <f t="shared" si="40"/>
        <v/>
      </c>
      <c r="H371" s="26" t="str">
        <f t="shared" si="47"/>
        <v/>
      </c>
      <c r="I371" s="26" t="str">
        <f t="shared" si="41"/>
        <v/>
      </c>
      <c r="J371" t="str">
        <f t="shared" si="42"/>
        <v/>
      </c>
      <c r="K371" s="26" t="str">
        <f t="shared" si="43"/>
        <v/>
      </c>
      <c r="L371" s="26" t="str">
        <f t="shared" si="44"/>
        <v/>
      </c>
      <c r="P371" t="e">
        <f t="shared" si="45"/>
        <v>#N/A</v>
      </c>
      <c r="Q371" t="e">
        <f t="shared" si="46"/>
        <v>#N/A</v>
      </c>
    </row>
    <row r="372" spans="1:17">
      <c r="A372" s="28"/>
      <c r="B372" s="28"/>
      <c r="C372" s="28"/>
      <c r="D372" s="28"/>
      <c r="E372" s="28"/>
      <c r="F372" s="28"/>
      <c r="G372" s="26" t="str">
        <f t="shared" si="40"/>
        <v/>
      </c>
      <c r="H372" s="26" t="str">
        <f t="shared" si="47"/>
        <v/>
      </c>
      <c r="I372" s="26" t="str">
        <f t="shared" si="41"/>
        <v/>
      </c>
      <c r="J372" t="str">
        <f t="shared" si="42"/>
        <v/>
      </c>
      <c r="K372" s="26" t="str">
        <f t="shared" si="43"/>
        <v/>
      </c>
      <c r="L372" s="26" t="str">
        <f t="shared" si="44"/>
        <v/>
      </c>
      <c r="P372" t="e">
        <f t="shared" si="45"/>
        <v>#N/A</v>
      </c>
      <c r="Q372" t="e">
        <f t="shared" si="46"/>
        <v>#N/A</v>
      </c>
    </row>
    <row r="373" spans="1:17">
      <c r="A373" s="28"/>
      <c r="B373" s="28"/>
      <c r="C373" s="28"/>
      <c r="D373" s="28"/>
      <c r="E373" s="28"/>
      <c r="F373" s="28"/>
      <c r="G373" s="26" t="str">
        <f t="shared" si="40"/>
        <v/>
      </c>
      <c r="H373" s="26" t="str">
        <f t="shared" si="47"/>
        <v/>
      </c>
      <c r="I373" s="26" t="str">
        <f t="shared" si="41"/>
        <v/>
      </c>
      <c r="J373" t="str">
        <f t="shared" si="42"/>
        <v/>
      </c>
      <c r="K373" s="26" t="str">
        <f t="shared" si="43"/>
        <v/>
      </c>
      <c r="L373" s="26" t="str">
        <f t="shared" si="44"/>
        <v/>
      </c>
      <c r="P373" t="e">
        <f t="shared" si="45"/>
        <v>#N/A</v>
      </c>
      <c r="Q373" t="e">
        <f t="shared" si="46"/>
        <v>#N/A</v>
      </c>
    </row>
    <row r="374" spans="1:17">
      <c r="A374" s="28"/>
      <c r="B374" s="28"/>
      <c r="C374" s="28"/>
      <c r="D374" s="28"/>
      <c r="E374" s="28"/>
      <c r="F374" s="28"/>
      <c r="G374" s="26" t="str">
        <f t="shared" si="40"/>
        <v/>
      </c>
      <c r="H374" s="26" t="str">
        <f t="shared" si="47"/>
        <v/>
      </c>
      <c r="I374" s="26" t="str">
        <f t="shared" si="41"/>
        <v/>
      </c>
      <c r="J374" t="str">
        <f t="shared" si="42"/>
        <v/>
      </c>
      <c r="K374" s="26" t="str">
        <f t="shared" si="43"/>
        <v/>
      </c>
      <c r="L374" s="26" t="str">
        <f t="shared" si="44"/>
        <v/>
      </c>
      <c r="P374" t="e">
        <f t="shared" si="45"/>
        <v>#N/A</v>
      </c>
      <c r="Q374" t="e">
        <f t="shared" si="46"/>
        <v>#N/A</v>
      </c>
    </row>
    <row r="375" spans="1:17">
      <c r="A375" s="28"/>
      <c r="B375" s="28"/>
      <c r="C375" s="28"/>
      <c r="D375" s="28"/>
      <c r="E375" s="28"/>
      <c r="F375" s="28"/>
      <c r="G375" s="26" t="str">
        <f t="shared" si="40"/>
        <v/>
      </c>
      <c r="H375" s="26" t="str">
        <f t="shared" si="47"/>
        <v/>
      </c>
      <c r="I375" s="26" t="str">
        <f t="shared" si="41"/>
        <v/>
      </c>
      <c r="J375" t="str">
        <f t="shared" si="42"/>
        <v/>
      </c>
      <c r="K375" s="26" t="str">
        <f t="shared" si="43"/>
        <v/>
      </c>
      <c r="L375" s="26" t="str">
        <f t="shared" si="44"/>
        <v/>
      </c>
      <c r="P375" t="e">
        <f t="shared" si="45"/>
        <v>#N/A</v>
      </c>
      <c r="Q375" t="e">
        <f t="shared" si="46"/>
        <v>#N/A</v>
      </c>
    </row>
    <row r="376" spans="1:17">
      <c r="A376" s="28"/>
      <c r="B376" s="28"/>
      <c r="C376" s="28"/>
      <c r="D376" s="28"/>
      <c r="E376" s="28"/>
      <c r="F376" s="28"/>
      <c r="G376" s="26" t="str">
        <f t="shared" si="40"/>
        <v/>
      </c>
      <c r="H376" s="26" t="str">
        <f t="shared" si="47"/>
        <v/>
      </c>
      <c r="I376" s="26" t="str">
        <f t="shared" si="41"/>
        <v/>
      </c>
      <c r="J376" t="str">
        <f t="shared" si="42"/>
        <v/>
      </c>
      <c r="K376" s="26" t="str">
        <f t="shared" si="43"/>
        <v/>
      </c>
      <c r="L376" s="26" t="str">
        <f t="shared" si="44"/>
        <v/>
      </c>
      <c r="P376" t="e">
        <f t="shared" si="45"/>
        <v>#N/A</v>
      </c>
      <c r="Q376" t="e">
        <f t="shared" si="46"/>
        <v>#N/A</v>
      </c>
    </row>
    <row r="377" spans="1:17">
      <c r="A377" s="28"/>
      <c r="B377" s="28"/>
      <c r="C377" s="28"/>
      <c r="D377" s="28"/>
      <c r="E377" s="28"/>
      <c r="F377" s="28"/>
      <c r="G377" s="26" t="str">
        <f t="shared" si="40"/>
        <v/>
      </c>
      <c r="H377" s="26" t="str">
        <f t="shared" si="47"/>
        <v/>
      </c>
      <c r="I377" s="26" t="str">
        <f t="shared" si="41"/>
        <v/>
      </c>
      <c r="J377" t="str">
        <f t="shared" si="42"/>
        <v/>
      </c>
      <c r="K377" s="26" t="str">
        <f t="shared" si="43"/>
        <v/>
      </c>
      <c r="L377" s="26" t="str">
        <f t="shared" si="44"/>
        <v/>
      </c>
      <c r="P377" t="e">
        <f t="shared" si="45"/>
        <v>#N/A</v>
      </c>
      <c r="Q377" t="e">
        <f t="shared" si="46"/>
        <v>#N/A</v>
      </c>
    </row>
    <row r="378" spans="1:17">
      <c r="A378" s="28"/>
      <c r="B378" s="28"/>
      <c r="C378" s="28"/>
      <c r="D378" s="28"/>
      <c r="E378" s="28"/>
      <c r="F378" s="28"/>
      <c r="G378" s="26" t="str">
        <f t="shared" si="40"/>
        <v/>
      </c>
      <c r="H378" s="26" t="str">
        <f t="shared" si="47"/>
        <v/>
      </c>
      <c r="I378" s="26" t="str">
        <f t="shared" si="41"/>
        <v/>
      </c>
      <c r="J378" t="str">
        <f t="shared" si="42"/>
        <v/>
      </c>
      <c r="K378" s="26" t="str">
        <f t="shared" si="43"/>
        <v/>
      </c>
      <c r="L378" s="26" t="str">
        <f t="shared" si="44"/>
        <v/>
      </c>
      <c r="P378" t="e">
        <f t="shared" si="45"/>
        <v>#N/A</v>
      </c>
      <c r="Q378" t="e">
        <f t="shared" si="46"/>
        <v>#N/A</v>
      </c>
    </row>
    <row r="379" spans="1:17">
      <c r="A379" s="28"/>
      <c r="B379" s="28"/>
      <c r="C379" s="28"/>
      <c r="D379" s="28"/>
      <c r="E379" s="28"/>
      <c r="F379" s="28"/>
      <c r="G379" s="26" t="str">
        <f t="shared" si="40"/>
        <v/>
      </c>
      <c r="H379" s="26" t="str">
        <f t="shared" si="47"/>
        <v/>
      </c>
      <c r="I379" s="26" t="str">
        <f t="shared" si="41"/>
        <v/>
      </c>
      <c r="J379" t="str">
        <f t="shared" si="42"/>
        <v/>
      </c>
      <c r="K379" s="26" t="str">
        <f t="shared" si="43"/>
        <v/>
      </c>
      <c r="L379" s="26" t="str">
        <f t="shared" si="44"/>
        <v/>
      </c>
      <c r="P379" t="e">
        <f t="shared" si="45"/>
        <v>#N/A</v>
      </c>
      <c r="Q379" t="e">
        <f t="shared" si="46"/>
        <v>#N/A</v>
      </c>
    </row>
    <row r="380" spans="1:17">
      <c r="A380" s="28"/>
      <c r="B380" s="28"/>
      <c r="C380" s="28"/>
      <c r="D380" s="28"/>
      <c r="E380" s="28"/>
      <c r="F380" s="28"/>
      <c r="G380" s="26" t="str">
        <f t="shared" si="40"/>
        <v/>
      </c>
      <c r="H380" s="26" t="str">
        <f t="shared" si="47"/>
        <v/>
      </c>
      <c r="I380" s="26" t="str">
        <f t="shared" si="41"/>
        <v/>
      </c>
      <c r="J380" t="str">
        <f t="shared" si="42"/>
        <v/>
      </c>
      <c r="K380" s="26" t="str">
        <f t="shared" si="43"/>
        <v/>
      </c>
      <c r="L380" s="26" t="str">
        <f t="shared" si="44"/>
        <v/>
      </c>
      <c r="P380" t="e">
        <f t="shared" si="45"/>
        <v>#N/A</v>
      </c>
      <c r="Q380" t="e">
        <f t="shared" si="46"/>
        <v>#N/A</v>
      </c>
    </row>
    <row r="381" spans="1:17">
      <c r="A381" s="28"/>
      <c r="B381" s="28"/>
      <c r="C381" s="28"/>
      <c r="D381" s="28"/>
      <c r="E381" s="28"/>
      <c r="F381" s="28"/>
      <c r="G381" s="26" t="str">
        <f t="shared" si="40"/>
        <v/>
      </c>
      <c r="H381" s="26" t="str">
        <f t="shared" si="47"/>
        <v/>
      </c>
      <c r="I381" s="26" t="str">
        <f t="shared" si="41"/>
        <v/>
      </c>
      <c r="J381" t="str">
        <f t="shared" si="42"/>
        <v/>
      </c>
      <c r="K381" s="26" t="str">
        <f t="shared" si="43"/>
        <v/>
      </c>
      <c r="L381" s="26" t="str">
        <f t="shared" si="44"/>
        <v/>
      </c>
      <c r="P381" t="e">
        <f t="shared" si="45"/>
        <v>#N/A</v>
      </c>
      <c r="Q381" t="e">
        <f t="shared" si="46"/>
        <v>#N/A</v>
      </c>
    </row>
    <row r="382" spans="1:17">
      <c r="A382" s="28"/>
      <c r="B382" s="28"/>
      <c r="C382" s="28"/>
      <c r="D382" s="28"/>
      <c r="E382" s="28"/>
      <c r="F382" s="28"/>
      <c r="G382" s="26" t="str">
        <f t="shared" si="40"/>
        <v/>
      </c>
      <c r="H382" s="26" t="str">
        <f t="shared" si="47"/>
        <v/>
      </c>
      <c r="I382" s="26" t="str">
        <f t="shared" si="41"/>
        <v/>
      </c>
      <c r="J382" t="str">
        <f t="shared" si="42"/>
        <v/>
      </c>
      <c r="K382" s="26" t="str">
        <f t="shared" si="43"/>
        <v/>
      </c>
      <c r="L382" s="26" t="str">
        <f t="shared" si="44"/>
        <v/>
      </c>
      <c r="P382" t="e">
        <f t="shared" si="45"/>
        <v>#N/A</v>
      </c>
      <c r="Q382" t="e">
        <f t="shared" si="46"/>
        <v>#N/A</v>
      </c>
    </row>
    <row r="383" spans="1:17">
      <c r="A383" s="28"/>
      <c r="B383" s="28"/>
      <c r="C383" s="28"/>
      <c r="D383" s="28"/>
      <c r="E383" s="28"/>
      <c r="F383" s="28"/>
      <c r="G383" s="26" t="str">
        <f t="shared" si="40"/>
        <v/>
      </c>
      <c r="H383" s="26" t="str">
        <f t="shared" si="47"/>
        <v/>
      </c>
      <c r="I383" s="26" t="str">
        <f t="shared" si="41"/>
        <v/>
      </c>
      <c r="J383" t="str">
        <f t="shared" si="42"/>
        <v/>
      </c>
      <c r="K383" s="26" t="str">
        <f t="shared" si="43"/>
        <v/>
      </c>
      <c r="L383" s="26" t="str">
        <f t="shared" si="44"/>
        <v/>
      </c>
      <c r="P383" t="e">
        <f t="shared" si="45"/>
        <v>#N/A</v>
      </c>
      <c r="Q383" t="e">
        <f t="shared" si="46"/>
        <v>#N/A</v>
      </c>
    </row>
    <row r="384" spans="1:17">
      <c r="A384" s="28"/>
      <c r="B384" s="28"/>
      <c r="C384" s="28"/>
      <c r="D384" s="28"/>
      <c r="E384" s="28"/>
      <c r="F384" s="28"/>
      <c r="G384" s="26" t="str">
        <f t="shared" si="40"/>
        <v/>
      </c>
      <c r="H384" s="26" t="str">
        <f t="shared" si="47"/>
        <v/>
      </c>
      <c r="I384" s="26" t="str">
        <f t="shared" si="41"/>
        <v/>
      </c>
      <c r="J384" t="str">
        <f t="shared" si="42"/>
        <v/>
      </c>
      <c r="K384" s="26" t="str">
        <f t="shared" si="43"/>
        <v/>
      </c>
      <c r="L384" s="26" t="str">
        <f t="shared" si="44"/>
        <v/>
      </c>
      <c r="P384" t="e">
        <f t="shared" si="45"/>
        <v>#N/A</v>
      </c>
      <c r="Q384" t="e">
        <f t="shared" si="46"/>
        <v>#N/A</v>
      </c>
    </row>
    <row r="385" spans="1:17">
      <c r="A385" s="28"/>
      <c r="B385" s="28"/>
      <c r="C385" s="28"/>
      <c r="D385" s="28"/>
      <c r="E385" s="28"/>
      <c r="F385" s="28"/>
      <c r="G385" s="26" t="str">
        <f t="shared" si="40"/>
        <v/>
      </c>
      <c r="H385" s="26" t="str">
        <f t="shared" si="47"/>
        <v/>
      </c>
      <c r="I385" s="26" t="str">
        <f t="shared" si="41"/>
        <v/>
      </c>
      <c r="J385" t="str">
        <f t="shared" si="42"/>
        <v/>
      </c>
      <c r="K385" s="26" t="str">
        <f t="shared" si="43"/>
        <v/>
      </c>
      <c r="L385" s="26" t="str">
        <f t="shared" si="44"/>
        <v/>
      </c>
      <c r="P385" t="e">
        <f t="shared" si="45"/>
        <v>#N/A</v>
      </c>
      <c r="Q385" t="e">
        <f t="shared" si="46"/>
        <v>#N/A</v>
      </c>
    </row>
    <row r="386" spans="1:17">
      <c r="A386" s="28"/>
      <c r="B386" s="28"/>
      <c r="C386" s="28"/>
      <c r="D386" s="28"/>
      <c r="E386" s="28"/>
      <c r="F386" s="28"/>
      <c r="G386" s="26" t="str">
        <f t="shared" ref="G386:G449" si="48">IF(B386="","",243.04*(LN(C386/100)+17.625*B386/(243.04+B386))/(17.625-LN(C386/100)-17.625*B386/(243.04+B386)))</f>
        <v/>
      </c>
      <c r="H386" s="26" t="str">
        <f t="shared" si="47"/>
        <v/>
      </c>
      <c r="I386" s="26" t="str">
        <f t="shared" ref="I386:I449" si="49">IF(B386="","",B386-E386)</f>
        <v/>
      </c>
      <c r="J386" t="str">
        <f t="shared" ref="J386:J449" si="50">IF(H386="","",IF(H386&gt;0.6,"Heating",IF(H386&lt;-0.2,"Cooling","Steady")))</f>
        <v/>
      </c>
      <c r="K386" s="26" t="str">
        <f t="shared" ref="K386:K449" si="51">IF(J386="Cooling",I386,"")</f>
        <v/>
      </c>
      <c r="L386" s="26" t="str">
        <f t="shared" ref="L386:L449" si="52">IF(J386="Cooling",H386,"")</f>
        <v/>
      </c>
      <c r="P386" t="e">
        <f t="shared" ref="P386:P449" si="53">IF(K386="",NA(),K386)</f>
        <v>#N/A</v>
      </c>
      <c r="Q386" t="e">
        <f t="shared" ref="Q386:Q449" si="54">IF(L386="",NA(),L386)</f>
        <v>#N/A</v>
      </c>
    </row>
    <row r="387" spans="1:17">
      <c r="A387" s="28"/>
      <c r="B387" s="28"/>
      <c r="C387" s="28"/>
      <c r="D387" s="28"/>
      <c r="E387" s="28"/>
      <c r="F387" s="28"/>
      <c r="G387" s="26" t="str">
        <f t="shared" si="48"/>
        <v/>
      </c>
      <c r="H387" s="26" t="str">
        <f t="shared" si="47"/>
        <v/>
      </c>
      <c r="I387" s="26" t="str">
        <f t="shared" si="49"/>
        <v/>
      </c>
      <c r="J387" t="str">
        <f t="shared" si="50"/>
        <v/>
      </c>
      <c r="K387" s="26" t="str">
        <f t="shared" si="51"/>
        <v/>
      </c>
      <c r="L387" s="26" t="str">
        <f t="shared" si="52"/>
        <v/>
      </c>
      <c r="P387" t="e">
        <f t="shared" si="53"/>
        <v>#N/A</v>
      </c>
      <c r="Q387" t="e">
        <f t="shared" si="54"/>
        <v>#N/A</v>
      </c>
    </row>
    <row r="388" spans="1:17">
      <c r="A388" s="28"/>
      <c r="B388" s="28"/>
      <c r="C388" s="28"/>
      <c r="D388" s="28"/>
      <c r="E388" s="28"/>
      <c r="F388" s="28"/>
      <c r="G388" s="26" t="str">
        <f t="shared" si="48"/>
        <v/>
      </c>
      <c r="H388" s="26" t="str">
        <f t="shared" ref="H388:H451" si="55">IFERROR(IF(OR(B386="",B390=""),"",(B390-B386)/4*60),"")</f>
        <v/>
      </c>
      <c r="I388" s="26" t="str">
        <f t="shared" si="49"/>
        <v/>
      </c>
      <c r="J388" t="str">
        <f t="shared" si="50"/>
        <v/>
      </c>
      <c r="K388" s="26" t="str">
        <f t="shared" si="51"/>
        <v/>
      </c>
      <c r="L388" s="26" t="str">
        <f t="shared" si="52"/>
        <v/>
      </c>
      <c r="P388" t="e">
        <f t="shared" si="53"/>
        <v>#N/A</v>
      </c>
      <c r="Q388" t="e">
        <f t="shared" si="54"/>
        <v>#N/A</v>
      </c>
    </row>
    <row r="389" spans="1:17">
      <c r="A389" s="28"/>
      <c r="B389" s="28"/>
      <c r="C389" s="28"/>
      <c r="D389" s="28"/>
      <c r="E389" s="28"/>
      <c r="F389" s="28"/>
      <c r="G389" s="26" t="str">
        <f t="shared" si="48"/>
        <v/>
      </c>
      <c r="H389" s="26" t="str">
        <f t="shared" si="55"/>
        <v/>
      </c>
      <c r="I389" s="26" t="str">
        <f t="shared" si="49"/>
        <v/>
      </c>
      <c r="J389" t="str">
        <f t="shared" si="50"/>
        <v/>
      </c>
      <c r="K389" s="26" t="str">
        <f t="shared" si="51"/>
        <v/>
      </c>
      <c r="L389" s="26" t="str">
        <f t="shared" si="52"/>
        <v/>
      </c>
      <c r="P389" t="e">
        <f t="shared" si="53"/>
        <v>#N/A</v>
      </c>
      <c r="Q389" t="e">
        <f t="shared" si="54"/>
        <v>#N/A</v>
      </c>
    </row>
    <row r="390" spans="1:17">
      <c r="A390" s="28"/>
      <c r="B390" s="28"/>
      <c r="C390" s="28"/>
      <c r="D390" s="28"/>
      <c r="E390" s="28"/>
      <c r="F390" s="28"/>
      <c r="G390" s="26" t="str">
        <f t="shared" si="48"/>
        <v/>
      </c>
      <c r="H390" s="26" t="str">
        <f t="shared" si="55"/>
        <v/>
      </c>
      <c r="I390" s="26" t="str">
        <f t="shared" si="49"/>
        <v/>
      </c>
      <c r="J390" t="str">
        <f t="shared" si="50"/>
        <v/>
      </c>
      <c r="K390" s="26" t="str">
        <f t="shared" si="51"/>
        <v/>
      </c>
      <c r="L390" s="26" t="str">
        <f t="shared" si="52"/>
        <v/>
      </c>
      <c r="P390" t="e">
        <f t="shared" si="53"/>
        <v>#N/A</v>
      </c>
      <c r="Q390" t="e">
        <f t="shared" si="54"/>
        <v>#N/A</v>
      </c>
    </row>
    <row r="391" spans="1:17">
      <c r="A391" s="28"/>
      <c r="B391" s="28"/>
      <c r="C391" s="28"/>
      <c r="D391" s="28"/>
      <c r="E391" s="28"/>
      <c r="F391" s="28"/>
      <c r="G391" s="26" t="str">
        <f t="shared" si="48"/>
        <v/>
      </c>
      <c r="H391" s="26" t="str">
        <f t="shared" si="55"/>
        <v/>
      </c>
      <c r="I391" s="26" t="str">
        <f t="shared" si="49"/>
        <v/>
      </c>
      <c r="J391" t="str">
        <f t="shared" si="50"/>
        <v/>
      </c>
      <c r="K391" s="26" t="str">
        <f t="shared" si="51"/>
        <v/>
      </c>
      <c r="L391" s="26" t="str">
        <f t="shared" si="52"/>
        <v/>
      </c>
      <c r="P391" t="e">
        <f t="shared" si="53"/>
        <v>#N/A</v>
      </c>
      <c r="Q391" t="e">
        <f t="shared" si="54"/>
        <v>#N/A</v>
      </c>
    </row>
    <row r="392" spans="1:17">
      <c r="A392" s="28"/>
      <c r="B392" s="28"/>
      <c r="C392" s="28"/>
      <c r="D392" s="28"/>
      <c r="E392" s="28"/>
      <c r="F392" s="28"/>
      <c r="G392" s="26" t="str">
        <f t="shared" si="48"/>
        <v/>
      </c>
      <c r="H392" s="26" t="str">
        <f t="shared" si="55"/>
        <v/>
      </c>
      <c r="I392" s="26" t="str">
        <f t="shared" si="49"/>
        <v/>
      </c>
      <c r="J392" t="str">
        <f t="shared" si="50"/>
        <v/>
      </c>
      <c r="K392" s="26" t="str">
        <f t="shared" si="51"/>
        <v/>
      </c>
      <c r="L392" s="26" t="str">
        <f t="shared" si="52"/>
        <v/>
      </c>
      <c r="P392" t="e">
        <f t="shared" si="53"/>
        <v>#N/A</v>
      </c>
      <c r="Q392" t="e">
        <f t="shared" si="54"/>
        <v>#N/A</v>
      </c>
    </row>
    <row r="393" spans="1:17">
      <c r="A393" s="28"/>
      <c r="B393" s="28"/>
      <c r="C393" s="28"/>
      <c r="D393" s="28"/>
      <c r="E393" s="28"/>
      <c r="F393" s="28"/>
      <c r="G393" s="26" t="str">
        <f t="shared" si="48"/>
        <v/>
      </c>
      <c r="H393" s="26" t="str">
        <f t="shared" si="55"/>
        <v/>
      </c>
      <c r="I393" s="26" t="str">
        <f t="shared" si="49"/>
        <v/>
      </c>
      <c r="J393" t="str">
        <f t="shared" si="50"/>
        <v/>
      </c>
      <c r="K393" s="26" t="str">
        <f t="shared" si="51"/>
        <v/>
      </c>
      <c r="L393" s="26" t="str">
        <f t="shared" si="52"/>
        <v/>
      </c>
      <c r="P393" t="e">
        <f t="shared" si="53"/>
        <v>#N/A</v>
      </c>
      <c r="Q393" t="e">
        <f t="shared" si="54"/>
        <v>#N/A</v>
      </c>
    </row>
    <row r="394" spans="1:17">
      <c r="A394" s="28"/>
      <c r="B394" s="28"/>
      <c r="C394" s="28"/>
      <c r="D394" s="28"/>
      <c r="E394" s="28"/>
      <c r="F394" s="28"/>
      <c r="G394" s="26" t="str">
        <f t="shared" si="48"/>
        <v/>
      </c>
      <c r="H394" s="26" t="str">
        <f t="shared" si="55"/>
        <v/>
      </c>
      <c r="I394" s="26" t="str">
        <f t="shared" si="49"/>
        <v/>
      </c>
      <c r="J394" t="str">
        <f t="shared" si="50"/>
        <v/>
      </c>
      <c r="K394" s="26" t="str">
        <f t="shared" si="51"/>
        <v/>
      </c>
      <c r="L394" s="26" t="str">
        <f t="shared" si="52"/>
        <v/>
      </c>
      <c r="P394" t="e">
        <f t="shared" si="53"/>
        <v>#N/A</v>
      </c>
      <c r="Q394" t="e">
        <f t="shared" si="54"/>
        <v>#N/A</v>
      </c>
    </row>
    <row r="395" spans="1:17">
      <c r="A395" s="28"/>
      <c r="B395" s="28"/>
      <c r="C395" s="28"/>
      <c r="D395" s="28"/>
      <c r="E395" s="28"/>
      <c r="F395" s="28"/>
      <c r="G395" s="26" t="str">
        <f t="shared" si="48"/>
        <v/>
      </c>
      <c r="H395" s="26" t="str">
        <f t="shared" si="55"/>
        <v/>
      </c>
      <c r="I395" s="26" t="str">
        <f t="shared" si="49"/>
        <v/>
      </c>
      <c r="J395" t="str">
        <f t="shared" si="50"/>
        <v/>
      </c>
      <c r="K395" s="26" t="str">
        <f t="shared" si="51"/>
        <v/>
      </c>
      <c r="L395" s="26" t="str">
        <f t="shared" si="52"/>
        <v/>
      </c>
      <c r="P395" t="e">
        <f t="shared" si="53"/>
        <v>#N/A</v>
      </c>
      <c r="Q395" t="e">
        <f t="shared" si="54"/>
        <v>#N/A</v>
      </c>
    </row>
    <row r="396" spans="1:17">
      <c r="A396" s="28"/>
      <c r="B396" s="28"/>
      <c r="C396" s="28"/>
      <c r="D396" s="28"/>
      <c r="E396" s="28"/>
      <c r="F396" s="28"/>
      <c r="G396" s="26" t="str">
        <f t="shared" si="48"/>
        <v/>
      </c>
      <c r="H396" s="26" t="str">
        <f t="shared" si="55"/>
        <v/>
      </c>
      <c r="I396" s="26" t="str">
        <f t="shared" si="49"/>
        <v/>
      </c>
      <c r="J396" t="str">
        <f t="shared" si="50"/>
        <v/>
      </c>
      <c r="K396" s="26" t="str">
        <f t="shared" si="51"/>
        <v/>
      </c>
      <c r="L396" s="26" t="str">
        <f t="shared" si="52"/>
        <v/>
      </c>
      <c r="P396" t="e">
        <f t="shared" si="53"/>
        <v>#N/A</v>
      </c>
      <c r="Q396" t="e">
        <f t="shared" si="54"/>
        <v>#N/A</v>
      </c>
    </row>
    <row r="397" spans="1:17">
      <c r="A397" s="28"/>
      <c r="B397" s="28"/>
      <c r="C397" s="28"/>
      <c r="D397" s="28"/>
      <c r="E397" s="28"/>
      <c r="F397" s="28"/>
      <c r="G397" s="26" t="str">
        <f t="shared" si="48"/>
        <v/>
      </c>
      <c r="H397" s="26" t="str">
        <f t="shared" si="55"/>
        <v/>
      </c>
      <c r="I397" s="26" t="str">
        <f t="shared" si="49"/>
        <v/>
      </c>
      <c r="J397" t="str">
        <f t="shared" si="50"/>
        <v/>
      </c>
      <c r="K397" s="26" t="str">
        <f t="shared" si="51"/>
        <v/>
      </c>
      <c r="L397" s="26" t="str">
        <f t="shared" si="52"/>
        <v/>
      </c>
      <c r="P397" t="e">
        <f t="shared" si="53"/>
        <v>#N/A</v>
      </c>
      <c r="Q397" t="e">
        <f t="shared" si="54"/>
        <v>#N/A</v>
      </c>
    </row>
    <row r="398" spans="1:17">
      <c r="A398" s="28"/>
      <c r="B398" s="28"/>
      <c r="C398" s="28"/>
      <c r="D398" s="28"/>
      <c r="E398" s="28"/>
      <c r="F398" s="28"/>
      <c r="G398" s="26" t="str">
        <f t="shared" si="48"/>
        <v/>
      </c>
      <c r="H398" s="26" t="str">
        <f t="shared" si="55"/>
        <v/>
      </c>
      <c r="I398" s="26" t="str">
        <f t="shared" si="49"/>
        <v/>
      </c>
      <c r="J398" t="str">
        <f t="shared" si="50"/>
        <v/>
      </c>
      <c r="K398" s="26" t="str">
        <f t="shared" si="51"/>
        <v/>
      </c>
      <c r="L398" s="26" t="str">
        <f t="shared" si="52"/>
        <v/>
      </c>
      <c r="P398" t="e">
        <f t="shared" si="53"/>
        <v>#N/A</v>
      </c>
      <c r="Q398" t="e">
        <f t="shared" si="54"/>
        <v>#N/A</v>
      </c>
    </row>
    <row r="399" spans="1:17">
      <c r="A399" s="28"/>
      <c r="B399" s="28"/>
      <c r="C399" s="28"/>
      <c r="D399" s="28"/>
      <c r="E399" s="28"/>
      <c r="F399" s="28"/>
      <c r="G399" s="26" t="str">
        <f t="shared" si="48"/>
        <v/>
      </c>
      <c r="H399" s="26" t="str">
        <f t="shared" si="55"/>
        <v/>
      </c>
      <c r="I399" s="26" t="str">
        <f t="shared" si="49"/>
        <v/>
      </c>
      <c r="J399" t="str">
        <f t="shared" si="50"/>
        <v/>
      </c>
      <c r="K399" s="26" t="str">
        <f t="shared" si="51"/>
        <v/>
      </c>
      <c r="L399" s="26" t="str">
        <f t="shared" si="52"/>
        <v/>
      </c>
      <c r="P399" t="e">
        <f t="shared" si="53"/>
        <v>#N/A</v>
      </c>
      <c r="Q399" t="e">
        <f t="shared" si="54"/>
        <v>#N/A</v>
      </c>
    </row>
    <row r="400" spans="1:17">
      <c r="A400" s="28"/>
      <c r="B400" s="28"/>
      <c r="C400" s="28"/>
      <c r="D400" s="28"/>
      <c r="E400" s="28"/>
      <c r="F400" s="28"/>
      <c r="G400" s="26" t="str">
        <f t="shared" si="48"/>
        <v/>
      </c>
      <c r="H400" s="26" t="str">
        <f t="shared" si="55"/>
        <v/>
      </c>
      <c r="I400" s="26" t="str">
        <f t="shared" si="49"/>
        <v/>
      </c>
      <c r="J400" t="str">
        <f t="shared" si="50"/>
        <v/>
      </c>
      <c r="K400" s="26" t="str">
        <f t="shared" si="51"/>
        <v/>
      </c>
      <c r="L400" s="26" t="str">
        <f t="shared" si="52"/>
        <v/>
      </c>
      <c r="P400" t="e">
        <f t="shared" si="53"/>
        <v>#N/A</v>
      </c>
      <c r="Q400" t="e">
        <f t="shared" si="54"/>
        <v>#N/A</v>
      </c>
    </row>
    <row r="401" spans="1:17">
      <c r="A401" s="28"/>
      <c r="B401" s="28"/>
      <c r="C401" s="28"/>
      <c r="D401" s="28"/>
      <c r="E401" s="28"/>
      <c r="F401" s="28"/>
      <c r="G401" s="26" t="str">
        <f t="shared" si="48"/>
        <v/>
      </c>
      <c r="H401" s="26" t="str">
        <f t="shared" si="55"/>
        <v/>
      </c>
      <c r="I401" s="26" t="str">
        <f t="shared" si="49"/>
        <v/>
      </c>
      <c r="J401" t="str">
        <f t="shared" si="50"/>
        <v/>
      </c>
      <c r="K401" s="26" t="str">
        <f t="shared" si="51"/>
        <v/>
      </c>
      <c r="L401" s="26" t="str">
        <f t="shared" si="52"/>
        <v/>
      </c>
      <c r="P401" t="e">
        <f t="shared" si="53"/>
        <v>#N/A</v>
      </c>
      <c r="Q401" t="e">
        <f t="shared" si="54"/>
        <v>#N/A</v>
      </c>
    </row>
    <row r="402" spans="1:17">
      <c r="A402" s="28"/>
      <c r="B402" s="28"/>
      <c r="C402" s="28"/>
      <c r="D402" s="28"/>
      <c r="E402" s="28"/>
      <c r="F402" s="28"/>
      <c r="G402" s="26" t="str">
        <f t="shared" si="48"/>
        <v/>
      </c>
      <c r="H402" s="26" t="str">
        <f t="shared" si="55"/>
        <v/>
      </c>
      <c r="I402" s="26" t="str">
        <f t="shared" si="49"/>
        <v/>
      </c>
      <c r="J402" t="str">
        <f t="shared" si="50"/>
        <v/>
      </c>
      <c r="K402" s="26" t="str">
        <f t="shared" si="51"/>
        <v/>
      </c>
      <c r="L402" s="26" t="str">
        <f t="shared" si="52"/>
        <v/>
      </c>
      <c r="P402" t="e">
        <f t="shared" si="53"/>
        <v>#N/A</v>
      </c>
      <c r="Q402" t="e">
        <f t="shared" si="54"/>
        <v>#N/A</v>
      </c>
    </row>
    <row r="403" spans="1:17">
      <c r="A403" s="28"/>
      <c r="B403" s="28"/>
      <c r="C403" s="28"/>
      <c r="D403" s="28"/>
      <c r="E403" s="28"/>
      <c r="F403" s="28"/>
      <c r="G403" s="26" t="str">
        <f t="shared" si="48"/>
        <v/>
      </c>
      <c r="H403" s="26" t="str">
        <f t="shared" si="55"/>
        <v/>
      </c>
      <c r="I403" s="26" t="str">
        <f t="shared" si="49"/>
        <v/>
      </c>
      <c r="J403" t="str">
        <f t="shared" si="50"/>
        <v/>
      </c>
      <c r="K403" s="26" t="str">
        <f t="shared" si="51"/>
        <v/>
      </c>
      <c r="L403" s="26" t="str">
        <f t="shared" si="52"/>
        <v/>
      </c>
      <c r="P403" t="e">
        <f t="shared" si="53"/>
        <v>#N/A</v>
      </c>
      <c r="Q403" t="e">
        <f t="shared" si="54"/>
        <v>#N/A</v>
      </c>
    </row>
    <row r="404" spans="1:17">
      <c r="A404" s="28"/>
      <c r="B404" s="28"/>
      <c r="C404" s="28"/>
      <c r="D404" s="28"/>
      <c r="E404" s="28"/>
      <c r="F404" s="28"/>
      <c r="G404" s="26" t="str">
        <f t="shared" si="48"/>
        <v/>
      </c>
      <c r="H404" s="26" t="str">
        <f t="shared" si="55"/>
        <v/>
      </c>
      <c r="I404" s="26" t="str">
        <f t="shared" si="49"/>
        <v/>
      </c>
      <c r="J404" t="str">
        <f t="shared" si="50"/>
        <v/>
      </c>
      <c r="K404" s="26" t="str">
        <f t="shared" si="51"/>
        <v/>
      </c>
      <c r="L404" s="26" t="str">
        <f t="shared" si="52"/>
        <v/>
      </c>
      <c r="P404" t="e">
        <f t="shared" si="53"/>
        <v>#N/A</v>
      </c>
      <c r="Q404" t="e">
        <f t="shared" si="54"/>
        <v>#N/A</v>
      </c>
    </row>
    <row r="405" spans="1:17">
      <c r="A405" s="28"/>
      <c r="B405" s="28"/>
      <c r="C405" s="28"/>
      <c r="D405" s="28"/>
      <c r="E405" s="28"/>
      <c r="F405" s="28"/>
      <c r="G405" s="26" t="str">
        <f t="shared" si="48"/>
        <v/>
      </c>
      <c r="H405" s="26" t="str">
        <f t="shared" si="55"/>
        <v/>
      </c>
      <c r="I405" s="26" t="str">
        <f t="shared" si="49"/>
        <v/>
      </c>
      <c r="J405" t="str">
        <f t="shared" si="50"/>
        <v/>
      </c>
      <c r="K405" s="26" t="str">
        <f t="shared" si="51"/>
        <v/>
      </c>
      <c r="L405" s="26" t="str">
        <f t="shared" si="52"/>
        <v/>
      </c>
      <c r="P405" t="e">
        <f t="shared" si="53"/>
        <v>#N/A</v>
      </c>
      <c r="Q405" t="e">
        <f t="shared" si="54"/>
        <v>#N/A</v>
      </c>
    </row>
    <row r="406" spans="1:17">
      <c r="A406" s="28"/>
      <c r="B406" s="28"/>
      <c r="C406" s="28"/>
      <c r="D406" s="28"/>
      <c r="E406" s="28"/>
      <c r="F406" s="28"/>
      <c r="G406" s="26" t="str">
        <f t="shared" si="48"/>
        <v/>
      </c>
      <c r="H406" s="26" t="str">
        <f t="shared" si="55"/>
        <v/>
      </c>
      <c r="I406" s="26" t="str">
        <f t="shared" si="49"/>
        <v/>
      </c>
      <c r="J406" t="str">
        <f t="shared" si="50"/>
        <v/>
      </c>
      <c r="K406" s="26" t="str">
        <f t="shared" si="51"/>
        <v/>
      </c>
      <c r="L406" s="26" t="str">
        <f t="shared" si="52"/>
        <v/>
      </c>
      <c r="P406" t="e">
        <f t="shared" si="53"/>
        <v>#N/A</v>
      </c>
      <c r="Q406" t="e">
        <f t="shared" si="54"/>
        <v>#N/A</v>
      </c>
    </row>
    <row r="407" spans="1:17">
      <c r="A407" s="28"/>
      <c r="B407" s="28"/>
      <c r="C407" s="28"/>
      <c r="D407" s="28"/>
      <c r="E407" s="28"/>
      <c r="F407" s="28"/>
      <c r="G407" s="26" t="str">
        <f t="shared" si="48"/>
        <v/>
      </c>
      <c r="H407" s="26" t="str">
        <f t="shared" si="55"/>
        <v/>
      </c>
      <c r="I407" s="26" t="str">
        <f t="shared" si="49"/>
        <v/>
      </c>
      <c r="J407" t="str">
        <f t="shared" si="50"/>
        <v/>
      </c>
      <c r="K407" s="26" t="str">
        <f t="shared" si="51"/>
        <v/>
      </c>
      <c r="L407" s="26" t="str">
        <f t="shared" si="52"/>
        <v/>
      </c>
      <c r="P407" t="e">
        <f t="shared" si="53"/>
        <v>#N/A</v>
      </c>
      <c r="Q407" t="e">
        <f t="shared" si="54"/>
        <v>#N/A</v>
      </c>
    </row>
    <row r="408" spans="1:17">
      <c r="A408" s="28"/>
      <c r="B408" s="28"/>
      <c r="C408" s="28"/>
      <c r="D408" s="28"/>
      <c r="E408" s="28"/>
      <c r="F408" s="28"/>
      <c r="G408" s="26" t="str">
        <f t="shared" si="48"/>
        <v/>
      </c>
      <c r="H408" s="26" t="str">
        <f t="shared" si="55"/>
        <v/>
      </c>
      <c r="I408" s="26" t="str">
        <f t="shared" si="49"/>
        <v/>
      </c>
      <c r="J408" t="str">
        <f t="shared" si="50"/>
        <v/>
      </c>
      <c r="K408" s="26" t="str">
        <f t="shared" si="51"/>
        <v/>
      </c>
      <c r="L408" s="26" t="str">
        <f t="shared" si="52"/>
        <v/>
      </c>
      <c r="P408" t="e">
        <f t="shared" si="53"/>
        <v>#N/A</v>
      </c>
      <c r="Q408" t="e">
        <f t="shared" si="54"/>
        <v>#N/A</v>
      </c>
    </row>
    <row r="409" spans="1:17">
      <c r="A409" s="28"/>
      <c r="B409" s="28"/>
      <c r="C409" s="28"/>
      <c r="D409" s="28"/>
      <c r="E409" s="28"/>
      <c r="F409" s="28"/>
      <c r="G409" s="26" t="str">
        <f t="shared" si="48"/>
        <v/>
      </c>
      <c r="H409" s="26" t="str">
        <f t="shared" si="55"/>
        <v/>
      </c>
      <c r="I409" s="26" t="str">
        <f t="shared" si="49"/>
        <v/>
      </c>
      <c r="J409" t="str">
        <f t="shared" si="50"/>
        <v/>
      </c>
      <c r="K409" s="26" t="str">
        <f t="shared" si="51"/>
        <v/>
      </c>
      <c r="L409" s="26" t="str">
        <f t="shared" si="52"/>
        <v/>
      </c>
      <c r="P409" t="e">
        <f t="shared" si="53"/>
        <v>#N/A</v>
      </c>
      <c r="Q409" t="e">
        <f t="shared" si="54"/>
        <v>#N/A</v>
      </c>
    </row>
    <row r="410" spans="1:17">
      <c r="A410" s="28"/>
      <c r="B410" s="28"/>
      <c r="C410" s="28"/>
      <c r="D410" s="28"/>
      <c r="E410" s="28"/>
      <c r="F410" s="28"/>
      <c r="G410" s="26" t="str">
        <f t="shared" si="48"/>
        <v/>
      </c>
      <c r="H410" s="26" t="str">
        <f t="shared" si="55"/>
        <v/>
      </c>
      <c r="I410" s="26" t="str">
        <f t="shared" si="49"/>
        <v/>
      </c>
      <c r="J410" t="str">
        <f t="shared" si="50"/>
        <v/>
      </c>
      <c r="K410" s="26" t="str">
        <f t="shared" si="51"/>
        <v/>
      </c>
      <c r="L410" s="26" t="str">
        <f t="shared" si="52"/>
        <v/>
      </c>
      <c r="P410" t="e">
        <f t="shared" si="53"/>
        <v>#N/A</v>
      </c>
      <c r="Q410" t="e">
        <f t="shared" si="54"/>
        <v>#N/A</v>
      </c>
    </row>
    <row r="411" spans="1:17">
      <c r="A411" s="28"/>
      <c r="B411" s="28"/>
      <c r="C411" s="28"/>
      <c r="D411" s="28"/>
      <c r="E411" s="28"/>
      <c r="F411" s="28"/>
      <c r="G411" s="26" t="str">
        <f t="shared" si="48"/>
        <v/>
      </c>
      <c r="H411" s="26" t="str">
        <f t="shared" si="55"/>
        <v/>
      </c>
      <c r="I411" s="26" t="str">
        <f t="shared" si="49"/>
        <v/>
      </c>
      <c r="J411" t="str">
        <f t="shared" si="50"/>
        <v/>
      </c>
      <c r="K411" s="26" t="str">
        <f t="shared" si="51"/>
        <v/>
      </c>
      <c r="L411" s="26" t="str">
        <f t="shared" si="52"/>
        <v/>
      </c>
      <c r="P411" t="e">
        <f t="shared" si="53"/>
        <v>#N/A</v>
      </c>
      <c r="Q411" t="e">
        <f t="shared" si="54"/>
        <v>#N/A</v>
      </c>
    </row>
    <row r="412" spans="1:17">
      <c r="A412" s="28"/>
      <c r="B412" s="28"/>
      <c r="C412" s="28"/>
      <c r="D412" s="28"/>
      <c r="E412" s="28"/>
      <c r="F412" s="28"/>
      <c r="G412" s="26" t="str">
        <f t="shared" si="48"/>
        <v/>
      </c>
      <c r="H412" s="26" t="str">
        <f t="shared" si="55"/>
        <v/>
      </c>
      <c r="I412" s="26" t="str">
        <f t="shared" si="49"/>
        <v/>
      </c>
      <c r="J412" t="str">
        <f t="shared" si="50"/>
        <v/>
      </c>
      <c r="K412" s="26" t="str">
        <f t="shared" si="51"/>
        <v/>
      </c>
      <c r="L412" s="26" t="str">
        <f t="shared" si="52"/>
        <v/>
      </c>
      <c r="P412" t="e">
        <f t="shared" si="53"/>
        <v>#N/A</v>
      </c>
      <c r="Q412" t="e">
        <f t="shared" si="54"/>
        <v>#N/A</v>
      </c>
    </row>
    <row r="413" spans="1:17">
      <c r="A413" s="28"/>
      <c r="B413" s="28"/>
      <c r="C413" s="28"/>
      <c r="D413" s="28"/>
      <c r="E413" s="28"/>
      <c r="F413" s="28"/>
      <c r="G413" s="26" t="str">
        <f t="shared" si="48"/>
        <v/>
      </c>
      <c r="H413" s="26" t="str">
        <f t="shared" si="55"/>
        <v/>
      </c>
      <c r="I413" s="26" t="str">
        <f t="shared" si="49"/>
        <v/>
      </c>
      <c r="J413" t="str">
        <f t="shared" si="50"/>
        <v/>
      </c>
      <c r="K413" s="26" t="str">
        <f t="shared" si="51"/>
        <v/>
      </c>
      <c r="L413" s="26" t="str">
        <f t="shared" si="52"/>
        <v/>
      </c>
      <c r="P413" t="e">
        <f t="shared" si="53"/>
        <v>#N/A</v>
      </c>
      <c r="Q413" t="e">
        <f t="shared" si="54"/>
        <v>#N/A</v>
      </c>
    </row>
    <row r="414" spans="1:17">
      <c r="A414" s="28"/>
      <c r="B414" s="28"/>
      <c r="C414" s="28"/>
      <c r="D414" s="28"/>
      <c r="E414" s="28"/>
      <c r="F414" s="28"/>
      <c r="G414" s="26" t="str">
        <f t="shared" si="48"/>
        <v/>
      </c>
      <c r="H414" s="26" t="str">
        <f t="shared" si="55"/>
        <v/>
      </c>
      <c r="I414" s="26" t="str">
        <f t="shared" si="49"/>
        <v/>
      </c>
      <c r="J414" t="str">
        <f t="shared" si="50"/>
        <v/>
      </c>
      <c r="K414" s="26" t="str">
        <f t="shared" si="51"/>
        <v/>
      </c>
      <c r="L414" s="26" t="str">
        <f t="shared" si="52"/>
        <v/>
      </c>
      <c r="P414" t="e">
        <f t="shared" si="53"/>
        <v>#N/A</v>
      </c>
      <c r="Q414" t="e">
        <f t="shared" si="54"/>
        <v>#N/A</v>
      </c>
    </row>
    <row r="415" spans="1:17">
      <c r="A415" s="28"/>
      <c r="B415" s="28"/>
      <c r="C415" s="28"/>
      <c r="D415" s="28"/>
      <c r="E415" s="28"/>
      <c r="F415" s="28"/>
      <c r="G415" s="26" t="str">
        <f t="shared" si="48"/>
        <v/>
      </c>
      <c r="H415" s="26" t="str">
        <f t="shared" si="55"/>
        <v/>
      </c>
      <c r="I415" s="26" t="str">
        <f t="shared" si="49"/>
        <v/>
      </c>
      <c r="J415" t="str">
        <f t="shared" si="50"/>
        <v/>
      </c>
      <c r="K415" s="26" t="str">
        <f t="shared" si="51"/>
        <v/>
      </c>
      <c r="L415" s="26" t="str">
        <f t="shared" si="52"/>
        <v/>
      </c>
      <c r="P415" t="e">
        <f t="shared" si="53"/>
        <v>#N/A</v>
      </c>
      <c r="Q415" t="e">
        <f t="shared" si="54"/>
        <v>#N/A</v>
      </c>
    </row>
    <row r="416" spans="1:17">
      <c r="A416" s="28"/>
      <c r="B416" s="28"/>
      <c r="C416" s="28"/>
      <c r="D416" s="28"/>
      <c r="E416" s="28"/>
      <c r="F416" s="28"/>
      <c r="G416" s="26" t="str">
        <f t="shared" si="48"/>
        <v/>
      </c>
      <c r="H416" s="26" t="str">
        <f t="shared" si="55"/>
        <v/>
      </c>
      <c r="I416" s="26" t="str">
        <f t="shared" si="49"/>
        <v/>
      </c>
      <c r="J416" t="str">
        <f t="shared" si="50"/>
        <v/>
      </c>
      <c r="K416" s="26" t="str">
        <f t="shared" si="51"/>
        <v/>
      </c>
      <c r="L416" s="26" t="str">
        <f t="shared" si="52"/>
        <v/>
      </c>
      <c r="P416" t="e">
        <f t="shared" si="53"/>
        <v>#N/A</v>
      </c>
      <c r="Q416" t="e">
        <f t="shared" si="54"/>
        <v>#N/A</v>
      </c>
    </row>
    <row r="417" spans="1:17">
      <c r="A417" s="28"/>
      <c r="B417" s="28"/>
      <c r="C417" s="28"/>
      <c r="D417" s="28"/>
      <c r="E417" s="28"/>
      <c r="F417" s="28"/>
      <c r="G417" s="26" t="str">
        <f t="shared" si="48"/>
        <v/>
      </c>
      <c r="H417" s="26" t="str">
        <f t="shared" si="55"/>
        <v/>
      </c>
      <c r="I417" s="26" t="str">
        <f t="shared" si="49"/>
        <v/>
      </c>
      <c r="J417" t="str">
        <f t="shared" si="50"/>
        <v/>
      </c>
      <c r="K417" s="26" t="str">
        <f t="shared" si="51"/>
        <v/>
      </c>
      <c r="L417" s="26" t="str">
        <f t="shared" si="52"/>
        <v/>
      </c>
      <c r="P417" t="e">
        <f t="shared" si="53"/>
        <v>#N/A</v>
      </c>
      <c r="Q417" t="e">
        <f t="shared" si="54"/>
        <v>#N/A</v>
      </c>
    </row>
    <row r="418" spans="1:17">
      <c r="A418" s="28"/>
      <c r="B418" s="28"/>
      <c r="C418" s="28"/>
      <c r="D418" s="28"/>
      <c r="E418" s="28"/>
      <c r="F418" s="28"/>
      <c r="G418" s="26" t="str">
        <f t="shared" si="48"/>
        <v/>
      </c>
      <c r="H418" s="26" t="str">
        <f t="shared" si="55"/>
        <v/>
      </c>
      <c r="I418" s="26" t="str">
        <f t="shared" si="49"/>
        <v/>
      </c>
      <c r="J418" t="str">
        <f t="shared" si="50"/>
        <v/>
      </c>
      <c r="K418" s="26" t="str">
        <f t="shared" si="51"/>
        <v/>
      </c>
      <c r="L418" s="26" t="str">
        <f t="shared" si="52"/>
        <v/>
      </c>
      <c r="P418" t="e">
        <f t="shared" si="53"/>
        <v>#N/A</v>
      </c>
      <c r="Q418" t="e">
        <f t="shared" si="54"/>
        <v>#N/A</v>
      </c>
    </row>
    <row r="419" spans="1:17">
      <c r="A419" s="28"/>
      <c r="B419" s="28"/>
      <c r="C419" s="28"/>
      <c r="D419" s="28"/>
      <c r="E419" s="28"/>
      <c r="F419" s="28"/>
      <c r="G419" s="26" t="str">
        <f t="shared" si="48"/>
        <v/>
      </c>
      <c r="H419" s="26" t="str">
        <f t="shared" si="55"/>
        <v/>
      </c>
      <c r="I419" s="26" t="str">
        <f t="shared" si="49"/>
        <v/>
      </c>
      <c r="J419" t="str">
        <f t="shared" si="50"/>
        <v/>
      </c>
      <c r="K419" s="26" t="str">
        <f t="shared" si="51"/>
        <v/>
      </c>
      <c r="L419" s="26" t="str">
        <f t="shared" si="52"/>
        <v/>
      </c>
      <c r="P419" t="e">
        <f t="shared" si="53"/>
        <v>#N/A</v>
      </c>
      <c r="Q419" t="e">
        <f t="shared" si="54"/>
        <v>#N/A</v>
      </c>
    </row>
    <row r="420" spans="1:17">
      <c r="A420" s="28"/>
      <c r="B420" s="28"/>
      <c r="C420" s="28"/>
      <c r="D420" s="28"/>
      <c r="E420" s="28"/>
      <c r="F420" s="28"/>
      <c r="G420" s="26" t="str">
        <f t="shared" si="48"/>
        <v/>
      </c>
      <c r="H420" s="26" t="str">
        <f t="shared" si="55"/>
        <v/>
      </c>
      <c r="I420" s="26" t="str">
        <f t="shared" si="49"/>
        <v/>
      </c>
      <c r="J420" t="str">
        <f t="shared" si="50"/>
        <v/>
      </c>
      <c r="K420" s="26" t="str">
        <f t="shared" si="51"/>
        <v/>
      </c>
      <c r="L420" s="26" t="str">
        <f t="shared" si="52"/>
        <v/>
      </c>
      <c r="P420" t="e">
        <f t="shared" si="53"/>
        <v>#N/A</v>
      </c>
      <c r="Q420" t="e">
        <f t="shared" si="54"/>
        <v>#N/A</v>
      </c>
    </row>
    <row r="421" spans="1:17">
      <c r="A421" s="28"/>
      <c r="B421" s="28"/>
      <c r="C421" s="28"/>
      <c r="D421" s="28"/>
      <c r="E421" s="28"/>
      <c r="F421" s="28"/>
      <c r="G421" s="26" t="str">
        <f t="shared" si="48"/>
        <v/>
      </c>
      <c r="H421" s="26" t="str">
        <f t="shared" si="55"/>
        <v/>
      </c>
      <c r="I421" s="26" t="str">
        <f t="shared" si="49"/>
        <v/>
      </c>
      <c r="J421" t="str">
        <f t="shared" si="50"/>
        <v/>
      </c>
      <c r="K421" s="26" t="str">
        <f t="shared" si="51"/>
        <v/>
      </c>
      <c r="L421" s="26" t="str">
        <f t="shared" si="52"/>
        <v/>
      </c>
      <c r="P421" t="e">
        <f t="shared" si="53"/>
        <v>#N/A</v>
      </c>
      <c r="Q421" t="e">
        <f t="shared" si="54"/>
        <v>#N/A</v>
      </c>
    </row>
    <row r="422" spans="1:17">
      <c r="A422" s="28"/>
      <c r="B422" s="28"/>
      <c r="C422" s="28"/>
      <c r="D422" s="28"/>
      <c r="E422" s="28"/>
      <c r="F422" s="28"/>
      <c r="G422" s="26" t="str">
        <f t="shared" si="48"/>
        <v/>
      </c>
      <c r="H422" s="26" t="str">
        <f t="shared" si="55"/>
        <v/>
      </c>
      <c r="I422" s="26" t="str">
        <f t="shared" si="49"/>
        <v/>
      </c>
      <c r="J422" t="str">
        <f t="shared" si="50"/>
        <v/>
      </c>
      <c r="K422" s="26" t="str">
        <f t="shared" si="51"/>
        <v/>
      </c>
      <c r="L422" s="26" t="str">
        <f t="shared" si="52"/>
        <v/>
      </c>
      <c r="P422" t="e">
        <f t="shared" si="53"/>
        <v>#N/A</v>
      </c>
      <c r="Q422" t="e">
        <f t="shared" si="54"/>
        <v>#N/A</v>
      </c>
    </row>
    <row r="423" spans="1:17">
      <c r="A423" s="28"/>
      <c r="B423" s="28"/>
      <c r="C423" s="28"/>
      <c r="D423" s="28"/>
      <c r="E423" s="28"/>
      <c r="F423" s="28"/>
      <c r="G423" s="26" t="str">
        <f t="shared" si="48"/>
        <v/>
      </c>
      <c r="H423" s="26" t="str">
        <f t="shared" si="55"/>
        <v/>
      </c>
      <c r="I423" s="26" t="str">
        <f t="shared" si="49"/>
        <v/>
      </c>
      <c r="J423" t="str">
        <f t="shared" si="50"/>
        <v/>
      </c>
      <c r="K423" s="26" t="str">
        <f t="shared" si="51"/>
        <v/>
      </c>
      <c r="L423" s="26" t="str">
        <f t="shared" si="52"/>
        <v/>
      </c>
      <c r="P423" t="e">
        <f t="shared" si="53"/>
        <v>#N/A</v>
      </c>
      <c r="Q423" t="e">
        <f t="shared" si="54"/>
        <v>#N/A</v>
      </c>
    </row>
    <row r="424" spans="1:17">
      <c r="A424" s="28"/>
      <c r="B424" s="28"/>
      <c r="C424" s="28"/>
      <c r="D424" s="28"/>
      <c r="E424" s="28"/>
      <c r="F424" s="28"/>
      <c r="G424" s="26" t="str">
        <f t="shared" si="48"/>
        <v/>
      </c>
      <c r="H424" s="26" t="str">
        <f t="shared" si="55"/>
        <v/>
      </c>
      <c r="I424" s="26" t="str">
        <f t="shared" si="49"/>
        <v/>
      </c>
      <c r="J424" t="str">
        <f t="shared" si="50"/>
        <v/>
      </c>
      <c r="K424" s="26" t="str">
        <f t="shared" si="51"/>
        <v/>
      </c>
      <c r="L424" s="26" t="str">
        <f t="shared" si="52"/>
        <v/>
      </c>
      <c r="P424" t="e">
        <f t="shared" si="53"/>
        <v>#N/A</v>
      </c>
      <c r="Q424" t="e">
        <f t="shared" si="54"/>
        <v>#N/A</v>
      </c>
    </row>
    <row r="425" spans="1:17">
      <c r="A425" s="28"/>
      <c r="B425" s="28"/>
      <c r="C425" s="28"/>
      <c r="D425" s="28"/>
      <c r="E425" s="28"/>
      <c r="F425" s="28"/>
      <c r="G425" s="26" t="str">
        <f t="shared" si="48"/>
        <v/>
      </c>
      <c r="H425" s="26" t="str">
        <f t="shared" si="55"/>
        <v/>
      </c>
      <c r="I425" s="26" t="str">
        <f t="shared" si="49"/>
        <v/>
      </c>
      <c r="J425" t="str">
        <f t="shared" si="50"/>
        <v/>
      </c>
      <c r="K425" s="26" t="str">
        <f t="shared" si="51"/>
        <v/>
      </c>
      <c r="L425" s="26" t="str">
        <f t="shared" si="52"/>
        <v/>
      </c>
      <c r="P425" t="e">
        <f t="shared" si="53"/>
        <v>#N/A</v>
      </c>
      <c r="Q425" t="e">
        <f t="shared" si="54"/>
        <v>#N/A</v>
      </c>
    </row>
    <row r="426" spans="1:17">
      <c r="A426" s="28"/>
      <c r="B426" s="28"/>
      <c r="C426" s="28"/>
      <c r="D426" s="28"/>
      <c r="E426" s="28"/>
      <c r="F426" s="28"/>
      <c r="G426" s="26" t="str">
        <f t="shared" si="48"/>
        <v/>
      </c>
      <c r="H426" s="26" t="str">
        <f t="shared" si="55"/>
        <v/>
      </c>
      <c r="I426" s="26" t="str">
        <f t="shared" si="49"/>
        <v/>
      </c>
      <c r="J426" t="str">
        <f t="shared" si="50"/>
        <v/>
      </c>
      <c r="K426" s="26" t="str">
        <f t="shared" si="51"/>
        <v/>
      </c>
      <c r="L426" s="26" t="str">
        <f t="shared" si="52"/>
        <v/>
      </c>
      <c r="P426" t="e">
        <f t="shared" si="53"/>
        <v>#N/A</v>
      </c>
      <c r="Q426" t="e">
        <f t="shared" si="54"/>
        <v>#N/A</v>
      </c>
    </row>
    <row r="427" spans="1:17">
      <c r="A427" s="28"/>
      <c r="B427" s="28"/>
      <c r="C427" s="28"/>
      <c r="D427" s="28"/>
      <c r="E427" s="28"/>
      <c r="F427" s="28"/>
      <c r="G427" s="26" t="str">
        <f t="shared" si="48"/>
        <v/>
      </c>
      <c r="H427" s="26" t="str">
        <f t="shared" si="55"/>
        <v/>
      </c>
      <c r="I427" s="26" t="str">
        <f t="shared" si="49"/>
        <v/>
      </c>
      <c r="J427" t="str">
        <f t="shared" si="50"/>
        <v/>
      </c>
      <c r="K427" s="26" t="str">
        <f t="shared" si="51"/>
        <v/>
      </c>
      <c r="L427" s="26" t="str">
        <f t="shared" si="52"/>
        <v/>
      </c>
      <c r="P427" t="e">
        <f t="shared" si="53"/>
        <v>#N/A</v>
      </c>
      <c r="Q427" t="e">
        <f t="shared" si="54"/>
        <v>#N/A</v>
      </c>
    </row>
    <row r="428" spans="1:17">
      <c r="A428" s="28"/>
      <c r="B428" s="28"/>
      <c r="C428" s="28"/>
      <c r="D428" s="28"/>
      <c r="E428" s="28"/>
      <c r="F428" s="28"/>
      <c r="G428" s="26" t="str">
        <f t="shared" si="48"/>
        <v/>
      </c>
      <c r="H428" s="26" t="str">
        <f t="shared" si="55"/>
        <v/>
      </c>
      <c r="I428" s="26" t="str">
        <f t="shared" si="49"/>
        <v/>
      </c>
      <c r="J428" t="str">
        <f t="shared" si="50"/>
        <v/>
      </c>
      <c r="K428" s="26" t="str">
        <f t="shared" si="51"/>
        <v/>
      </c>
      <c r="L428" s="26" t="str">
        <f t="shared" si="52"/>
        <v/>
      </c>
      <c r="P428" t="e">
        <f t="shared" si="53"/>
        <v>#N/A</v>
      </c>
      <c r="Q428" t="e">
        <f t="shared" si="54"/>
        <v>#N/A</v>
      </c>
    </row>
    <row r="429" spans="1:17">
      <c r="A429" s="28"/>
      <c r="B429" s="28"/>
      <c r="C429" s="28"/>
      <c r="D429" s="28"/>
      <c r="E429" s="28"/>
      <c r="F429" s="28"/>
      <c r="G429" s="26" t="str">
        <f t="shared" si="48"/>
        <v/>
      </c>
      <c r="H429" s="26" t="str">
        <f t="shared" si="55"/>
        <v/>
      </c>
      <c r="I429" s="26" t="str">
        <f t="shared" si="49"/>
        <v/>
      </c>
      <c r="J429" t="str">
        <f t="shared" si="50"/>
        <v/>
      </c>
      <c r="K429" s="26" t="str">
        <f t="shared" si="51"/>
        <v/>
      </c>
      <c r="L429" s="26" t="str">
        <f t="shared" si="52"/>
        <v/>
      </c>
      <c r="P429" t="e">
        <f t="shared" si="53"/>
        <v>#N/A</v>
      </c>
      <c r="Q429" t="e">
        <f t="shared" si="54"/>
        <v>#N/A</v>
      </c>
    </row>
    <row r="430" spans="1:17">
      <c r="A430" s="28"/>
      <c r="B430" s="28"/>
      <c r="C430" s="28"/>
      <c r="D430" s="28"/>
      <c r="E430" s="28"/>
      <c r="F430" s="28"/>
      <c r="G430" s="26" t="str">
        <f t="shared" si="48"/>
        <v/>
      </c>
      <c r="H430" s="26" t="str">
        <f t="shared" si="55"/>
        <v/>
      </c>
      <c r="I430" s="26" t="str">
        <f t="shared" si="49"/>
        <v/>
      </c>
      <c r="J430" t="str">
        <f t="shared" si="50"/>
        <v/>
      </c>
      <c r="K430" s="26" t="str">
        <f t="shared" si="51"/>
        <v/>
      </c>
      <c r="L430" s="26" t="str">
        <f t="shared" si="52"/>
        <v/>
      </c>
      <c r="P430" t="e">
        <f t="shared" si="53"/>
        <v>#N/A</v>
      </c>
      <c r="Q430" t="e">
        <f t="shared" si="54"/>
        <v>#N/A</v>
      </c>
    </row>
    <row r="431" spans="1:17">
      <c r="A431" s="28"/>
      <c r="B431" s="28"/>
      <c r="C431" s="28"/>
      <c r="D431" s="28"/>
      <c r="E431" s="28"/>
      <c r="F431" s="28"/>
      <c r="G431" s="26" t="str">
        <f t="shared" si="48"/>
        <v/>
      </c>
      <c r="H431" s="26" t="str">
        <f t="shared" si="55"/>
        <v/>
      </c>
      <c r="I431" s="26" t="str">
        <f t="shared" si="49"/>
        <v/>
      </c>
      <c r="J431" t="str">
        <f t="shared" si="50"/>
        <v/>
      </c>
      <c r="K431" s="26" t="str">
        <f t="shared" si="51"/>
        <v/>
      </c>
      <c r="L431" s="26" t="str">
        <f t="shared" si="52"/>
        <v/>
      </c>
      <c r="P431" t="e">
        <f t="shared" si="53"/>
        <v>#N/A</v>
      </c>
      <c r="Q431" t="e">
        <f t="shared" si="54"/>
        <v>#N/A</v>
      </c>
    </row>
    <row r="432" spans="1:17">
      <c r="A432" s="28"/>
      <c r="B432" s="28"/>
      <c r="C432" s="28"/>
      <c r="D432" s="28"/>
      <c r="E432" s="28"/>
      <c r="F432" s="28"/>
      <c r="G432" s="26" t="str">
        <f t="shared" si="48"/>
        <v/>
      </c>
      <c r="H432" s="26" t="str">
        <f t="shared" si="55"/>
        <v/>
      </c>
      <c r="I432" s="26" t="str">
        <f t="shared" si="49"/>
        <v/>
      </c>
      <c r="J432" t="str">
        <f t="shared" si="50"/>
        <v/>
      </c>
      <c r="K432" s="26" t="str">
        <f t="shared" si="51"/>
        <v/>
      </c>
      <c r="L432" s="26" t="str">
        <f t="shared" si="52"/>
        <v/>
      </c>
      <c r="P432" t="e">
        <f t="shared" si="53"/>
        <v>#N/A</v>
      </c>
      <c r="Q432" t="e">
        <f t="shared" si="54"/>
        <v>#N/A</v>
      </c>
    </row>
    <row r="433" spans="1:17">
      <c r="A433" s="28"/>
      <c r="B433" s="28"/>
      <c r="C433" s="28"/>
      <c r="D433" s="28"/>
      <c r="E433" s="28"/>
      <c r="F433" s="28"/>
      <c r="G433" s="26" t="str">
        <f t="shared" si="48"/>
        <v/>
      </c>
      <c r="H433" s="26" t="str">
        <f t="shared" si="55"/>
        <v/>
      </c>
      <c r="I433" s="26" t="str">
        <f t="shared" si="49"/>
        <v/>
      </c>
      <c r="J433" t="str">
        <f t="shared" si="50"/>
        <v/>
      </c>
      <c r="K433" s="26" t="str">
        <f t="shared" si="51"/>
        <v/>
      </c>
      <c r="L433" s="26" t="str">
        <f t="shared" si="52"/>
        <v/>
      </c>
      <c r="P433" t="e">
        <f t="shared" si="53"/>
        <v>#N/A</v>
      </c>
      <c r="Q433" t="e">
        <f t="shared" si="54"/>
        <v>#N/A</v>
      </c>
    </row>
    <row r="434" spans="1:17">
      <c r="A434" s="28"/>
      <c r="B434" s="28"/>
      <c r="C434" s="28"/>
      <c r="D434" s="28"/>
      <c r="E434" s="28"/>
      <c r="F434" s="28"/>
      <c r="G434" s="26" t="str">
        <f t="shared" si="48"/>
        <v/>
      </c>
      <c r="H434" s="26" t="str">
        <f t="shared" si="55"/>
        <v/>
      </c>
      <c r="I434" s="26" t="str">
        <f t="shared" si="49"/>
        <v/>
      </c>
      <c r="J434" t="str">
        <f t="shared" si="50"/>
        <v/>
      </c>
      <c r="K434" s="26" t="str">
        <f t="shared" si="51"/>
        <v/>
      </c>
      <c r="L434" s="26" t="str">
        <f t="shared" si="52"/>
        <v/>
      </c>
      <c r="P434" t="e">
        <f t="shared" si="53"/>
        <v>#N/A</v>
      </c>
      <c r="Q434" t="e">
        <f t="shared" si="54"/>
        <v>#N/A</v>
      </c>
    </row>
    <row r="435" spans="1:17">
      <c r="A435" s="28"/>
      <c r="B435" s="28"/>
      <c r="C435" s="28"/>
      <c r="D435" s="28"/>
      <c r="E435" s="28"/>
      <c r="F435" s="28"/>
      <c r="G435" s="26" t="str">
        <f t="shared" si="48"/>
        <v/>
      </c>
      <c r="H435" s="26" t="str">
        <f t="shared" si="55"/>
        <v/>
      </c>
      <c r="I435" s="26" t="str">
        <f t="shared" si="49"/>
        <v/>
      </c>
      <c r="J435" t="str">
        <f t="shared" si="50"/>
        <v/>
      </c>
      <c r="K435" s="26" t="str">
        <f t="shared" si="51"/>
        <v/>
      </c>
      <c r="L435" s="26" t="str">
        <f t="shared" si="52"/>
        <v/>
      </c>
      <c r="P435" t="e">
        <f t="shared" si="53"/>
        <v>#N/A</v>
      </c>
      <c r="Q435" t="e">
        <f t="shared" si="54"/>
        <v>#N/A</v>
      </c>
    </row>
    <row r="436" spans="1:17">
      <c r="A436" s="28"/>
      <c r="B436" s="28"/>
      <c r="C436" s="28"/>
      <c r="D436" s="28"/>
      <c r="E436" s="28"/>
      <c r="F436" s="28"/>
      <c r="G436" s="26" t="str">
        <f t="shared" si="48"/>
        <v/>
      </c>
      <c r="H436" s="26" t="str">
        <f t="shared" si="55"/>
        <v/>
      </c>
      <c r="I436" s="26" t="str">
        <f t="shared" si="49"/>
        <v/>
      </c>
      <c r="J436" t="str">
        <f t="shared" si="50"/>
        <v/>
      </c>
      <c r="K436" s="26" t="str">
        <f t="shared" si="51"/>
        <v/>
      </c>
      <c r="L436" s="26" t="str">
        <f t="shared" si="52"/>
        <v/>
      </c>
      <c r="P436" t="e">
        <f t="shared" si="53"/>
        <v>#N/A</v>
      </c>
      <c r="Q436" t="e">
        <f t="shared" si="54"/>
        <v>#N/A</v>
      </c>
    </row>
    <row r="437" spans="1:17">
      <c r="A437" s="28"/>
      <c r="B437" s="28"/>
      <c r="C437" s="28"/>
      <c r="D437" s="28"/>
      <c r="E437" s="28"/>
      <c r="F437" s="28"/>
      <c r="G437" s="26" t="str">
        <f t="shared" si="48"/>
        <v/>
      </c>
      <c r="H437" s="26" t="str">
        <f t="shared" si="55"/>
        <v/>
      </c>
      <c r="I437" s="26" t="str">
        <f t="shared" si="49"/>
        <v/>
      </c>
      <c r="J437" t="str">
        <f t="shared" si="50"/>
        <v/>
      </c>
      <c r="K437" s="26" t="str">
        <f t="shared" si="51"/>
        <v/>
      </c>
      <c r="L437" s="26" t="str">
        <f t="shared" si="52"/>
        <v/>
      </c>
      <c r="P437" t="e">
        <f t="shared" si="53"/>
        <v>#N/A</v>
      </c>
      <c r="Q437" t="e">
        <f t="shared" si="54"/>
        <v>#N/A</v>
      </c>
    </row>
    <row r="438" spans="1:17">
      <c r="A438" s="28"/>
      <c r="B438" s="28"/>
      <c r="C438" s="28"/>
      <c r="D438" s="28"/>
      <c r="E438" s="28"/>
      <c r="F438" s="28"/>
      <c r="G438" s="26" t="str">
        <f t="shared" si="48"/>
        <v/>
      </c>
      <c r="H438" s="26" t="str">
        <f t="shared" si="55"/>
        <v/>
      </c>
      <c r="I438" s="26" t="str">
        <f t="shared" si="49"/>
        <v/>
      </c>
      <c r="J438" t="str">
        <f t="shared" si="50"/>
        <v/>
      </c>
      <c r="K438" s="26" t="str">
        <f t="shared" si="51"/>
        <v/>
      </c>
      <c r="L438" s="26" t="str">
        <f t="shared" si="52"/>
        <v/>
      </c>
      <c r="P438" t="e">
        <f t="shared" si="53"/>
        <v>#N/A</v>
      </c>
      <c r="Q438" t="e">
        <f t="shared" si="54"/>
        <v>#N/A</v>
      </c>
    </row>
    <row r="439" spans="1:17">
      <c r="A439" s="28"/>
      <c r="B439" s="28"/>
      <c r="C439" s="28"/>
      <c r="D439" s="28"/>
      <c r="E439" s="28"/>
      <c r="F439" s="28"/>
      <c r="G439" s="26" t="str">
        <f t="shared" si="48"/>
        <v/>
      </c>
      <c r="H439" s="26" t="str">
        <f t="shared" si="55"/>
        <v/>
      </c>
      <c r="I439" s="26" t="str">
        <f t="shared" si="49"/>
        <v/>
      </c>
      <c r="J439" t="str">
        <f t="shared" si="50"/>
        <v/>
      </c>
      <c r="K439" s="26" t="str">
        <f t="shared" si="51"/>
        <v/>
      </c>
      <c r="L439" s="26" t="str">
        <f t="shared" si="52"/>
        <v/>
      </c>
      <c r="P439" t="e">
        <f t="shared" si="53"/>
        <v>#N/A</v>
      </c>
      <c r="Q439" t="e">
        <f t="shared" si="54"/>
        <v>#N/A</v>
      </c>
    </row>
    <row r="440" spans="1:17">
      <c r="A440" s="28"/>
      <c r="B440" s="28"/>
      <c r="C440" s="28"/>
      <c r="D440" s="28"/>
      <c r="E440" s="28"/>
      <c r="F440" s="28"/>
      <c r="G440" s="26" t="str">
        <f t="shared" si="48"/>
        <v/>
      </c>
      <c r="H440" s="26" t="str">
        <f t="shared" si="55"/>
        <v/>
      </c>
      <c r="I440" s="26" t="str">
        <f t="shared" si="49"/>
        <v/>
      </c>
      <c r="J440" t="str">
        <f t="shared" si="50"/>
        <v/>
      </c>
      <c r="K440" s="26" t="str">
        <f t="shared" si="51"/>
        <v/>
      </c>
      <c r="L440" s="26" t="str">
        <f t="shared" si="52"/>
        <v/>
      </c>
      <c r="P440" t="e">
        <f t="shared" si="53"/>
        <v>#N/A</v>
      </c>
      <c r="Q440" t="e">
        <f t="shared" si="54"/>
        <v>#N/A</v>
      </c>
    </row>
    <row r="441" spans="1:17">
      <c r="A441" s="28"/>
      <c r="B441" s="28"/>
      <c r="C441" s="28"/>
      <c r="D441" s="28"/>
      <c r="E441" s="28"/>
      <c r="F441" s="28"/>
      <c r="G441" s="26" t="str">
        <f t="shared" si="48"/>
        <v/>
      </c>
      <c r="H441" s="26" t="str">
        <f t="shared" si="55"/>
        <v/>
      </c>
      <c r="I441" s="26" t="str">
        <f t="shared" si="49"/>
        <v/>
      </c>
      <c r="J441" t="str">
        <f t="shared" si="50"/>
        <v/>
      </c>
      <c r="K441" s="26" t="str">
        <f t="shared" si="51"/>
        <v/>
      </c>
      <c r="L441" s="26" t="str">
        <f t="shared" si="52"/>
        <v/>
      </c>
      <c r="P441" t="e">
        <f t="shared" si="53"/>
        <v>#N/A</v>
      </c>
      <c r="Q441" t="e">
        <f t="shared" si="54"/>
        <v>#N/A</v>
      </c>
    </row>
    <row r="442" spans="1:17">
      <c r="A442" s="28"/>
      <c r="B442" s="28"/>
      <c r="C442" s="28"/>
      <c r="D442" s="28"/>
      <c r="E442" s="28"/>
      <c r="F442" s="28"/>
      <c r="G442" s="26" t="str">
        <f t="shared" si="48"/>
        <v/>
      </c>
      <c r="H442" s="26" t="str">
        <f t="shared" si="55"/>
        <v/>
      </c>
      <c r="I442" s="26" t="str">
        <f t="shared" si="49"/>
        <v/>
      </c>
      <c r="J442" t="str">
        <f t="shared" si="50"/>
        <v/>
      </c>
      <c r="K442" s="26" t="str">
        <f t="shared" si="51"/>
        <v/>
      </c>
      <c r="L442" s="26" t="str">
        <f t="shared" si="52"/>
        <v/>
      </c>
      <c r="P442" t="e">
        <f t="shared" si="53"/>
        <v>#N/A</v>
      </c>
      <c r="Q442" t="e">
        <f t="shared" si="54"/>
        <v>#N/A</v>
      </c>
    </row>
    <row r="443" spans="1:17">
      <c r="A443" s="28"/>
      <c r="B443" s="28"/>
      <c r="C443" s="28"/>
      <c r="D443" s="28"/>
      <c r="E443" s="28"/>
      <c r="F443" s="28"/>
      <c r="G443" s="26" t="str">
        <f t="shared" si="48"/>
        <v/>
      </c>
      <c r="H443" s="26" t="str">
        <f t="shared" si="55"/>
        <v/>
      </c>
      <c r="I443" s="26" t="str">
        <f t="shared" si="49"/>
        <v/>
      </c>
      <c r="J443" t="str">
        <f t="shared" si="50"/>
        <v/>
      </c>
      <c r="K443" s="26" t="str">
        <f t="shared" si="51"/>
        <v/>
      </c>
      <c r="L443" s="26" t="str">
        <f t="shared" si="52"/>
        <v/>
      </c>
      <c r="P443" t="e">
        <f t="shared" si="53"/>
        <v>#N/A</v>
      </c>
      <c r="Q443" t="e">
        <f t="shared" si="54"/>
        <v>#N/A</v>
      </c>
    </row>
    <row r="444" spans="1:17">
      <c r="A444" s="28"/>
      <c r="B444" s="28"/>
      <c r="C444" s="28"/>
      <c r="D444" s="28"/>
      <c r="E444" s="28"/>
      <c r="F444" s="28"/>
      <c r="G444" s="26" t="str">
        <f t="shared" si="48"/>
        <v/>
      </c>
      <c r="H444" s="26" t="str">
        <f t="shared" si="55"/>
        <v/>
      </c>
      <c r="I444" s="26" t="str">
        <f t="shared" si="49"/>
        <v/>
      </c>
      <c r="J444" t="str">
        <f t="shared" si="50"/>
        <v/>
      </c>
      <c r="K444" s="26" t="str">
        <f t="shared" si="51"/>
        <v/>
      </c>
      <c r="L444" s="26" t="str">
        <f t="shared" si="52"/>
        <v/>
      </c>
      <c r="P444" t="e">
        <f t="shared" si="53"/>
        <v>#N/A</v>
      </c>
      <c r="Q444" t="e">
        <f t="shared" si="54"/>
        <v>#N/A</v>
      </c>
    </row>
    <row r="445" spans="1:17">
      <c r="A445" s="28"/>
      <c r="B445" s="28"/>
      <c r="C445" s="28"/>
      <c r="D445" s="28"/>
      <c r="E445" s="28"/>
      <c r="F445" s="28"/>
      <c r="G445" s="26" t="str">
        <f t="shared" si="48"/>
        <v/>
      </c>
      <c r="H445" s="26" t="str">
        <f t="shared" si="55"/>
        <v/>
      </c>
      <c r="I445" s="26" t="str">
        <f t="shared" si="49"/>
        <v/>
      </c>
      <c r="J445" t="str">
        <f t="shared" si="50"/>
        <v/>
      </c>
      <c r="K445" s="26" t="str">
        <f t="shared" si="51"/>
        <v/>
      </c>
      <c r="L445" s="26" t="str">
        <f t="shared" si="52"/>
        <v/>
      </c>
      <c r="P445" t="e">
        <f t="shared" si="53"/>
        <v>#N/A</v>
      </c>
      <c r="Q445" t="e">
        <f t="shared" si="54"/>
        <v>#N/A</v>
      </c>
    </row>
    <row r="446" spans="1:17">
      <c r="A446" s="28"/>
      <c r="B446" s="28"/>
      <c r="C446" s="28"/>
      <c r="D446" s="28"/>
      <c r="E446" s="28"/>
      <c r="F446" s="28"/>
      <c r="G446" s="26" t="str">
        <f t="shared" si="48"/>
        <v/>
      </c>
      <c r="H446" s="26" t="str">
        <f t="shared" si="55"/>
        <v/>
      </c>
      <c r="I446" s="26" t="str">
        <f t="shared" si="49"/>
        <v/>
      </c>
      <c r="J446" t="str">
        <f t="shared" si="50"/>
        <v/>
      </c>
      <c r="K446" s="26" t="str">
        <f t="shared" si="51"/>
        <v/>
      </c>
      <c r="L446" s="26" t="str">
        <f t="shared" si="52"/>
        <v/>
      </c>
      <c r="P446" t="e">
        <f t="shared" si="53"/>
        <v>#N/A</v>
      </c>
      <c r="Q446" t="e">
        <f t="shared" si="54"/>
        <v>#N/A</v>
      </c>
    </row>
    <row r="447" spans="1:17">
      <c r="A447" s="28"/>
      <c r="B447" s="28"/>
      <c r="C447" s="28"/>
      <c r="D447" s="28"/>
      <c r="E447" s="28"/>
      <c r="F447" s="28"/>
      <c r="G447" s="26" t="str">
        <f t="shared" si="48"/>
        <v/>
      </c>
      <c r="H447" s="26" t="str">
        <f t="shared" si="55"/>
        <v/>
      </c>
      <c r="I447" s="26" t="str">
        <f t="shared" si="49"/>
        <v/>
      </c>
      <c r="J447" t="str">
        <f t="shared" si="50"/>
        <v/>
      </c>
      <c r="K447" s="26" t="str">
        <f t="shared" si="51"/>
        <v/>
      </c>
      <c r="L447" s="26" t="str">
        <f t="shared" si="52"/>
        <v/>
      </c>
      <c r="P447" t="e">
        <f t="shared" si="53"/>
        <v>#N/A</v>
      </c>
      <c r="Q447" t="e">
        <f t="shared" si="54"/>
        <v>#N/A</v>
      </c>
    </row>
    <row r="448" spans="1:17">
      <c r="A448" s="28"/>
      <c r="B448" s="28"/>
      <c r="C448" s="28"/>
      <c r="D448" s="28"/>
      <c r="E448" s="28"/>
      <c r="F448" s="28"/>
      <c r="G448" s="26" t="str">
        <f t="shared" si="48"/>
        <v/>
      </c>
      <c r="H448" s="26" t="str">
        <f t="shared" si="55"/>
        <v/>
      </c>
      <c r="I448" s="26" t="str">
        <f t="shared" si="49"/>
        <v/>
      </c>
      <c r="J448" t="str">
        <f t="shared" si="50"/>
        <v/>
      </c>
      <c r="K448" s="26" t="str">
        <f t="shared" si="51"/>
        <v/>
      </c>
      <c r="L448" s="26" t="str">
        <f t="shared" si="52"/>
        <v/>
      </c>
      <c r="P448" t="e">
        <f t="shared" si="53"/>
        <v>#N/A</v>
      </c>
      <c r="Q448" t="e">
        <f t="shared" si="54"/>
        <v>#N/A</v>
      </c>
    </row>
    <row r="449" spans="1:17">
      <c r="A449" s="28"/>
      <c r="B449" s="28"/>
      <c r="C449" s="28"/>
      <c r="D449" s="28"/>
      <c r="E449" s="28"/>
      <c r="F449" s="28"/>
      <c r="G449" s="26" t="str">
        <f t="shared" si="48"/>
        <v/>
      </c>
      <c r="H449" s="26" t="str">
        <f t="shared" si="55"/>
        <v/>
      </c>
      <c r="I449" s="26" t="str">
        <f t="shared" si="49"/>
        <v/>
      </c>
      <c r="J449" t="str">
        <f t="shared" si="50"/>
        <v/>
      </c>
      <c r="K449" s="26" t="str">
        <f t="shared" si="51"/>
        <v/>
      </c>
      <c r="L449" s="26" t="str">
        <f t="shared" si="52"/>
        <v/>
      </c>
      <c r="P449" t="e">
        <f t="shared" si="53"/>
        <v>#N/A</v>
      </c>
      <c r="Q449" t="e">
        <f t="shared" si="54"/>
        <v>#N/A</v>
      </c>
    </row>
    <row r="450" spans="1:17">
      <c r="A450" s="28"/>
      <c r="B450" s="28"/>
      <c r="C450" s="28"/>
      <c r="D450" s="28"/>
      <c r="E450" s="28"/>
      <c r="F450" s="28"/>
      <c r="G450" s="26" t="str">
        <f t="shared" ref="G450:G513" si="56">IF(B450="","",243.04*(LN(C450/100)+17.625*B450/(243.04+B450))/(17.625-LN(C450/100)-17.625*B450/(243.04+B450)))</f>
        <v/>
      </c>
      <c r="H450" s="26" t="str">
        <f t="shared" si="55"/>
        <v/>
      </c>
      <c r="I450" s="26" t="str">
        <f t="shared" ref="I450:I513" si="57">IF(B450="","",B450-E450)</f>
        <v/>
      </c>
      <c r="J450" t="str">
        <f t="shared" ref="J450:J513" si="58">IF(H450="","",IF(H450&gt;0.6,"Heating",IF(H450&lt;-0.2,"Cooling","Steady")))</f>
        <v/>
      </c>
      <c r="K450" s="26" t="str">
        <f t="shared" ref="K450:K513" si="59">IF(J450="Cooling",I450,"")</f>
        <v/>
      </c>
      <c r="L450" s="26" t="str">
        <f t="shared" ref="L450:L513" si="60">IF(J450="Cooling",H450,"")</f>
        <v/>
      </c>
      <c r="P450" t="e">
        <f t="shared" ref="P450:P513" si="61">IF(K450="",NA(),K450)</f>
        <v>#N/A</v>
      </c>
      <c r="Q450" t="e">
        <f t="shared" ref="Q450:Q513" si="62">IF(L450="",NA(),L450)</f>
        <v>#N/A</v>
      </c>
    </row>
    <row r="451" spans="1:17">
      <c r="A451" s="28"/>
      <c r="B451" s="28"/>
      <c r="C451" s="28"/>
      <c r="D451" s="28"/>
      <c r="E451" s="28"/>
      <c r="F451" s="28"/>
      <c r="G451" s="26" t="str">
        <f t="shared" si="56"/>
        <v/>
      </c>
      <c r="H451" s="26" t="str">
        <f t="shared" si="55"/>
        <v/>
      </c>
      <c r="I451" s="26" t="str">
        <f t="shared" si="57"/>
        <v/>
      </c>
      <c r="J451" t="str">
        <f t="shared" si="58"/>
        <v/>
      </c>
      <c r="K451" s="26" t="str">
        <f t="shared" si="59"/>
        <v/>
      </c>
      <c r="L451" s="26" t="str">
        <f t="shared" si="60"/>
        <v/>
      </c>
      <c r="P451" t="e">
        <f t="shared" si="61"/>
        <v>#N/A</v>
      </c>
      <c r="Q451" t="e">
        <f t="shared" si="62"/>
        <v>#N/A</v>
      </c>
    </row>
    <row r="452" spans="1:17">
      <c r="A452" s="28"/>
      <c r="B452" s="28"/>
      <c r="C452" s="28"/>
      <c r="D452" s="28"/>
      <c r="E452" s="28"/>
      <c r="F452" s="28"/>
      <c r="G452" s="26" t="str">
        <f t="shared" si="56"/>
        <v/>
      </c>
      <c r="H452" s="26" t="str">
        <f t="shared" ref="H452:H515" si="63">IFERROR(IF(OR(B450="",B454=""),"",(B454-B450)/4*60),"")</f>
        <v/>
      </c>
      <c r="I452" s="26" t="str">
        <f t="shared" si="57"/>
        <v/>
      </c>
      <c r="J452" t="str">
        <f t="shared" si="58"/>
        <v/>
      </c>
      <c r="K452" s="26" t="str">
        <f t="shared" si="59"/>
        <v/>
      </c>
      <c r="L452" s="26" t="str">
        <f t="shared" si="60"/>
        <v/>
      </c>
      <c r="P452" t="e">
        <f t="shared" si="61"/>
        <v>#N/A</v>
      </c>
      <c r="Q452" t="e">
        <f t="shared" si="62"/>
        <v>#N/A</v>
      </c>
    </row>
    <row r="453" spans="1:17">
      <c r="A453" s="28"/>
      <c r="B453" s="28"/>
      <c r="C453" s="28"/>
      <c r="D453" s="28"/>
      <c r="E453" s="28"/>
      <c r="F453" s="28"/>
      <c r="G453" s="26" t="str">
        <f t="shared" si="56"/>
        <v/>
      </c>
      <c r="H453" s="26" t="str">
        <f t="shared" si="63"/>
        <v/>
      </c>
      <c r="I453" s="26" t="str">
        <f t="shared" si="57"/>
        <v/>
      </c>
      <c r="J453" t="str">
        <f t="shared" si="58"/>
        <v/>
      </c>
      <c r="K453" s="26" t="str">
        <f t="shared" si="59"/>
        <v/>
      </c>
      <c r="L453" s="26" t="str">
        <f t="shared" si="60"/>
        <v/>
      </c>
      <c r="P453" t="e">
        <f t="shared" si="61"/>
        <v>#N/A</v>
      </c>
      <c r="Q453" t="e">
        <f t="shared" si="62"/>
        <v>#N/A</v>
      </c>
    </row>
    <row r="454" spans="1:17">
      <c r="A454" s="28"/>
      <c r="B454" s="28"/>
      <c r="C454" s="28"/>
      <c r="D454" s="28"/>
      <c r="E454" s="28"/>
      <c r="F454" s="28"/>
      <c r="G454" s="26" t="str">
        <f t="shared" si="56"/>
        <v/>
      </c>
      <c r="H454" s="26" t="str">
        <f t="shared" si="63"/>
        <v/>
      </c>
      <c r="I454" s="26" t="str">
        <f t="shared" si="57"/>
        <v/>
      </c>
      <c r="J454" t="str">
        <f t="shared" si="58"/>
        <v/>
      </c>
      <c r="K454" s="26" t="str">
        <f t="shared" si="59"/>
        <v/>
      </c>
      <c r="L454" s="26" t="str">
        <f t="shared" si="60"/>
        <v/>
      </c>
      <c r="P454" t="e">
        <f t="shared" si="61"/>
        <v>#N/A</v>
      </c>
      <c r="Q454" t="e">
        <f t="shared" si="62"/>
        <v>#N/A</v>
      </c>
    </row>
    <row r="455" spans="1:17">
      <c r="A455" s="28"/>
      <c r="B455" s="28"/>
      <c r="C455" s="28"/>
      <c r="D455" s="28"/>
      <c r="E455" s="28"/>
      <c r="F455" s="28"/>
      <c r="G455" s="26" t="str">
        <f t="shared" si="56"/>
        <v/>
      </c>
      <c r="H455" s="26" t="str">
        <f t="shared" si="63"/>
        <v/>
      </c>
      <c r="I455" s="26" t="str">
        <f t="shared" si="57"/>
        <v/>
      </c>
      <c r="J455" t="str">
        <f t="shared" si="58"/>
        <v/>
      </c>
      <c r="K455" s="26" t="str">
        <f t="shared" si="59"/>
        <v/>
      </c>
      <c r="L455" s="26" t="str">
        <f t="shared" si="60"/>
        <v/>
      </c>
      <c r="P455" t="e">
        <f t="shared" si="61"/>
        <v>#N/A</v>
      </c>
      <c r="Q455" t="e">
        <f t="shared" si="62"/>
        <v>#N/A</v>
      </c>
    </row>
    <row r="456" spans="1:17">
      <c r="A456" s="28"/>
      <c r="B456" s="28"/>
      <c r="C456" s="28"/>
      <c r="D456" s="28"/>
      <c r="E456" s="28"/>
      <c r="F456" s="28"/>
      <c r="G456" s="26" t="str">
        <f t="shared" si="56"/>
        <v/>
      </c>
      <c r="H456" s="26" t="str">
        <f t="shared" si="63"/>
        <v/>
      </c>
      <c r="I456" s="26" t="str">
        <f t="shared" si="57"/>
        <v/>
      </c>
      <c r="J456" t="str">
        <f t="shared" si="58"/>
        <v/>
      </c>
      <c r="K456" s="26" t="str">
        <f t="shared" si="59"/>
        <v/>
      </c>
      <c r="L456" s="26" t="str">
        <f t="shared" si="60"/>
        <v/>
      </c>
      <c r="P456" t="e">
        <f t="shared" si="61"/>
        <v>#N/A</v>
      </c>
      <c r="Q456" t="e">
        <f t="shared" si="62"/>
        <v>#N/A</v>
      </c>
    </row>
    <row r="457" spans="1:17">
      <c r="A457" s="28"/>
      <c r="B457" s="28"/>
      <c r="C457" s="28"/>
      <c r="D457" s="28"/>
      <c r="E457" s="28"/>
      <c r="F457" s="28"/>
      <c r="G457" s="26" t="str">
        <f t="shared" si="56"/>
        <v/>
      </c>
      <c r="H457" s="26" t="str">
        <f t="shared" si="63"/>
        <v/>
      </c>
      <c r="I457" s="26" t="str">
        <f t="shared" si="57"/>
        <v/>
      </c>
      <c r="J457" t="str">
        <f t="shared" si="58"/>
        <v/>
      </c>
      <c r="K457" s="26" t="str">
        <f t="shared" si="59"/>
        <v/>
      </c>
      <c r="L457" s="26" t="str">
        <f t="shared" si="60"/>
        <v/>
      </c>
      <c r="P457" t="e">
        <f t="shared" si="61"/>
        <v>#N/A</v>
      </c>
      <c r="Q457" t="e">
        <f t="shared" si="62"/>
        <v>#N/A</v>
      </c>
    </row>
    <row r="458" spans="1:17">
      <c r="A458" s="28"/>
      <c r="B458" s="28"/>
      <c r="C458" s="28"/>
      <c r="D458" s="28"/>
      <c r="E458" s="28"/>
      <c r="F458" s="28"/>
      <c r="G458" s="26" t="str">
        <f t="shared" si="56"/>
        <v/>
      </c>
      <c r="H458" s="26" t="str">
        <f t="shared" si="63"/>
        <v/>
      </c>
      <c r="I458" s="26" t="str">
        <f t="shared" si="57"/>
        <v/>
      </c>
      <c r="J458" t="str">
        <f t="shared" si="58"/>
        <v/>
      </c>
      <c r="K458" s="26" t="str">
        <f t="shared" si="59"/>
        <v/>
      </c>
      <c r="L458" s="26" t="str">
        <f t="shared" si="60"/>
        <v/>
      </c>
      <c r="P458" t="e">
        <f t="shared" si="61"/>
        <v>#N/A</v>
      </c>
      <c r="Q458" t="e">
        <f t="shared" si="62"/>
        <v>#N/A</v>
      </c>
    </row>
    <row r="459" spans="1:17">
      <c r="A459" s="28"/>
      <c r="B459" s="28"/>
      <c r="C459" s="28"/>
      <c r="D459" s="28"/>
      <c r="E459" s="28"/>
      <c r="F459" s="28"/>
      <c r="G459" s="26" t="str">
        <f t="shared" si="56"/>
        <v/>
      </c>
      <c r="H459" s="26" t="str">
        <f t="shared" si="63"/>
        <v/>
      </c>
      <c r="I459" s="26" t="str">
        <f t="shared" si="57"/>
        <v/>
      </c>
      <c r="J459" t="str">
        <f t="shared" si="58"/>
        <v/>
      </c>
      <c r="K459" s="26" t="str">
        <f t="shared" si="59"/>
        <v/>
      </c>
      <c r="L459" s="26" t="str">
        <f t="shared" si="60"/>
        <v/>
      </c>
      <c r="P459" t="e">
        <f t="shared" si="61"/>
        <v>#N/A</v>
      </c>
      <c r="Q459" t="e">
        <f t="shared" si="62"/>
        <v>#N/A</v>
      </c>
    </row>
    <row r="460" spans="1:17">
      <c r="A460" s="28"/>
      <c r="B460" s="28"/>
      <c r="C460" s="28"/>
      <c r="D460" s="28"/>
      <c r="E460" s="28"/>
      <c r="F460" s="28"/>
      <c r="G460" s="26" t="str">
        <f t="shared" si="56"/>
        <v/>
      </c>
      <c r="H460" s="26" t="str">
        <f t="shared" si="63"/>
        <v/>
      </c>
      <c r="I460" s="26" t="str">
        <f t="shared" si="57"/>
        <v/>
      </c>
      <c r="J460" t="str">
        <f t="shared" si="58"/>
        <v/>
      </c>
      <c r="K460" s="26" t="str">
        <f t="shared" si="59"/>
        <v/>
      </c>
      <c r="L460" s="26" t="str">
        <f t="shared" si="60"/>
        <v/>
      </c>
      <c r="P460" t="e">
        <f t="shared" si="61"/>
        <v>#N/A</v>
      </c>
      <c r="Q460" t="e">
        <f t="shared" si="62"/>
        <v>#N/A</v>
      </c>
    </row>
    <row r="461" spans="1:17">
      <c r="A461" s="28"/>
      <c r="B461" s="28"/>
      <c r="C461" s="28"/>
      <c r="D461" s="28"/>
      <c r="E461" s="28"/>
      <c r="F461" s="28"/>
      <c r="G461" s="26" t="str">
        <f t="shared" si="56"/>
        <v/>
      </c>
      <c r="H461" s="26" t="str">
        <f t="shared" si="63"/>
        <v/>
      </c>
      <c r="I461" s="26" t="str">
        <f t="shared" si="57"/>
        <v/>
      </c>
      <c r="J461" t="str">
        <f t="shared" si="58"/>
        <v/>
      </c>
      <c r="K461" s="26" t="str">
        <f t="shared" si="59"/>
        <v/>
      </c>
      <c r="L461" s="26" t="str">
        <f t="shared" si="60"/>
        <v/>
      </c>
      <c r="P461" t="e">
        <f t="shared" si="61"/>
        <v>#N/A</v>
      </c>
      <c r="Q461" t="e">
        <f t="shared" si="62"/>
        <v>#N/A</v>
      </c>
    </row>
    <row r="462" spans="1:17">
      <c r="A462" s="28"/>
      <c r="B462" s="28"/>
      <c r="C462" s="28"/>
      <c r="D462" s="28"/>
      <c r="E462" s="28"/>
      <c r="F462" s="28"/>
      <c r="G462" s="26" t="str">
        <f t="shared" si="56"/>
        <v/>
      </c>
      <c r="H462" s="26" t="str">
        <f t="shared" si="63"/>
        <v/>
      </c>
      <c r="I462" s="26" t="str">
        <f t="shared" si="57"/>
        <v/>
      </c>
      <c r="J462" t="str">
        <f t="shared" si="58"/>
        <v/>
      </c>
      <c r="K462" s="26" t="str">
        <f t="shared" si="59"/>
        <v/>
      </c>
      <c r="L462" s="26" t="str">
        <f t="shared" si="60"/>
        <v/>
      </c>
      <c r="P462" t="e">
        <f t="shared" si="61"/>
        <v>#N/A</v>
      </c>
      <c r="Q462" t="e">
        <f t="shared" si="62"/>
        <v>#N/A</v>
      </c>
    </row>
    <row r="463" spans="1:17">
      <c r="A463" s="28"/>
      <c r="B463" s="28"/>
      <c r="C463" s="28"/>
      <c r="D463" s="28"/>
      <c r="E463" s="28"/>
      <c r="F463" s="28"/>
      <c r="G463" s="26" t="str">
        <f t="shared" si="56"/>
        <v/>
      </c>
      <c r="H463" s="26" t="str">
        <f t="shared" si="63"/>
        <v/>
      </c>
      <c r="I463" s="26" t="str">
        <f t="shared" si="57"/>
        <v/>
      </c>
      <c r="J463" t="str">
        <f t="shared" si="58"/>
        <v/>
      </c>
      <c r="K463" s="26" t="str">
        <f t="shared" si="59"/>
        <v/>
      </c>
      <c r="L463" s="26" t="str">
        <f t="shared" si="60"/>
        <v/>
      </c>
      <c r="P463" t="e">
        <f t="shared" si="61"/>
        <v>#N/A</v>
      </c>
      <c r="Q463" t="e">
        <f t="shared" si="62"/>
        <v>#N/A</v>
      </c>
    </row>
    <row r="464" spans="1:17">
      <c r="A464" s="28"/>
      <c r="B464" s="28"/>
      <c r="C464" s="28"/>
      <c r="D464" s="28"/>
      <c r="E464" s="28"/>
      <c r="F464" s="28"/>
      <c r="G464" s="26" t="str">
        <f t="shared" si="56"/>
        <v/>
      </c>
      <c r="H464" s="26" t="str">
        <f t="shared" si="63"/>
        <v/>
      </c>
      <c r="I464" s="26" t="str">
        <f t="shared" si="57"/>
        <v/>
      </c>
      <c r="J464" t="str">
        <f t="shared" si="58"/>
        <v/>
      </c>
      <c r="K464" s="26" t="str">
        <f t="shared" si="59"/>
        <v/>
      </c>
      <c r="L464" s="26" t="str">
        <f t="shared" si="60"/>
        <v/>
      </c>
      <c r="P464" t="e">
        <f t="shared" si="61"/>
        <v>#N/A</v>
      </c>
      <c r="Q464" t="e">
        <f t="shared" si="62"/>
        <v>#N/A</v>
      </c>
    </row>
    <row r="465" spans="1:17">
      <c r="A465" s="28"/>
      <c r="B465" s="28"/>
      <c r="C465" s="28"/>
      <c r="D465" s="28"/>
      <c r="E465" s="28"/>
      <c r="F465" s="28"/>
      <c r="G465" s="26" t="str">
        <f t="shared" si="56"/>
        <v/>
      </c>
      <c r="H465" s="26" t="str">
        <f t="shared" si="63"/>
        <v/>
      </c>
      <c r="I465" s="26" t="str">
        <f t="shared" si="57"/>
        <v/>
      </c>
      <c r="J465" t="str">
        <f t="shared" si="58"/>
        <v/>
      </c>
      <c r="K465" s="26" t="str">
        <f t="shared" si="59"/>
        <v/>
      </c>
      <c r="L465" s="26" t="str">
        <f t="shared" si="60"/>
        <v/>
      </c>
      <c r="P465" t="e">
        <f t="shared" si="61"/>
        <v>#N/A</v>
      </c>
      <c r="Q465" t="e">
        <f t="shared" si="62"/>
        <v>#N/A</v>
      </c>
    </row>
    <row r="466" spans="1:17">
      <c r="A466" s="28"/>
      <c r="B466" s="28"/>
      <c r="C466" s="28"/>
      <c r="D466" s="28"/>
      <c r="E466" s="28"/>
      <c r="F466" s="28"/>
      <c r="G466" s="26" t="str">
        <f t="shared" si="56"/>
        <v/>
      </c>
      <c r="H466" s="26" t="str">
        <f t="shared" si="63"/>
        <v/>
      </c>
      <c r="I466" s="26" t="str">
        <f t="shared" si="57"/>
        <v/>
      </c>
      <c r="J466" t="str">
        <f t="shared" si="58"/>
        <v/>
      </c>
      <c r="K466" s="26" t="str">
        <f t="shared" si="59"/>
        <v/>
      </c>
      <c r="L466" s="26" t="str">
        <f t="shared" si="60"/>
        <v/>
      </c>
      <c r="P466" t="e">
        <f t="shared" si="61"/>
        <v>#N/A</v>
      </c>
      <c r="Q466" t="e">
        <f t="shared" si="62"/>
        <v>#N/A</v>
      </c>
    </row>
    <row r="467" spans="1:17">
      <c r="A467" s="28"/>
      <c r="B467" s="28"/>
      <c r="C467" s="28"/>
      <c r="D467" s="28"/>
      <c r="E467" s="28"/>
      <c r="F467" s="28"/>
      <c r="G467" s="26" t="str">
        <f t="shared" si="56"/>
        <v/>
      </c>
      <c r="H467" s="26" t="str">
        <f t="shared" si="63"/>
        <v/>
      </c>
      <c r="I467" s="26" t="str">
        <f t="shared" si="57"/>
        <v/>
      </c>
      <c r="J467" t="str">
        <f t="shared" si="58"/>
        <v/>
      </c>
      <c r="K467" s="26" t="str">
        <f t="shared" si="59"/>
        <v/>
      </c>
      <c r="L467" s="26" t="str">
        <f t="shared" si="60"/>
        <v/>
      </c>
      <c r="P467" t="e">
        <f t="shared" si="61"/>
        <v>#N/A</v>
      </c>
      <c r="Q467" t="e">
        <f t="shared" si="62"/>
        <v>#N/A</v>
      </c>
    </row>
    <row r="468" spans="1:17">
      <c r="A468" s="28"/>
      <c r="B468" s="28"/>
      <c r="C468" s="28"/>
      <c r="D468" s="28"/>
      <c r="E468" s="28"/>
      <c r="F468" s="28"/>
      <c r="G468" s="26" t="str">
        <f t="shared" si="56"/>
        <v/>
      </c>
      <c r="H468" s="26" t="str">
        <f t="shared" si="63"/>
        <v/>
      </c>
      <c r="I468" s="26" t="str">
        <f t="shared" si="57"/>
        <v/>
      </c>
      <c r="J468" t="str">
        <f t="shared" si="58"/>
        <v/>
      </c>
      <c r="K468" s="26" t="str">
        <f t="shared" si="59"/>
        <v/>
      </c>
      <c r="L468" s="26" t="str">
        <f t="shared" si="60"/>
        <v/>
      </c>
      <c r="P468" t="e">
        <f t="shared" si="61"/>
        <v>#N/A</v>
      </c>
      <c r="Q468" t="e">
        <f t="shared" si="62"/>
        <v>#N/A</v>
      </c>
    </row>
    <row r="469" spans="1:17">
      <c r="A469" s="28"/>
      <c r="B469" s="28"/>
      <c r="C469" s="28"/>
      <c r="D469" s="28"/>
      <c r="E469" s="28"/>
      <c r="F469" s="28"/>
      <c r="G469" s="26" t="str">
        <f t="shared" si="56"/>
        <v/>
      </c>
      <c r="H469" s="26" t="str">
        <f t="shared" si="63"/>
        <v/>
      </c>
      <c r="I469" s="26" t="str">
        <f t="shared" si="57"/>
        <v/>
      </c>
      <c r="J469" t="str">
        <f t="shared" si="58"/>
        <v/>
      </c>
      <c r="K469" s="26" t="str">
        <f t="shared" si="59"/>
        <v/>
      </c>
      <c r="L469" s="26" t="str">
        <f t="shared" si="60"/>
        <v/>
      </c>
      <c r="P469" t="e">
        <f t="shared" si="61"/>
        <v>#N/A</v>
      </c>
      <c r="Q469" t="e">
        <f t="shared" si="62"/>
        <v>#N/A</v>
      </c>
    </row>
    <row r="470" spans="1:17">
      <c r="A470" s="28"/>
      <c r="B470" s="28"/>
      <c r="C470" s="28"/>
      <c r="D470" s="28"/>
      <c r="E470" s="28"/>
      <c r="F470" s="28"/>
      <c r="G470" s="26" t="str">
        <f t="shared" si="56"/>
        <v/>
      </c>
      <c r="H470" s="26" t="str">
        <f t="shared" si="63"/>
        <v/>
      </c>
      <c r="I470" s="26" t="str">
        <f t="shared" si="57"/>
        <v/>
      </c>
      <c r="J470" t="str">
        <f t="shared" si="58"/>
        <v/>
      </c>
      <c r="K470" s="26" t="str">
        <f t="shared" si="59"/>
        <v/>
      </c>
      <c r="L470" s="26" t="str">
        <f t="shared" si="60"/>
        <v/>
      </c>
      <c r="P470" t="e">
        <f t="shared" si="61"/>
        <v>#N/A</v>
      </c>
      <c r="Q470" t="e">
        <f t="shared" si="62"/>
        <v>#N/A</v>
      </c>
    </row>
    <row r="471" spans="1:17">
      <c r="A471" s="28"/>
      <c r="B471" s="28"/>
      <c r="C471" s="28"/>
      <c r="D471" s="28"/>
      <c r="E471" s="28"/>
      <c r="F471" s="28"/>
      <c r="G471" s="26" t="str">
        <f t="shared" si="56"/>
        <v/>
      </c>
      <c r="H471" s="26" t="str">
        <f t="shared" si="63"/>
        <v/>
      </c>
      <c r="I471" s="26" t="str">
        <f t="shared" si="57"/>
        <v/>
      </c>
      <c r="J471" t="str">
        <f t="shared" si="58"/>
        <v/>
      </c>
      <c r="K471" s="26" t="str">
        <f t="shared" si="59"/>
        <v/>
      </c>
      <c r="L471" s="26" t="str">
        <f t="shared" si="60"/>
        <v/>
      </c>
      <c r="P471" t="e">
        <f t="shared" si="61"/>
        <v>#N/A</v>
      </c>
      <c r="Q471" t="e">
        <f t="shared" si="62"/>
        <v>#N/A</v>
      </c>
    </row>
    <row r="472" spans="1:17">
      <c r="A472" s="28"/>
      <c r="B472" s="28"/>
      <c r="C472" s="28"/>
      <c r="D472" s="28"/>
      <c r="E472" s="28"/>
      <c r="F472" s="28"/>
      <c r="G472" s="26" t="str">
        <f t="shared" si="56"/>
        <v/>
      </c>
      <c r="H472" s="26" t="str">
        <f t="shared" si="63"/>
        <v/>
      </c>
      <c r="I472" s="26" t="str">
        <f t="shared" si="57"/>
        <v/>
      </c>
      <c r="J472" t="str">
        <f t="shared" si="58"/>
        <v/>
      </c>
      <c r="K472" s="26" t="str">
        <f t="shared" si="59"/>
        <v/>
      </c>
      <c r="L472" s="26" t="str">
        <f t="shared" si="60"/>
        <v/>
      </c>
      <c r="P472" t="e">
        <f t="shared" si="61"/>
        <v>#N/A</v>
      </c>
      <c r="Q472" t="e">
        <f t="shared" si="62"/>
        <v>#N/A</v>
      </c>
    </row>
    <row r="473" spans="1:17">
      <c r="A473" s="28"/>
      <c r="B473" s="28"/>
      <c r="C473" s="28"/>
      <c r="D473" s="28"/>
      <c r="E473" s="28"/>
      <c r="F473" s="28"/>
      <c r="G473" s="26" t="str">
        <f t="shared" si="56"/>
        <v/>
      </c>
      <c r="H473" s="26" t="str">
        <f t="shared" si="63"/>
        <v/>
      </c>
      <c r="I473" s="26" t="str">
        <f t="shared" si="57"/>
        <v/>
      </c>
      <c r="J473" t="str">
        <f t="shared" si="58"/>
        <v/>
      </c>
      <c r="K473" s="26" t="str">
        <f t="shared" si="59"/>
        <v/>
      </c>
      <c r="L473" s="26" t="str">
        <f t="shared" si="60"/>
        <v/>
      </c>
      <c r="P473" t="e">
        <f t="shared" si="61"/>
        <v>#N/A</v>
      </c>
      <c r="Q473" t="e">
        <f t="shared" si="62"/>
        <v>#N/A</v>
      </c>
    </row>
    <row r="474" spans="1:17">
      <c r="A474" s="28"/>
      <c r="B474" s="28"/>
      <c r="C474" s="28"/>
      <c r="D474" s="28"/>
      <c r="E474" s="28"/>
      <c r="F474" s="28"/>
      <c r="G474" s="26" t="str">
        <f t="shared" si="56"/>
        <v/>
      </c>
      <c r="H474" s="26" t="str">
        <f t="shared" si="63"/>
        <v/>
      </c>
      <c r="I474" s="26" t="str">
        <f t="shared" si="57"/>
        <v/>
      </c>
      <c r="J474" t="str">
        <f t="shared" si="58"/>
        <v/>
      </c>
      <c r="K474" s="26" t="str">
        <f t="shared" si="59"/>
        <v/>
      </c>
      <c r="L474" s="26" t="str">
        <f t="shared" si="60"/>
        <v/>
      </c>
      <c r="P474" t="e">
        <f t="shared" si="61"/>
        <v>#N/A</v>
      </c>
      <c r="Q474" t="e">
        <f t="shared" si="62"/>
        <v>#N/A</v>
      </c>
    </row>
    <row r="475" spans="1:17">
      <c r="A475" s="28"/>
      <c r="B475" s="28"/>
      <c r="C475" s="28"/>
      <c r="D475" s="28"/>
      <c r="E475" s="28"/>
      <c r="F475" s="28"/>
      <c r="G475" s="26" t="str">
        <f t="shared" si="56"/>
        <v/>
      </c>
      <c r="H475" s="26" t="str">
        <f t="shared" si="63"/>
        <v/>
      </c>
      <c r="I475" s="26" t="str">
        <f t="shared" si="57"/>
        <v/>
      </c>
      <c r="J475" t="str">
        <f t="shared" si="58"/>
        <v/>
      </c>
      <c r="K475" s="26" t="str">
        <f t="shared" si="59"/>
        <v/>
      </c>
      <c r="L475" s="26" t="str">
        <f t="shared" si="60"/>
        <v/>
      </c>
      <c r="P475" t="e">
        <f t="shared" si="61"/>
        <v>#N/A</v>
      </c>
      <c r="Q475" t="e">
        <f t="shared" si="62"/>
        <v>#N/A</v>
      </c>
    </row>
    <row r="476" spans="1:17">
      <c r="A476" s="28"/>
      <c r="B476" s="28"/>
      <c r="C476" s="28"/>
      <c r="D476" s="28"/>
      <c r="E476" s="28"/>
      <c r="F476" s="28"/>
      <c r="G476" s="26" t="str">
        <f t="shared" si="56"/>
        <v/>
      </c>
      <c r="H476" s="26" t="str">
        <f t="shared" si="63"/>
        <v/>
      </c>
      <c r="I476" s="26" t="str">
        <f t="shared" si="57"/>
        <v/>
      </c>
      <c r="J476" t="str">
        <f t="shared" si="58"/>
        <v/>
      </c>
      <c r="K476" s="26" t="str">
        <f t="shared" si="59"/>
        <v/>
      </c>
      <c r="L476" s="26" t="str">
        <f t="shared" si="60"/>
        <v/>
      </c>
      <c r="P476" t="e">
        <f t="shared" si="61"/>
        <v>#N/A</v>
      </c>
      <c r="Q476" t="e">
        <f t="shared" si="62"/>
        <v>#N/A</v>
      </c>
    </row>
    <row r="477" spans="1:17">
      <c r="A477" s="28"/>
      <c r="B477" s="28"/>
      <c r="C477" s="28"/>
      <c r="D477" s="28"/>
      <c r="E477" s="28"/>
      <c r="F477" s="28"/>
      <c r="G477" s="26" t="str">
        <f t="shared" si="56"/>
        <v/>
      </c>
      <c r="H477" s="26" t="str">
        <f t="shared" si="63"/>
        <v/>
      </c>
      <c r="I477" s="26" t="str">
        <f t="shared" si="57"/>
        <v/>
      </c>
      <c r="J477" t="str">
        <f t="shared" si="58"/>
        <v/>
      </c>
      <c r="K477" s="26" t="str">
        <f t="shared" si="59"/>
        <v/>
      </c>
      <c r="L477" s="26" t="str">
        <f t="shared" si="60"/>
        <v/>
      </c>
      <c r="P477" t="e">
        <f t="shared" si="61"/>
        <v>#N/A</v>
      </c>
      <c r="Q477" t="e">
        <f t="shared" si="62"/>
        <v>#N/A</v>
      </c>
    </row>
    <row r="478" spans="1:17">
      <c r="A478" s="28"/>
      <c r="B478" s="28"/>
      <c r="C478" s="28"/>
      <c r="D478" s="28"/>
      <c r="E478" s="28"/>
      <c r="F478" s="28"/>
      <c r="G478" s="26" t="str">
        <f t="shared" si="56"/>
        <v/>
      </c>
      <c r="H478" s="26" t="str">
        <f t="shared" si="63"/>
        <v/>
      </c>
      <c r="I478" s="26" t="str">
        <f t="shared" si="57"/>
        <v/>
      </c>
      <c r="J478" t="str">
        <f t="shared" si="58"/>
        <v/>
      </c>
      <c r="K478" s="26" t="str">
        <f t="shared" si="59"/>
        <v/>
      </c>
      <c r="L478" s="26" t="str">
        <f t="shared" si="60"/>
        <v/>
      </c>
      <c r="P478" t="e">
        <f t="shared" si="61"/>
        <v>#N/A</v>
      </c>
      <c r="Q478" t="e">
        <f t="shared" si="62"/>
        <v>#N/A</v>
      </c>
    </row>
    <row r="479" spans="1:17">
      <c r="A479" s="28"/>
      <c r="B479" s="28"/>
      <c r="C479" s="28"/>
      <c r="D479" s="28"/>
      <c r="E479" s="28"/>
      <c r="F479" s="28"/>
      <c r="G479" s="26" t="str">
        <f t="shared" si="56"/>
        <v/>
      </c>
      <c r="H479" s="26" t="str">
        <f t="shared" si="63"/>
        <v/>
      </c>
      <c r="I479" s="26" t="str">
        <f t="shared" si="57"/>
        <v/>
      </c>
      <c r="J479" t="str">
        <f t="shared" si="58"/>
        <v/>
      </c>
      <c r="K479" s="26" t="str">
        <f t="shared" si="59"/>
        <v/>
      </c>
      <c r="L479" s="26" t="str">
        <f t="shared" si="60"/>
        <v/>
      </c>
      <c r="P479" t="e">
        <f t="shared" si="61"/>
        <v>#N/A</v>
      </c>
      <c r="Q479" t="e">
        <f t="shared" si="62"/>
        <v>#N/A</v>
      </c>
    </row>
    <row r="480" spans="1:17">
      <c r="A480" s="28"/>
      <c r="B480" s="28"/>
      <c r="C480" s="28"/>
      <c r="D480" s="28"/>
      <c r="E480" s="28"/>
      <c r="F480" s="28"/>
      <c r="G480" s="26" t="str">
        <f t="shared" si="56"/>
        <v/>
      </c>
      <c r="H480" s="26" t="str">
        <f t="shared" si="63"/>
        <v/>
      </c>
      <c r="I480" s="26" t="str">
        <f t="shared" si="57"/>
        <v/>
      </c>
      <c r="J480" t="str">
        <f t="shared" si="58"/>
        <v/>
      </c>
      <c r="K480" s="26" t="str">
        <f t="shared" si="59"/>
        <v/>
      </c>
      <c r="L480" s="26" t="str">
        <f t="shared" si="60"/>
        <v/>
      </c>
      <c r="P480" t="e">
        <f t="shared" si="61"/>
        <v>#N/A</v>
      </c>
      <c r="Q480" t="e">
        <f t="shared" si="62"/>
        <v>#N/A</v>
      </c>
    </row>
    <row r="481" spans="1:17">
      <c r="A481" s="28"/>
      <c r="B481" s="28"/>
      <c r="C481" s="28"/>
      <c r="D481" s="28"/>
      <c r="E481" s="28"/>
      <c r="F481" s="28"/>
      <c r="G481" s="26" t="str">
        <f t="shared" si="56"/>
        <v/>
      </c>
      <c r="H481" s="26" t="str">
        <f t="shared" si="63"/>
        <v/>
      </c>
      <c r="I481" s="26" t="str">
        <f t="shared" si="57"/>
        <v/>
      </c>
      <c r="J481" t="str">
        <f t="shared" si="58"/>
        <v/>
      </c>
      <c r="K481" s="26" t="str">
        <f t="shared" si="59"/>
        <v/>
      </c>
      <c r="L481" s="26" t="str">
        <f t="shared" si="60"/>
        <v/>
      </c>
      <c r="P481" t="e">
        <f t="shared" si="61"/>
        <v>#N/A</v>
      </c>
      <c r="Q481" t="e">
        <f t="shared" si="62"/>
        <v>#N/A</v>
      </c>
    </row>
    <row r="482" spans="1:17">
      <c r="A482" s="28"/>
      <c r="B482" s="28"/>
      <c r="C482" s="28"/>
      <c r="D482" s="28"/>
      <c r="E482" s="28"/>
      <c r="F482" s="28"/>
      <c r="G482" s="26" t="str">
        <f t="shared" si="56"/>
        <v/>
      </c>
      <c r="H482" s="26" t="str">
        <f t="shared" si="63"/>
        <v/>
      </c>
      <c r="I482" s="26" t="str">
        <f t="shared" si="57"/>
        <v/>
      </c>
      <c r="J482" t="str">
        <f t="shared" si="58"/>
        <v/>
      </c>
      <c r="K482" s="26" t="str">
        <f t="shared" si="59"/>
        <v/>
      </c>
      <c r="L482" s="26" t="str">
        <f t="shared" si="60"/>
        <v/>
      </c>
      <c r="P482" t="e">
        <f t="shared" si="61"/>
        <v>#N/A</v>
      </c>
      <c r="Q482" t="e">
        <f t="shared" si="62"/>
        <v>#N/A</v>
      </c>
    </row>
    <row r="483" spans="1:17">
      <c r="A483" s="28"/>
      <c r="B483" s="28"/>
      <c r="C483" s="28"/>
      <c r="D483" s="28"/>
      <c r="E483" s="28"/>
      <c r="F483" s="28"/>
      <c r="G483" s="26" t="str">
        <f t="shared" si="56"/>
        <v/>
      </c>
      <c r="H483" s="26" t="str">
        <f t="shared" si="63"/>
        <v/>
      </c>
      <c r="I483" s="26" t="str">
        <f t="shared" si="57"/>
        <v/>
      </c>
      <c r="J483" t="str">
        <f t="shared" si="58"/>
        <v/>
      </c>
      <c r="K483" s="26" t="str">
        <f t="shared" si="59"/>
        <v/>
      </c>
      <c r="L483" s="26" t="str">
        <f t="shared" si="60"/>
        <v/>
      </c>
      <c r="P483" t="e">
        <f t="shared" si="61"/>
        <v>#N/A</v>
      </c>
      <c r="Q483" t="e">
        <f t="shared" si="62"/>
        <v>#N/A</v>
      </c>
    </row>
    <row r="484" spans="1:17">
      <c r="A484" s="28"/>
      <c r="B484" s="28"/>
      <c r="C484" s="28"/>
      <c r="D484" s="28"/>
      <c r="E484" s="28"/>
      <c r="F484" s="28"/>
      <c r="G484" s="26" t="str">
        <f t="shared" si="56"/>
        <v/>
      </c>
      <c r="H484" s="26" t="str">
        <f t="shared" si="63"/>
        <v/>
      </c>
      <c r="I484" s="26" t="str">
        <f t="shared" si="57"/>
        <v/>
      </c>
      <c r="J484" t="str">
        <f t="shared" si="58"/>
        <v/>
      </c>
      <c r="K484" s="26" t="str">
        <f t="shared" si="59"/>
        <v/>
      </c>
      <c r="L484" s="26" t="str">
        <f t="shared" si="60"/>
        <v/>
      </c>
      <c r="P484" t="e">
        <f t="shared" si="61"/>
        <v>#N/A</v>
      </c>
      <c r="Q484" t="e">
        <f t="shared" si="62"/>
        <v>#N/A</v>
      </c>
    </row>
    <row r="485" spans="1:17">
      <c r="A485" s="28"/>
      <c r="B485" s="28"/>
      <c r="C485" s="28"/>
      <c r="D485" s="28"/>
      <c r="E485" s="28"/>
      <c r="F485" s="28"/>
      <c r="G485" s="26" t="str">
        <f t="shared" si="56"/>
        <v/>
      </c>
      <c r="H485" s="26" t="str">
        <f t="shared" si="63"/>
        <v/>
      </c>
      <c r="I485" s="26" t="str">
        <f t="shared" si="57"/>
        <v/>
      </c>
      <c r="J485" t="str">
        <f t="shared" si="58"/>
        <v/>
      </c>
      <c r="K485" s="26" t="str">
        <f t="shared" si="59"/>
        <v/>
      </c>
      <c r="L485" s="26" t="str">
        <f t="shared" si="60"/>
        <v/>
      </c>
      <c r="P485" t="e">
        <f t="shared" si="61"/>
        <v>#N/A</v>
      </c>
      <c r="Q485" t="e">
        <f t="shared" si="62"/>
        <v>#N/A</v>
      </c>
    </row>
    <row r="486" spans="1:17">
      <c r="A486" s="28"/>
      <c r="B486" s="28"/>
      <c r="C486" s="28"/>
      <c r="D486" s="28"/>
      <c r="E486" s="28"/>
      <c r="F486" s="28"/>
      <c r="G486" s="26" t="str">
        <f t="shared" si="56"/>
        <v/>
      </c>
      <c r="H486" s="26" t="str">
        <f t="shared" si="63"/>
        <v/>
      </c>
      <c r="I486" s="26" t="str">
        <f t="shared" si="57"/>
        <v/>
      </c>
      <c r="J486" t="str">
        <f t="shared" si="58"/>
        <v/>
      </c>
      <c r="K486" s="26" t="str">
        <f t="shared" si="59"/>
        <v/>
      </c>
      <c r="L486" s="26" t="str">
        <f t="shared" si="60"/>
        <v/>
      </c>
      <c r="P486" t="e">
        <f t="shared" si="61"/>
        <v>#N/A</v>
      </c>
      <c r="Q486" t="e">
        <f t="shared" si="62"/>
        <v>#N/A</v>
      </c>
    </row>
    <row r="487" spans="1:17">
      <c r="A487" s="28"/>
      <c r="B487" s="28"/>
      <c r="C487" s="28"/>
      <c r="D487" s="28"/>
      <c r="E487" s="28"/>
      <c r="F487" s="28"/>
      <c r="G487" s="26" t="str">
        <f t="shared" si="56"/>
        <v/>
      </c>
      <c r="H487" s="26" t="str">
        <f t="shared" si="63"/>
        <v/>
      </c>
      <c r="I487" s="26" t="str">
        <f t="shared" si="57"/>
        <v/>
      </c>
      <c r="J487" t="str">
        <f t="shared" si="58"/>
        <v/>
      </c>
      <c r="K487" s="26" t="str">
        <f t="shared" si="59"/>
        <v/>
      </c>
      <c r="L487" s="26" t="str">
        <f t="shared" si="60"/>
        <v/>
      </c>
      <c r="P487" t="e">
        <f t="shared" si="61"/>
        <v>#N/A</v>
      </c>
      <c r="Q487" t="e">
        <f t="shared" si="62"/>
        <v>#N/A</v>
      </c>
    </row>
    <row r="488" spans="1:17">
      <c r="A488" s="28"/>
      <c r="B488" s="28"/>
      <c r="C488" s="28"/>
      <c r="D488" s="28"/>
      <c r="E488" s="28"/>
      <c r="F488" s="28"/>
      <c r="G488" s="26" t="str">
        <f t="shared" si="56"/>
        <v/>
      </c>
      <c r="H488" s="26" t="str">
        <f t="shared" si="63"/>
        <v/>
      </c>
      <c r="I488" s="26" t="str">
        <f t="shared" si="57"/>
        <v/>
      </c>
      <c r="J488" t="str">
        <f t="shared" si="58"/>
        <v/>
      </c>
      <c r="K488" s="26" t="str">
        <f t="shared" si="59"/>
        <v/>
      </c>
      <c r="L488" s="26" t="str">
        <f t="shared" si="60"/>
        <v/>
      </c>
      <c r="P488" t="e">
        <f t="shared" si="61"/>
        <v>#N/A</v>
      </c>
      <c r="Q488" t="e">
        <f t="shared" si="62"/>
        <v>#N/A</v>
      </c>
    </row>
    <row r="489" spans="1:17">
      <c r="A489" s="28"/>
      <c r="B489" s="28"/>
      <c r="C489" s="28"/>
      <c r="D489" s="28"/>
      <c r="E489" s="28"/>
      <c r="F489" s="28"/>
      <c r="G489" s="26" t="str">
        <f t="shared" si="56"/>
        <v/>
      </c>
      <c r="H489" s="26" t="str">
        <f t="shared" si="63"/>
        <v/>
      </c>
      <c r="I489" s="26" t="str">
        <f t="shared" si="57"/>
        <v/>
      </c>
      <c r="J489" t="str">
        <f t="shared" si="58"/>
        <v/>
      </c>
      <c r="K489" s="26" t="str">
        <f t="shared" si="59"/>
        <v/>
      </c>
      <c r="L489" s="26" t="str">
        <f t="shared" si="60"/>
        <v/>
      </c>
      <c r="P489" t="e">
        <f t="shared" si="61"/>
        <v>#N/A</v>
      </c>
      <c r="Q489" t="e">
        <f t="shared" si="62"/>
        <v>#N/A</v>
      </c>
    </row>
    <row r="490" spans="1:17">
      <c r="A490" s="28"/>
      <c r="B490" s="28"/>
      <c r="C490" s="28"/>
      <c r="D490" s="28"/>
      <c r="E490" s="28"/>
      <c r="F490" s="28"/>
      <c r="G490" s="26" t="str">
        <f t="shared" si="56"/>
        <v/>
      </c>
      <c r="H490" s="26" t="str">
        <f t="shared" si="63"/>
        <v/>
      </c>
      <c r="I490" s="26" t="str">
        <f t="shared" si="57"/>
        <v/>
      </c>
      <c r="J490" t="str">
        <f t="shared" si="58"/>
        <v/>
      </c>
      <c r="K490" s="26" t="str">
        <f t="shared" si="59"/>
        <v/>
      </c>
      <c r="L490" s="26" t="str">
        <f t="shared" si="60"/>
        <v/>
      </c>
      <c r="P490" t="e">
        <f t="shared" si="61"/>
        <v>#N/A</v>
      </c>
      <c r="Q490" t="e">
        <f t="shared" si="62"/>
        <v>#N/A</v>
      </c>
    </row>
    <row r="491" spans="1:17">
      <c r="A491" s="28"/>
      <c r="B491" s="28"/>
      <c r="C491" s="28"/>
      <c r="D491" s="28"/>
      <c r="E491" s="28"/>
      <c r="F491" s="28"/>
      <c r="G491" s="26" t="str">
        <f t="shared" si="56"/>
        <v/>
      </c>
      <c r="H491" s="26" t="str">
        <f t="shared" si="63"/>
        <v/>
      </c>
      <c r="I491" s="26" t="str">
        <f t="shared" si="57"/>
        <v/>
      </c>
      <c r="J491" t="str">
        <f t="shared" si="58"/>
        <v/>
      </c>
      <c r="K491" s="26" t="str">
        <f t="shared" si="59"/>
        <v/>
      </c>
      <c r="L491" s="26" t="str">
        <f t="shared" si="60"/>
        <v/>
      </c>
      <c r="P491" t="e">
        <f t="shared" si="61"/>
        <v>#N/A</v>
      </c>
      <c r="Q491" t="e">
        <f t="shared" si="62"/>
        <v>#N/A</v>
      </c>
    </row>
    <row r="492" spans="1:17">
      <c r="A492" s="28"/>
      <c r="B492" s="28"/>
      <c r="C492" s="28"/>
      <c r="D492" s="28"/>
      <c r="E492" s="28"/>
      <c r="F492" s="28"/>
      <c r="G492" s="26" t="str">
        <f t="shared" si="56"/>
        <v/>
      </c>
      <c r="H492" s="26" t="str">
        <f t="shared" si="63"/>
        <v/>
      </c>
      <c r="I492" s="26" t="str">
        <f t="shared" si="57"/>
        <v/>
      </c>
      <c r="J492" t="str">
        <f t="shared" si="58"/>
        <v/>
      </c>
      <c r="K492" s="26" t="str">
        <f t="shared" si="59"/>
        <v/>
      </c>
      <c r="L492" s="26" t="str">
        <f t="shared" si="60"/>
        <v/>
      </c>
      <c r="P492" t="e">
        <f t="shared" si="61"/>
        <v>#N/A</v>
      </c>
      <c r="Q492" t="e">
        <f t="shared" si="62"/>
        <v>#N/A</v>
      </c>
    </row>
    <row r="493" spans="1:17">
      <c r="A493" s="28"/>
      <c r="B493" s="28"/>
      <c r="C493" s="28"/>
      <c r="D493" s="28"/>
      <c r="E493" s="28"/>
      <c r="F493" s="28"/>
      <c r="G493" s="26" t="str">
        <f t="shared" si="56"/>
        <v/>
      </c>
      <c r="H493" s="26" t="str">
        <f t="shared" si="63"/>
        <v/>
      </c>
      <c r="I493" s="26" t="str">
        <f t="shared" si="57"/>
        <v/>
      </c>
      <c r="J493" t="str">
        <f t="shared" si="58"/>
        <v/>
      </c>
      <c r="K493" s="26" t="str">
        <f t="shared" si="59"/>
        <v/>
      </c>
      <c r="L493" s="26" t="str">
        <f t="shared" si="60"/>
        <v/>
      </c>
      <c r="P493" t="e">
        <f t="shared" si="61"/>
        <v>#N/A</v>
      </c>
      <c r="Q493" t="e">
        <f t="shared" si="62"/>
        <v>#N/A</v>
      </c>
    </row>
    <row r="494" spans="1:17">
      <c r="A494" s="28"/>
      <c r="B494" s="28"/>
      <c r="C494" s="28"/>
      <c r="D494" s="28"/>
      <c r="E494" s="28"/>
      <c r="F494" s="28"/>
      <c r="G494" s="26" t="str">
        <f t="shared" si="56"/>
        <v/>
      </c>
      <c r="H494" s="26" t="str">
        <f t="shared" si="63"/>
        <v/>
      </c>
      <c r="I494" s="26" t="str">
        <f t="shared" si="57"/>
        <v/>
      </c>
      <c r="J494" t="str">
        <f t="shared" si="58"/>
        <v/>
      </c>
      <c r="K494" s="26" t="str">
        <f t="shared" si="59"/>
        <v/>
      </c>
      <c r="L494" s="26" t="str">
        <f t="shared" si="60"/>
        <v/>
      </c>
      <c r="P494" t="e">
        <f t="shared" si="61"/>
        <v>#N/A</v>
      </c>
      <c r="Q494" t="e">
        <f t="shared" si="62"/>
        <v>#N/A</v>
      </c>
    </row>
    <row r="495" spans="1:17">
      <c r="A495" s="28"/>
      <c r="B495" s="28"/>
      <c r="C495" s="28"/>
      <c r="D495" s="28"/>
      <c r="E495" s="28"/>
      <c r="F495" s="28"/>
      <c r="G495" s="26" t="str">
        <f t="shared" si="56"/>
        <v/>
      </c>
      <c r="H495" s="26" t="str">
        <f t="shared" si="63"/>
        <v/>
      </c>
      <c r="I495" s="26" t="str">
        <f t="shared" si="57"/>
        <v/>
      </c>
      <c r="J495" t="str">
        <f t="shared" si="58"/>
        <v/>
      </c>
      <c r="K495" s="26" t="str">
        <f t="shared" si="59"/>
        <v/>
      </c>
      <c r="L495" s="26" t="str">
        <f t="shared" si="60"/>
        <v/>
      </c>
      <c r="P495" t="e">
        <f t="shared" si="61"/>
        <v>#N/A</v>
      </c>
      <c r="Q495" t="e">
        <f t="shared" si="62"/>
        <v>#N/A</v>
      </c>
    </row>
    <row r="496" spans="1:17">
      <c r="A496" s="28"/>
      <c r="B496" s="28"/>
      <c r="C496" s="28"/>
      <c r="D496" s="28"/>
      <c r="E496" s="28"/>
      <c r="F496" s="28"/>
      <c r="G496" s="26" t="str">
        <f t="shared" si="56"/>
        <v/>
      </c>
      <c r="H496" s="26" t="str">
        <f t="shared" si="63"/>
        <v/>
      </c>
      <c r="I496" s="26" t="str">
        <f t="shared" si="57"/>
        <v/>
      </c>
      <c r="J496" t="str">
        <f t="shared" si="58"/>
        <v/>
      </c>
      <c r="K496" s="26" t="str">
        <f t="shared" si="59"/>
        <v/>
      </c>
      <c r="L496" s="26" t="str">
        <f t="shared" si="60"/>
        <v/>
      </c>
      <c r="P496" t="e">
        <f t="shared" si="61"/>
        <v>#N/A</v>
      </c>
      <c r="Q496" t="e">
        <f t="shared" si="62"/>
        <v>#N/A</v>
      </c>
    </row>
    <row r="497" spans="1:17">
      <c r="A497" s="28"/>
      <c r="B497" s="28"/>
      <c r="C497" s="28"/>
      <c r="D497" s="28"/>
      <c r="E497" s="28"/>
      <c r="F497" s="28"/>
      <c r="G497" s="26" t="str">
        <f t="shared" si="56"/>
        <v/>
      </c>
      <c r="H497" s="26" t="str">
        <f t="shared" si="63"/>
        <v/>
      </c>
      <c r="I497" s="26" t="str">
        <f t="shared" si="57"/>
        <v/>
      </c>
      <c r="J497" t="str">
        <f t="shared" si="58"/>
        <v/>
      </c>
      <c r="K497" s="26" t="str">
        <f t="shared" si="59"/>
        <v/>
      </c>
      <c r="L497" s="26" t="str">
        <f t="shared" si="60"/>
        <v/>
      </c>
      <c r="P497" t="e">
        <f t="shared" si="61"/>
        <v>#N/A</v>
      </c>
      <c r="Q497" t="e">
        <f t="shared" si="62"/>
        <v>#N/A</v>
      </c>
    </row>
    <row r="498" spans="1:17">
      <c r="A498" s="28"/>
      <c r="B498" s="28"/>
      <c r="C498" s="28"/>
      <c r="D498" s="28"/>
      <c r="E498" s="28"/>
      <c r="F498" s="28"/>
      <c r="G498" s="26" t="str">
        <f t="shared" si="56"/>
        <v/>
      </c>
      <c r="H498" s="26" t="str">
        <f t="shared" si="63"/>
        <v/>
      </c>
      <c r="I498" s="26" t="str">
        <f t="shared" si="57"/>
        <v/>
      </c>
      <c r="J498" t="str">
        <f t="shared" si="58"/>
        <v/>
      </c>
      <c r="K498" s="26" t="str">
        <f t="shared" si="59"/>
        <v/>
      </c>
      <c r="L498" s="26" t="str">
        <f t="shared" si="60"/>
        <v/>
      </c>
      <c r="P498" t="e">
        <f t="shared" si="61"/>
        <v>#N/A</v>
      </c>
      <c r="Q498" t="e">
        <f t="shared" si="62"/>
        <v>#N/A</v>
      </c>
    </row>
    <row r="499" spans="1:17">
      <c r="A499" s="28"/>
      <c r="B499" s="28"/>
      <c r="C499" s="28"/>
      <c r="D499" s="28"/>
      <c r="E499" s="28"/>
      <c r="F499" s="28"/>
      <c r="G499" s="26" t="str">
        <f t="shared" si="56"/>
        <v/>
      </c>
      <c r="H499" s="26" t="str">
        <f t="shared" si="63"/>
        <v/>
      </c>
      <c r="I499" s="26" t="str">
        <f t="shared" si="57"/>
        <v/>
      </c>
      <c r="J499" t="str">
        <f t="shared" si="58"/>
        <v/>
      </c>
      <c r="K499" s="26" t="str">
        <f t="shared" si="59"/>
        <v/>
      </c>
      <c r="L499" s="26" t="str">
        <f t="shared" si="60"/>
        <v/>
      </c>
      <c r="P499" t="e">
        <f t="shared" si="61"/>
        <v>#N/A</v>
      </c>
      <c r="Q499" t="e">
        <f t="shared" si="62"/>
        <v>#N/A</v>
      </c>
    </row>
    <row r="500" spans="1:17">
      <c r="A500" s="28"/>
      <c r="B500" s="28"/>
      <c r="C500" s="28"/>
      <c r="D500" s="28"/>
      <c r="E500" s="28"/>
      <c r="F500" s="28"/>
      <c r="G500" s="26" t="str">
        <f t="shared" si="56"/>
        <v/>
      </c>
      <c r="H500" s="26" t="str">
        <f t="shared" si="63"/>
        <v/>
      </c>
      <c r="I500" s="26" t="str">
        <f t="shared" si="57"/>
        <v/>
      </c>
      <c r="J500" t="str">
        <f t="shared" si="58"/>
        <v/>
      </c>
      <c r="K500" s="26" t="str">
        <f t="shared" si="59"/>
        <v/>
      </c>
      <c r="L500" s="26" t="str">
        <f t="shared" si="60"/>
        <v/>
      </c>
      <c r="P500" t="e">
        <f t="shared" si="61"/>
        <v>#N/A</v>
      </c>
      <c r="Q500" t="e">
        <f t="shared" si="62"/>
        <v>#N/A</v>
      </c>
    </row>
    <row r="501" spans="1:17">
      <c r="A501" s="28"/>
      <c r="B501" s="28"/>
      <c r="C501" s="28"/>
      <c r="D501" s="28"/>
      <c r="E501" s="28"/>
      <c r="F501" s="28"/>
      <c r="G501" s="26" t="str">
        <f t="shared" si="56"/>
        <v/>
      </c>
      <c r="H501" s="26" t="str">
        <f t="shared" si="63"/>
        <v/>
      </c>
      <c r="I501" s="26" t="str">
        <f t="shared" si="57"/>
        <v/>
      </c>
      <c r="J501" t="str">
        <f t="shared" si="58"/>
        <v/>
      </c>
      <c r="K501" s="26" t="str">
        <f t="shared" si="59"/>
        <v/>
      </c>
      <c r="L501" s="26" t="str">
        <f t="shared" si="60"/>
        <v/>
      </c>
      <c r="P501" t="e">
        <f t="shared" si="61"/>
        <v>#N/A</v>
      </c>
      <c r="Q501" t="e">
        <f t="shared" si="62"/>
        <v>#N/A</v>
      </c>
    </row>
    <row r="502" spans="1:17">
      <c r="A502" s="28"/>
      <c r="B502" s="28"/>
      <c r="C502" s="28"/>
      <c r="D502" s="28"/>
      <c r="E502" s="28"/>
      <c r="F502" s="28"/>
      <c r="G502" s="26" t="str">
        <f t="shared" si="56"/>
        <v/>
      </c>
      <c r="H502" s="26" t="str">
        <f t="shared" si="63"/>
        <v/>
      </c>
      <c r="I502" s="26" t="str">
        <f t="shared" si="57"/>
        <v/>
      </c>
      <c r="J502" t="str">
        <f t="shared" si="58"/>
        <v/>
      </c>
      <c r="K502" s="26" t="str">
        <f t="shared" si="59"/>
        <v/>
      </c>
      <c r="L502" s="26" t="str">
        <f t="shared" si="60"/>
        <v/>
      </c>
      <c r="P502" t="e">
        <f t="shared" si="61"/>
        <v>#N/A</v>
      </c>
      <c r="Q502" t="e">
        <f t="shared" si="62"/>
        <v>#N/A</v>
      </c>
    </row>
    <row r="503" spans="1:17">
      <c r="A503" s="28"/>
      <c r="B503" s="28"/>
      <c r="C503" s="28"/>
      <c r="D503" s="28"/>
      <c r="E503" s="28"/>
      <c r="F503" s="28"/>
      <c r="G503" s="26" t="str">
        <f t="shared" si="56"/>
        <v/>
      </c>
      <c r="H503" s="26" t="str">
        <f t="shared" si="63"/>
        <v/>
      </c>
      <c r="I503" s="26" t="str">
        <f t="shared" si="57"/>
        <v/>
      </c>
      <c r="J503" t="str">
        <f t="shared" si="58"/>
        <v/>
      </c>
      <c r="K503" s="26" t="str">
        <f t="shared" si="59"/>
        <v/>
      </c>
      <c r="L503" s="26" t="str">
        <f t="shared" si="60"/>
        <v/>
      </c>
      <c r="P503" t="e">
        <f t="shared" si="61"/>
        <v>#N/A</v>
      </c>
      <c r="Q503" t="e">
        <f t="shared" si="62"/>
        <v>#N/A</v>
      </c>
    </row>
    <row r="504" spans="1:17">
      <c r="A504" s="28"/>
      <c r="B504" s="28"/>
      <c r="C504" s="28"/>
      <c r="D504" s="28"/>
      <c r="E504" s="28"/>
      <c r="F504" s="28"/>
      <c r="G504" s="26" t="str">
        <f t="shared" si="56"/>
        <v/>
      </c>
      <c r="H504" s="26" t="str">
        <f t="shared" si="63"/>
        <v/>
      </c>
      <c r="I504" s="26" t="str">
        <f t="shared" si="57"/>
        <v/>
      </c>
      <c r="J504" t="str">
        <f t="shared" si="58"/>
        <v/>
      </c>
      <c r="K504" s="26" t="str">
        <f t="shared" si="59"/>
        <v/>
      </c>
      <c r="L504" s="26" t="str">
        <f t="shared" si="60"/>
        <v/>
      </c>
      <c r="P504" t="e">
        <f t="shared" si="61"/>
        <v>#N/A</v>
      </c>
      <c r="Q504" t="e">
        <f t="shared" si="62"/>
        <v>#N/A</v>
      </c>
    </row>
    <row r="505" spans="1:17">
      <c r="A505" s="28"/>
      <c r="B505" s="28"/>
      <c r="C505" s="28"/>
      <c r="D505" s="28"/>
      <c r="E505" s="28"/>
      <c r="F505" s="28"/>
      <c r="G505" s="26" t="str">
        <f t="shared" si="56"/>
        <v/>
      </c>
      <c r="H505" s="26" t="str">
        <f t="shared" si="63"/>
        <v/>
      </c>
      <c r="I505" s="26" t="str">
        <f t="shared" si="57"/>
        <v/>
      </c>
      <c r="J505" t="str">
        <f t="shared" si="58"/>
        <v/>
      </c>
      <c r="K505" s="26" t="str">
        <f t="shared" si="59"/>
        <v/>
      </c>
      <c r="L505" s="26" t="str">
        <f t="shared" si="60"/>
        <v/>
      </c>
      <c r="P505" t="e">
        <f t="shared" si="61"/>
        <v>#N/A</v>
      </c>
      <c r="Q505" t="e">
        <f t="shared" si="62"/>
        <v>#N/A</v>
      </c>
    </row>
    <row r="506" spans="1:17">
      <c r="A506" s="28"/>
      <c r="B506" s="28"/>
      <c r="C506" s="28"/>
      <c r="D506" s="28"/>
      <c r="E506" s="28"/>
      <c r="F506" s="28"/>
      <c r="G506" s="26" t="str">
        <f t="shared" si="56"/>
        <v/>
      </c>
      <c r="H506" s="26" t="str">
        <f t="shared" si="63"/>
        <v/>
      </c>
      <c r="I506" s="26" t="str">
        <f t="shared" si="57"/>
        <v/>
      </c>
      <c r="J506" t="str">
        <f t="shared" si="58"/>
        <v/>
      </c>
      <c r="K506" s="26" t="str">
        <f t="shared" si="59"/>
        <v/>
      </c>
      <c r="L506" s="26" t="str">
        <f t="shared" si="60"/>
        <v/>
      </c>
      <c r="P506" t="e">
        <f t="shared" si="61"/>
        <v>#N/A</v>
      </c>
      <c r="Q506" t="e">
        <f t="shared" si="62"/>
        <v>#N/A</v>
      </c>
    </row>
    <row r="507" spans="1:17">
      <c r="A507" s="28"/>
      <c r="B507" s="28"/>
      <c r="C507" s="28"/>
      <c r="D507" s="28"/>
      <c r="E507" s="28"/>
      <c r="F507" s="28"/>
      <c r="G507" s="26" t="str">
        <f t="shared" si="56"/>
        <v/>
      </c>
      <c r="H507" s="26" t="str">
        <f t="shared" si="63"/>
        <v/>
      </c>
      <c r="I507" s="26" t="str">
        <f t="shared" si="57"/>
        <v/>
      </c>
      <c r="J507" t="str">
        <f t="shared" si="58"/>
        <v/>
      </c>
      <c r="K507" s="26" t="str">
        <f t="shared" si="59"/>
        <v/>
      </c>
      <c r="L507" s="26" t="str">
        <f t="shared" si="60"/>
        <v/>
      </c>
      <c r="P507" t="e">
        <f t="shared" si="61"/>
        <v>#N/A</v>
      </c>
      <c r="Q507" t="e">
        <f t="shared" si="62"/>
        <v>#N/A</v>
      </c>
    </row>
    <row r="508" spans="1:17">
      <c r="A508" s="28"/>
      <c r="B508" s="28"/>
      <c r="C508" s="28"/>
      <c r="D508" s="28"/>
      <c r="E508" s="28"/>
      <c r="F508" s="28"/>
      <c r="G508" s="26" t="str">
        <f t="shared" si="56"/>
        <v/>
      </c>
      <c r="H508" s="26" t="str">
        <f t="shared" si="63"/>
        <v/>
      </c>
      <c r="I508" s="26" t="str">
        <f t="shared" si="57"/>
        <v/>
      </c>
      <c r="J508" t="str">
        <f t="shared" si="58"/>
        <v/>
      </c>
      <c r="K508" s="26" t="str">
        <f t="shared" si="59"/>
        <v/>
      </c>
      <c r="L508" s="26" t="str">
        <f t="shared" si="60"/>
        <v/>
      </c>
      <c r="P508" t="e">
        <f t="shared" si="61"/>
        <v>#N/A</v>
      </c>
      <c r="Q508" t="e">
        <f t="shared" si="62"/>
        <v>#N/A</v>
      </c>
    </row>
    <row r="509" spans="1:17">
      <c r="A509" s="28"/>
      <c r="B509" s="28"/>
      <c r="C509" s="28"/>
      <c r="D509" s="28"/>
      <c r="E509" s="28"/>
      <c r="F509" s="28"/>
      <c r="G509" s="26" t="str">
        <f t="shared" si="56"/>
        <v/>
      </c>
      <c r="H509" s="26" t="str">
        <f t="shared" si="63"/>
        <v/>
      </c>
      <c r="I509" s="26" t="str">
        <f t="shared" si="57"/>
        <v/>
      </c>
      <c r="J509" t="str">
        <f t="shared" si="58"/>
        <v/>
      </c>
      <c r="K509" s="26" t="str">
        <f t="shared" si="59"/>
        <v/>
      </c>
      <c r="L509" s="26" t="str">
        <f t="shared" si="60"/>
        <v/>
      </c>
      <c r="P509" t="e">
        <f t="shared" si="61"/>
        <v>#N/A</v>
      </c>
      <c r="Q509" t="e">
        <f t="shared" si="62"/>
        <v>#N/A</v>
      </c>
    </row>
    <row r="510" spans="1:17">
      <c r="A510" s="28"/>
      <c r="B510" s="28"/>
      <c r="C510" s="28"/>
      <c r="D510" s="28"/>
      <c r="E510" s="28"/>
      <c r="F510" s="28"/>
      <c r="G510" s="26" t="str">
        <f t="shared" si="56"/>
        <v/>
      </c>
      <c r="H510" s="26" t="str">
        <f t="shared" si="63"/>
        <v/>
      </c>
      <c r="I510" s="26" t="str">
        <f t="shared" si="57"/>
        <v/>
      </c>
      <c r="J510" t="str">
        <f t="shared" si="58"/>
        <v/>
      </c>
      <c r="K510" s="26" t="str">
        <f t="shared" si="59"/>
        <v/>
      </c>
      <c r="L510" s="26" t="str">
        <f t="shared" si="60"/>
        <v/>
      </c>
      <c r="P510" t="e">
        <f t="shared" si="61"/>
        <v>#N/A</v>
      </c>
      <c r="Q510" t="e">
        <f t="shared" si="62"/>
        <v>#N/A</v>
      </c>
    </row>
    <row r="511" spans="1:17">
      <c r="A511" s="28"/>
      <c r="B511" s="28"/>
      <c r="C511" s="28"/>
      <c r="D511" s="28"/>
      <c r="E511" s="28"/>
      <c r="F511" s="28"/>
      <c r="G511" s="26" t="str">
        <f t="shared" si="56"/>
        <v/>
      </c>
      <c r="H511" s="26" t="str">
        <f t="shared" si="63"/>
        <v/>
      </c>
      <c r="I511" s="26" t="str">
        <f t="shared" si="57"/>
        <v/>
      </c>
      <c r="J511" t="str">
        <f t="shared" si="58"/>
        <v/>
      </c>
      <c r="K511" s="26" t="str">
        <f t="shared" si="59"/>
        <v/>
      </c>
      <c r="L511" s="26" t="str">
        <f t="shared" si="60"/>
        <v/>
      </c>
      <c r="P511" t="e">
        <f t="shared" si="61"/>
        <v>#N/A</v>
      </c>
      <c r="Q511" t="e">
        <f t="shared" si="62"/>
        <v>#N/A</v>
      </c>
    </row>
    <row r="512" spans="1:17">
      <c r="A512" s="28"/>
      <c r="B512" s="28"/>
      <c r="C512" s="28"/>
      <c r="D512" s="28"/>
      <c r="E512" s="28"/>
      <c r="F512" s="28"/>
      <c r="G512" s="26" t="str">
        <f t="shared" si="56"/>
        <v/>
      </c>
      <c r="H512" s="26" t="str">
        <f t="shared" si="63"/>
        <v/>
      </c>
      <c r="I512" s="26" t="str">
        <f t="shared" si="57"/>
        <v/>
      </c>
      <c r="J512" t="str">
        <f t="shared" si="58"/>
        <v/>
      </c>
      <c r="K512" s="26" t="str">
        <f t="shared" si="59"/>
        <v/>
      </c>
      <c r="L512" s="26" t="str">
        <f t="shared" si="60"/>
        <v/>
      </c>
      <c r="P512" t="e">
        <f t="shared" si="61"/>
        <v>#N/A</v>
      </c>
      <c r="Q512" t="e">
        <f t="shared" si="62"/>
        <v>#N/A</v>
      </c>
    </row>
    <row r="513" spans="1:17">
      <c r="A513" s="28"/>
      <c r="B513" s="28"/>
      <c r="C513" s="28"/>
      <c r="D513" s="28"/>
      <c r="E513" s="28"/>
      <c r="F513" s="28"/>
      <c r="G513" s="26" t="str">
        <f t="shared" si="56"/>
        <v/>
      </c>
      <c r="H513" s="26" t="str">
        <f t="shared" si="63"/>
        <v/>
      </c>
      <c r="I513" s="26" t="str">
        <f t="shared" si="57"/>
        <v/>
      </c>
      <c r="J513" t="str">
        <f t="shared" si="58"/>
        <v/>
      </c>
      <c r="K513" s="26" t="str">
        <f t="shared" si="59"/>
        <v/>
      </c>
      <c r="L513" s="26" t="str">
        <f t="shared" si="60"/>
        <v/>
      </c>
      <c r="P513" t="e">
        <f t="shared" si="61"/>
        <v>#N/A</v>
      </c>
      <c r="Q513" t="e">
        <f t="shared" si="62"/>
        <v>#N/A</v>
      </c>
    </row>
    <row r="514" spans="1:17">
      <c r="A514" s="28"/>
      <c r="B514" s="28"/>
      <c r="C514" s="28"/>
      <c r="D514" s="28"/>
      <c r="E514" s="28"/>
      <c r="F514" s="28"/>
      <c r="G514" s="26" t="str">
        <f t="shared" ref="G514:G577" si="64">IF(B514="","",243.04*(LN(C514/100)+17.625*B514/(243.04+B514))/(17.625-LN(C514/100)-17.625*B514/(243.04+B514)))</f>
        <v/>
      </c>
      <c r="H514" s="26" t="str">
        <f t="shared" si="63"/>
        <v/>
      </c>
      <c r="I514" s="26" t="str">
        <f t="shared" ref="I514:I577" si="65">IF(B514="","",B514-E514)</f>
        <v/>
      </c>
      <c r="J514" t="str">
        <f t="shared" ref="J514:J577" si="66">IF(H514="","",IF(H514&gt;0.6,"Heating",IF(H514&lt;-0.2,"Cooling","Steady")))</f>
        <v/>
      </c>
      <c r="K514" s="26" t="str">
        <f t="shared" ref="K514:K577" si="67">IF(J514="Cooling",I514,"")</f>
        <v/>
      </c>
      <c r="L514" s="26" t="str">
        <f t="shared" ref="L514:L577" si="68">IF(J514="Cooling",H514,"")</f>
        <v/>
      </c>
      <c r="P514" t="e">
        <f t="shared" ref="P514:P577" si="69">IF(K514="",NA(),K514)</f>
        <v>#N/A</v>
      </c>
      <c r="Q514" t="e">
        <f t="shared" ref="Q514:Q577" si="70">IF(L514="",NA(),L514)</f>
        <v>#N/A</v>
      </c>
    </row>
    <row r="515" spans="1:17">
      <c r="A515" s="28"/>
      <c r="B515" s="28"/>
      <c r="C515" s="28"/>
      <c r="D515" s="28"/>
      <c r="E515" s="28"/>
      <c r="F515" s="28"/>
      <c r="G515" s="26" t="str">
        <f t="shared" si="64"/>
        <v/>
      </c>
      <c r="H515" s="26" t="str">
        <f t="shared" si="63"/>
        <v/>
      </c>
      <c r="I515" s="26" t="str">
        <f t="shared" si="65"/>
        <v/>
      </c>
      <c r="J515" t="str">
        <f t="shared" si="66"/>
        <v/>
      </c>
      <c r="K515" s="26" t="str">
        <f t="shared" si="67"/>
        <v/>
      </c>
      <c r="L515" s="26" t="str">
        <f t="shared" si="68"/>
        <v/>
      </c>
      <c r="P515" t="e">
        <f t="shared" si="69"/>
        <v>#N/A</v>
      </c>
      <c r="Q515" t="e">
        <f t="shared" si="70"/>
        <v>#N/A</v>
      </c>
    </row>
    <row r="516" spans="1:17">
      <c r="A516" s="28"/>
      <c r="B516" s="28"/>
      <c r="C516" s="28"/>
      <c r="D516" s="28"/>
      <c r="E516" s="28"/>
      <c r="F516" s="28"/>
      <c r="G516" s="26" t="str">
        <f t="shared" si="64"/>
        <v/>
      </c>
      <c r="H516" s="26" t="str">
        <f t="shared" ref="H516:H579" si="71">IFERROR(IF(OR(B514="",B518=""),"",(B518-B514)/4*60),"")</f>
        <v/>
      </c>
      <c r="I516" s="26" t="str">
        <f t="shared" si="65"/>
        <v/>
      </c>
      <c r="J516" t="str">
        <f t="shared" si="66"/>
        <v/>
      </c>
      <c r="K516" s="26" t="str">
        <f t="shared" si="67"/>
        <v/>
      </c>
      <c r="L516" s="26" t="str">
        <f t="shared" si="68"/>
        <v/>
      </c>
      <c r="P516" t="e">
        <f t="shared" si="69"/>
        <v>#N/A</v>
      </c>
      <c r="Q516" t="e">
        <f t="shared" si="70"/>
        <v>#N/A</v>
      </c>
    </row>
    <row r="517" spans="1:17">
      <c r="A517" s="28"/>
      <c r="B517" s="28"/>
      <c r="C517" s="28"/>
      <c r="D517" s="28"/>
      <c r="E517" s="28"/>
      <c r="F517" s="28"/>
      <c r="G517" s="26" t="str">
        <f t="shared" si="64"/>
        <v/>
      </c>
      <c r="H517" s="26" t="str">
        <f t="shared" si="71"/>
        <v/>
      </c>
      <c r="I517" s="26" t="str">
        <f t="shared" si="65"/>
        <v/>
      </c>
      <c r="J517" t="str">
        <f t="shared" si="66"/>
        <v/>
      </c>
      <c r="K517" s="26" t="str">
        <f t="shared" si="67"/>
        <v/>
      </c>
      <c r="L517" s="26" t="str">
        <f t="shared" si="68"/>
        <v/>
      </c>
      <c r="P517" t="e">
        <f t="shared" si="69"/>
        <v>#N/A</v>
      </c>
      <c r="Q517" t="e">
        <f t="shared" si="70"/>
        <v>#N/A</v>
      </c>
    </row>
    <row r="518" spans="1:17">
      <c r="A518" s="28"/>
      <c r="B518" s="28"/>
      <c r="C518" s="28"/>
      <c r="D518" s="28"/>
      <c r="E518" s="28"/>
      <c r="F518" s="28"/>
      <c r="G518" s="26" t="str">
        <f t="shared" si="64"/>
        <v/>
      </c>
      <c r="H518" s="26" t="str">
        <f t="shared" si="71"/>
        <v/>
      </c>
      <c r="I518" s="26" t="str">
        <f t="shared" si="65"/>
        <v/>
      </c>
      <c r="J518" t="str">
        <f t="shared" si="66"/>
        <v/>
      </c>
      <c r="K518" s="26" t="str">
        <f t="shared" si="67"/>
        <v/>
      </c>
      <c r="L518" s="26" t="str">
        <f t="shared" si="68"/>
        <v/>
      </c>
      <c r="P518" t="e">
        <f t="shared" si="69"/>
        <v>#N/A</v>
      </c>
      <c r="Q518" t="e">
        <f t="shared" si="70"/>
        <v>#N/A</v>
      </c>
    </row>
    <row r="519" spans="1:17">
      <c r="A519" s="28"/>
      <c r="B519" s="28"/>
      <c r="C519" s="28"/>
      <c r="D519" s="28"/>
      <c r="E519" s="28"/>
      <c r="F519" s="28"/>
      <c r="G519" s="26" t="str">
        <f t="shared" si="64"/>
        <v/>
      </c>
      <c r="H519" s="26" t="str">
        <f t="shared" si="71"/>
        <v/>
      </c>
      <c r="I519" s="26" t="str">
        <f t="shared" si="65"/>
        <v/>
      </c>
      <c r="J519" t="str">
        <f t="shared" si="66"/>
        <v/>
      </c>
      <c r="K519" s="26" t="str">
        <f t="shared" si="67"/>
        <v/>
      </c>
      <c r="L519" s="26" t="str">
        <f t="shared" si="68"/>
        <v/>
      </c>
      <c r="P519" t="e">
        <f t="shared" si="69"/>
        <v>#N/A</v>
      </c>
      <c r="Q519" t="e">
        <f t="shared" si="70"/>
        <v>#N/A</v>
      </c>
    </row>
    <row r="520" spans="1:17">
      <c r="A520" s="28"/>
      <c r="B520" s="28"/>
      <c r="C520" s="28"/>
      <c r="D520" s="28"/>
      <c r="E520" s="28"/>
      <c r="F520" s="28"/>
      <c r="G520" s="26" t="str">
        <f t="shared" si="64"/>
        <v/>
      </c>
      <c r="H520" s="26" t="str">
        <f t="shared" si="71"/>
        <v/>
      </c>
      <c r="I520" s="26" t="str">
        <f t="shared" si="65"/>
        <v/>
      </c>
      <c r="J520" t="str">
        <f t="shared" si="66"/>
        <v/>
      </c>
      <c r="K520" s="26" t="str">
        <f t="shared" si="67"/>
        <v/>
      </c>
      <c r="L520" s="26" t="str">
        <f t="shared" si="68"/>
        <v/>
      </c>
      <c r="P520" t="e">
        <f t="shared" si="69"/>
        <v>#N/A</v>
      </c>
      <c r="Q520" t="e">
        <f t="shared" si="70"/>
        <v>#N/A</v>
      </c>
    </row>
    <row r="521" spans="1:17">
      <c r="A521" s="28"/>
      <c r="B521" s="28"/>
      <c r="C521" s="28"/>
      <c r="D521" s="28"/>
      <c r="E521" s="28"/>
      <c r="F521" s="28"/>
      <c r="G521" s="26" t="str">
        <f t="shared" si="64"/>
        <v/>
      </c>
      <c r="H521" s="26" t="str">
        <f t="shared" si="71"/>
        <v/>
      </c>
      <c r="I521" s="26" t="str">
        <f t="shared" si="65"/>
        <v/>
      </c>
      <c r="J521" t="str">
        <f t="shared" si="66"/>
        <v/>
      </c>
      <c r="K521" s="26" t="str">
        <f t="shared" si="67"/>
        <v/>
      </c>
      <c r="L521" s="26" t="str">
        <f t="shared" si="68"/>
        <v/>
      </c>
      <c r="P521" t="e">
        <f t="shared" si="69"/>
        <v>#N/A</v>
      </c>
      <c r="Q521" t="e">
        <f t="shared" si="70"/>
        <v>#N/A</v>
      </c>
    </row>
    <row r="522" spans="1:17">
      <c r="A522" s="28"/>
      <c r="B522" s="28"/>
      <c r="C522" s="28"/>
      <c r="D522" s="28"/>
      <c r="E522" s="28"/>
      <c r="F522" s="28"/>
      <c r="G522" s="26" t="str">
        <f t="shared" si="64"/>
        <v/>
      </c>
      <c r="H522" s="26" t="str">
        <f t="shared" si="71"/>
        <v/>
      </c>
      <c r="I522" s="26" t="str">
        <f t="shared" si="65"/>
        <v/>
      </c>
      <c r="J522" t="str">
        <f t="shared" si="66"/>
        <v/>
      </c>
      <c r="K522" s="26" t="str">
        <f t="shared" si="67"/>
        <v/>
      </c>
      <c r="L522" s="26" t="str">
        <f t="shared" si="68"/>
        <v/>
      </c>
      <c r="P522" t="e">
        <f t="shared" si="69"/>
        <v>#N/A</v>
      </c>
      <c r="Q522" t="e">
        <f t="shared" si="70"/>
        <v>#N/A</v>
      </c>
    </row>
    <row r="523" spans="1:17">
      <c r="A523" s="28"/>
      <c r="B523" s="28"/>
      <c r="C523" s="28"/>
      <c r="D523" s="28"/>
      <c r="E523" s="28"/>
      <c r="F523" s="28"/>
      <c r="G523" s="26" t="str">
        <f t="shared" si="64"/>
        <v/>
      </c>
      <c r="H523" s="26" t="str">
        <f t="shared" si="71"/>
        <v/>
      </c>
      <c r="I523" s="26" t="str">
        <f t="shared" si="65"/>
        <v/>
      </c>
      <c r="J523" t="str">
        <f t="shared" si="66"/>
        <v/>
      </c>
      <c r="K523" s="26" t="str">
        <f t="shared" si="67"/>
        <v/>
      </c>
      <c r="L523" s="26" t="str">
        <f t="shared" si="68"/>
        <v/>
      </c>
      <c r="P523" t="e">
        <f t="shared" si="69"/>
        <v>#N/A</v>
      </c>
      <c r="Q523" t="e">
        <f t="shared" si="70"/>
        <v>#N/A</v>
      </c>
    </row>
    <row r="524" spans="1:17">
      <c r="A524" s="28"/>
      <c r="B524" s="28"/>
      <c r="C524" s="28"/>
      <c r="D524" s="28"/>
      <c r="E524" s="28"/>
      <c r="F524" s="28"/>
      <c r="G524" s="26" t="str">
        <f t="shared" si="64"/>
        <v/>
      </c>
      <c r="H524" s="26" t="str">
        <f t="shared" si="71"/>
        <v/>
      </c>
      <c r="I524" s="26" t="str">
        <f t="shared" si="65"/>
        <v/>
      </c>
      <c r="J524" t="str">
        <f t="shared" si="66"/>
        <v/>
      </c>
      <c r="K524" s="26" t="str">
        <f t="shared" si="67"/>
        <v/>
      </c>
      <c r="L524" s="26" t="str">
        <f t="shared" si="68"/>
        <v/>
      </c>
      <c r="P524" t="e">
        <f t="shared" si="69"/>
        <v>#N/A</v>
      </c>
      <c r="Q524" t="e">
        <f t="shared" si="70"/>
        <v>#N/A</v>
      </c>
    </row>
    <row r="525" spans="1:17">
      <c r="A525" s="28"/>
      <c r="B525" s="28"/>
      <c r="C525" s="28"/>
      <c r="D525" s="28"/>
      <c r="E525" s="28"/>
      <c r="F525" s="28"/>
      <c r="G525" s="26" t="str">
        <f t="shared" si="64"/>
        <v/>
      </c>
      <c r="H525" s="26" t="str">
        <f t="shared" si="71"/>
        <v/>
      </c>
      <c r="I525" s="26" t="str">
        <f t="shared" si="65"/>
        <v/>
      </c>
      <c r="J525" t="str">
        <f t="shared" si="66"/>
        <v/>
      </c>
      <c r="K525" s="26" t="str">
        <f t="shared" si="67"/>
        <v/>
      </c>
      <c r="L525" s="26" t="str">
        <f t="shared" si="68"/>
        <v/>
      </c>
      <c r="P525" t="e">
        <f t="shared" si="69"/>
        <v>#N/A</v>
      </c>
      <c r="Q525" t="e">
        <f t="shared" si="70"/>
        <v>#N/A</v>
      </c>
    </row>
    <row r="526" spans="1:17">
      <c r="A526" s="28"/>
      <c r="B526" s="28"/>
      <c r="C526" s="28"/>
      <c r="D526" s="28"/>
      <c r="E526" s="28"/>
      <c r="F526" s="28"/>
      <c r="G526" s="26" t="str">
        <f t="shared" si="64"/>
        <v/>
      </c>
      <c r="H526" s="26" t="str">
        <f t="shared" si="71"/>
        <v/>
      </c>
      <c r="I526" s="26" t="str">
        <f t="shared" si="65"/>
        <v/>
      </c>
      <c r="J526" t="str">
        <f t="shared" si="66"/>
        <v/>
      </c>
      <c r="K526" s="26" t="str">
        <f t="shared" si="67"/>
        <v/>
      </c>
      <c r="L526" s="26" t="str">
        <f t="shared" si="68"/>
        <v/>
      </c>
      <c r="P526" t="e">
        <f t="shared" si="69"/>
        <v>#N/A</v>
      </c>
      <c r="Q526" t="e">
        <f t="shared" si="70"/>
        <v>#N/A</v>
      </c>
    </row>
    <row r="527" spans="1:17">
      <c r="A527" s="28"/>
      <c r="B527" s="28"/>
      <c r="C527" s="28"/>
      <c r="D527" s="28"/>
      <c r="E527" s="28"/>
      <c r="F527" s="28"/>
      <c r="G527" s="26" t="str">
        <f t="shared" si="64"/>
        <v/>
      </c>
      <c r="H527" s="26" t="str">
        <f t="shared" si="71"/>
        <v/>
      </c>
      <c r="I527" s="26" t="str">
        <f t="shared" si="65"/>
        <v/>
      </c>
      <c r="J527" t="str">
        <f t="shared" si="66"/>
        <v/>
      </c>
      <c r="K527" s="26" t="str">
        <f t="shared" si="67"/>
        <v/>
      </c>
      <c r="L527" s="26" t="str">
        <f t="shared" si="68"/>
        <v/>
      </c>
      <c r="P527" t="e">
        <f t="shared" si="69"/>
        <v>#N/A</v>
      </c>
      <c r="Q527" t="e">
        <f t="shared" si="70"/>
        <v>#N/A</v>
      </c>
    </row>
    <row r="528" spans="1:17">
      <c r="A528" s="28"/>
      <c r="B528" s="28"/>
      <c r="C528" s="28"/>
      <c r="D528" s="28"/>
      <c r="E528" s="28"/>
      <c r="F528" s="28"/>
      <c r="G528" s="26" t="str">
        <f t="shared" si="64"/>
        <v/>
      </c>
      <c r="H528" s="26" t="str">
        <f t="shared" si="71"/>
        <v/>
      </c>
      <c r="I528" s="26" t="str">
        <f t="shared" si="65"/>
        <v/>
      </c>
      <c r="J528" t="str">
        <f t="shared" si="66"/>
        <v/>
      </c>
      <c r="K528" s="26" t="str">
        <f t="shared" si="67"/>
        <v/>
      </c>
      <c r="L528" s="26" t="str">
        <f t="shared" si="68"/>
        <v/>
      </c>
      <c r="P528" t="e">
        <f t="shared" si="69"/>
        <v>#N/A</v>
      </c>
      <c r="Q528" t="e">
        <f t="shared" si="70"/>
        <v>#N/A</v>
      </c>
    </row>
    <row r="529" spans="1:17">
      <c r="A529" s="28"/>
      <c r="B529" s="28"/>
      <c r="C529" s="28"/>
      <c r="D529" s="28"/>
      <c r="E529" s="28"/>
      <c r="F529" s="28"/>
      <c r="G529" s="26" t="str">
        <f t="shared" si="64"/>
        <v/>
      </c>
      <c r="H529" s="26" t="str">
        <f t="shared" si="71"/>
        <v/>
      </c>
      <c r="I529" s="26" t="str">
        <f t="shared" si="65"/>
        <v/>
      </c>
      <c r="J529" t="str">
        <f t="shared" si="66"/>
        <v/>
      </c>
      <c r="K529" s="26" t="str">
        <f t="shared" si="67"/>
        <v/>
      </c>
      <c r="L529" s="26" t="str">
        <f t="shared" si="68"/>
        <v/>
      </c>
      <c r="P529" t="e">
        <f t="shared" si="69"/>
        <v>#N/A</v>
      </c>
      <c r="Q529" t="e">
        <f t="shared" si="70"/>
        <v>#N/A</v>
      </c>
    </row>
    <row r="530" spans="1:17">
      <c r="A530" s="28"/>
      <c r="B530" s="28"/>
      <c r="C530" s="28"/>
      <c r="D530" s="28"/>
      <c r="E530" s="28"/>
      <c r="F530" s="28"/>
      <c r="G530" s="26" t="str">
        <f t="shared" si="64"/>
        <v/>
      </c>
      <c r="H530" s="26" t="str">
        <f t="shared" si="71"/>
        <v/>
      </c>
      <c r="I530" s="26" t="str">
        <f t="shared" si="65"/>
        <v/>
      </c>
      <c r="J530" t="str">
        <f t="shared" si="66"/>
        <v/>
      </c>
      <c r="K530" s="26" t="str">
        <f t="shared" si="67"/>
        <v/>
      </c>
      <c r="L530" s="26" t="str">
        <f t="shared" si="68"/>
        <v/>
      </c>
      <c r="P530" t="e">
        <f t="shared" si="69"/>
        <v>#N/A</v>
      </c>
      <c r="Q530" t="e">
        <f t="shared" si="70"/>
        <v>#N/A</v>
      </c>
    </row>
    <row r="531" spans="1:17">
      <c r="A531" s="28"/>
      <c r="B531" s="28"/>
      <c r="C531" s="28"/>
      <c r="D531" s="28"/>
      <c r="E531" s="28"/>
      <c r="F531" s="28"/>
      <c r="G531" s="26" t="str">
        <f t="shared" si="64"/>
        <v/>
      </c>
      <c r="H531" s="26" t="str">
        <f t="shared" si="71"/>
        <v/>
      </c>
      <c r="I531" s="26" t="str">
        <f t="shared" si="65"/>
        <v/>
      </c>
      <c r="J531" t="str">
        <f t="shared" si="66"/>
        <v/>
      </c>
      <c r="K531" s="26" t="str">
        <f t="shared" si="67"/>
        <v/>
      </c>
      <c r="L531" s="26" t="str">
        <f t="shared" si="68"/>
        <v/>
      </c>
      <c r="P531" t="e">
        <f t="shared" si="69"/>
        <v>#N/A</v>
      </c>
      <c r="Q531" t="e">
        <f t="shared" si="70"/>
        <v>#N/A</v>
      </c>
    </row>
    <row r="532" spans="1:17">
      <c r="A532" s="28"/>
      <c r="B532" s="28"/>
      <c r="C532" s="28"/>
      <c r="D532" s="28"/>
      <c r="E532" s="28"/>
      <c r="F532" s="28"/>
      <c r="G532" s="26" t="str">
        <f t="shared" si="64"/>
        <v/>
      </c>
      <c r="H532" s="26" t="str">
        <f t="shared" si="71"/>
        <v/>
      </c>
      <c r="I532" s="26" t="str">
        <f t="shared" si="65"/>
        <v/>
      </c>
      <c r="J532" t="str">
        <f t="shared" si="66"/>
        <v/>
      </c>
      <c r="K532" s="26" t="str">
        <f t="shared" si="67"/>
        <v/>
      </c>
      <c r="L532" s="26" t="str">
        <f t="shared" si="68"/>
        <v/>
      </c>
      <c r="P532" t="e">
        <f t="shared" si="69"/>
        <v>#N/A</v>
      </c>
      <c r="Q532" t="e">
        <f t="shared" si="70"/>
        <v>#N/A</v>
      </c>
    </row>
    <row r="533" spans="1:17">
      <c r="A533" s="28"/>
      <c r="B533" s="28"/>
      <c r="C533" s="28"/>
      <c r="D533" s="28"/>
      <c r="E533" s="28"/>
      <c r="F533" s="28"/>
      <c r="G533" s="26" t="str">
        <f t="shared" si="64"/>
        <v/>
      </c>
      <c r="H533" s="26" t="str">
        <f t="shared" si="71"/>
        <v/>
      </c>
      <c r="I533" s="26" t="str">
        <f t="shared" si="65"/>
        <v/>
      </c>
      <c r="J533" t="str">
        <f t="shared" si="66"/>
        <v/>
      </c>
      <c r="K533" s="26" t="str">
        <f t="shared" si="67"/>
        <v/>
      </c>
      <c r="L533" s="26" t="str">
        <f t="shared" si="68"/>
        <v/>
      </c>
      <c r="P533" t="e">
        <f t="shared" si="69"/>
        <v>#N/A</v>
      </c>
      <c r="Q533" t="e">
        <f t="shared" si="70"/>
        <v>#N/A</v>
      </c>
    </row>
    <row r="534" spans="1:17">
      <c r="A534" s="28"/>
      <c r="B534" s="28"/>
      <c r="C534" s="28"/>
      <c r="D534" s="28"/>
      <c r="E534" s="28"/>
      <c r="F534" s="28"/>
      <c r="G534" s="26" t="str">
        <f t="shared" si="64"/>
        <v/>
      </c>
      <c r="H534" s="26" t="str">
        <f t="shared" si="71"/>
        <v/>
      </c>
      <c r="I534" s="26" t="str">
        <f t="shared" si="65"/>
        <v/>
      </c>
      <c r="J534" t="str">
        <f t="shared" si="66"/>
        <v/>
      </c>
      <c r="K534" s="26" t="str">
        <f t="shared" si="67"/>
        <v/>
      </c>
      <c r="L534" s="26" t="str">
        <f t="shared" si="68"/>
        <v/>
      </c>
      <c r="P534" t="e">
        <f t="shared" si="69"/>
        <v>#N/A</v>
      </c>
      <c r="Q534" t="e">
        <f t="shared" si="70"/>
        <v>#N/A</v>
      </c>
    </row>
    <row r="535" spans="1:17">
      <c r="A535" s="28"/>
      <c r="B535" s="28"/>
      <c r="C535" s="28"/>
      <c r="D535" s="28"/>
      <c r="E535" s="28"/>
      <c r="F535" s="28"/>
      <c r="G535" s="26" t="str">
        <f t="shared" si="64"/>
        <v/>
      </c>
      <c r="H535" s="26" t="str">
        <f t="shared" si="71"/>
        <v/>
      </c>
      <c r="I535" s="26" t="str">
        <f t="shared" si="65"/>
        <v/>
      </c>
      <c r="J535" t="str">
        <f t="shared" si="66"/>
        <v/>
      </c>
      <c r="K535" s="26" t="str">
        <f t="shared" si="67"/>
        <v/>
      </c>
      <c r="L535" s="26" t="str">
        <f t="shared" si="68"/>
        <v/>
      </c>
      <c r="P535" t="e">
        <f t="shared" si="69"/>
        <v>#N/A</v>
      </c>
      <c r="Q535" t="e">
        <f t="shared" si="70"/>
        <v>#N/A</v>
      </c>
    </row>
    <row r="536" spans="1:17">
      <c r="A536" s="28"/>
      <c r="B536" s="28"/>
      <c r="C536" s="28"/>
      <c r="D536" s="28"/>
      <c r="E536" s="28"/>
      <c r="F536" s="28"/>
      <c r="G536" s="26" t="str">
        <f t="shared" si="64"/>
        <v/>
      </c>
      <c r="H536" s="26" t="str">
        <f t="shared" si="71"/>
        <v/>
      </c>
      <c r="I536" s="26" t="str">
        <f t="shared" si="65"/>
        <v/>
      </c>
      <c r="J536" t="str">
        <f t="shared" si="66"/>
        <v/>
      </c>
      <c r="K536" s="26" t="str">
        <f t="shared" si="67"/>
        <v/>
      </c>
      <c r="L536" s="26" t="str">
        <f t="shared" si="68"/>
        <v/>
      </c>
      <c r="P536" t="e">
        <f t="shared" si="69"/>
        <v>#N/A</v>
      </c>
      <c r="Q536" t="e">
        <f t="shared" si="70"/>
        <v>#N/A</v>
      </c>
    </row>
    <row r="537" spans="1:17">
      <c r="A537" s="28"/>
      <c r="B537" s="28"/>
      <c r="C537" s="28"/>
      <c r="D537" s="28"/>
      <c r="E537" s="28"/>
      <c r="F537" s="28"/>
      <c r="G537" s="26" t="str">
        <f t="shared" si="64"/>
        <v/>
      </c>
      <c r="H537" s="26" t="str">
        <f t="shared" si="71"/>
        <v/>
      </c>
      <c r="I537" s="26" t="str">
        <f t="shared" si="65"/>
        <v/>
      </c>
      <c r="J537" t="str">
        <f t="shared" si="66"/>
        <v/>
      </c>
      <c r="K537" s="26" t="str">
        <f t="shared" si="67"/>
        <v/>
      </c>
      <c r="L537" s="26" t="str">
        <f t="shared" si="68"/>
        <v/>
      </c>
      <c r="P537" t="e">
        <f t="shared" si="69"/>
        <v>#N/A</v>
      </c>
      <c r="Q537" t="e">
        <f t="shared" si="70"/>
        <v>#N/A</v>
      </c>
    </row>
    <row r="538" spans="1:17">
      <c r="A538" s="28"/>
      <c r="B538" s="28"/>
      <c r="C538" s="28"/>
      <c r="D538" s="28"/>
      <c r="E538" s="28"/>
      <c r="F538" s="28"/>
      <c r="G538" s="26" t="str">
        <f t="shared" si="64"/>
        <v/>
      </c>
      <c r="H538" s="26" t="str">
        <f t="shared" si="71"/>
        <v/>
      </c>
      <c r="I538" s="26" t="str">
        <f t="shared" si="65"/>
        <v/>
      </c>
      <c r="J538" t="str">
        <f t="shared" si="66"/>
        <v/>
      </c>
      <c r="K538" s="26" t="str">
        <f t="shared" si="67"/>
        <v/>
      </c>
      <c r="L538" s="26" t="str">
        <f t="shared" si="68"/>
        <v/>
      </c>
      <c r="P538" t="e">
        <f t="shared" si="69"/>
        <v>#N/A</v>
      </c>
      <c r="Q538" t="e">
        <f t="shared" si="70"/>
        <v>#N/A</v>
      </c>
    </row>
    <row r="539" spans="1:17">
      <c r="A539" s="28"/>
      <c r="B539" s="28"/>
      <c r="C539" s="28"/>
      <c r="D539" s="28"/>
      <c r="E539" s="28"/>
      <c r="F539" s="28"/>
      <c r="G539" s="26" t="str">
        <f t="shared" si="64"/>
        <v/>
      </c>
      <c r="H539" s="26" t="str">
        <f t="shared" si="71"/>
        <v/>
      </c>
      <c r="I539" s="26" t="str">
        <f t="shared" si="65"/>
        <v/>
      </c>
      <c r="J539" t="str">
        <f t="shared" si="66"/>
        <v/>
      </c>
      <c r="K539" s="26" t="str">
        <f t="shared" si="67"/>
        <v/>
      </c>
      <c r="L539" s="26" t="str">
        <f t="shared" si="68"/>
        <v/>
      </c>
      <c r="P539" t="e">
        <f t="shared" si="69"/>
        <v>#N/A</v>
      </c>
      <c r="Q539" t="e">
        <f t="shared" si="70"/>
        <v>#N/A</v>
      </c>
    </row>
    <row r="540" spans="1:17">
      <c r="A540" s="28"/>
      <c r="B540" s="28"/>
      <c r="C540" s="28"/>
      <c r="D540" s="28"/>
      <c r="E540" s="28"/>
      <c r="F540" s="28"/>
      <c r="G540" s="26" t="str">
        <f t="shared" si="64"/>
        <v/>
      </c>
      <c r="H540" s="26" t="str">
        <f t="shared" si="71"/>
        <v/>
      </c>
      <c r="I540" s="26" t="str">
        <f t="shared" si="65"/>
        <v/>
      </c>
      <c r="J540" t="str">
        <f t="shared" si="66"/>
        <v/>
      </c>
      <c r="K540" s="26" t="str">
        <f t="shared" si="67"/>
        <v/>
      </c>
      <c r="L540" s="26" t="str">
        <f t="shared" si="68"/>
        <v/>
      </c>
      <c r="P540" t="e">
        <f t="shared" si="69"/>
        <v>#N/A</v>
      </c>
      <c r="Q540" t="e">
        <f t="shared" si="70"/>
        <v>#N/A</v>
      </c>
    </row>
    <row r="541" spans="1:17">
      <c r="A541" s="28"/>
      <c r="B541" s="28"/>
      <c r="C541" s="28"/>
      <c r="D541" s="28"/>
      <c r="E541" s="28"/>
      <c r="F541" s="28"/>
      <c r="G541" s="26" t="str">
        <f t="shared" si="64"/>
        <v/>
      </c>
      <c r="H541" s="26" t="str">
        <f t="shared" si="71"/>
        <v/>
      </c>
      <c r="I541" s="26" t="str">
        <f t="shared" si="65"/>
        <v/>
      </c>
      <c r="J541" t="str">
        <f t="shared" si="66"/>
        <v/>
      </c>
      <c r="K541" s="26" t="str">
        <f t="shared" si="67"/>
        <v/>
      </c>
      <c r="L541" s="26" t="str">
        <f t="shared" si="68"/>
        <v/>
      </c>
      <c r="P541" t="e">
        <f t="shared" si="69"/>
        <v>#N/A</v>
      </c>
      <c r="Q541" t="e">
        <f t="shared" si="70"/>
        <v>#N/A</v>
      </c>
    </row>
    <row r="542" spans="1:17">
      <c r="A542" s="28"/>
      <c r="B542" s="28"/>
      <c r="C542" s="28"/>
      <c r="D542" s="28"/>
      <c r="E542" s="28"/>
      <c r="F542" s="28"/>
      <c r="G542" s="26" t="str">
        <f t="shared" si="64"/>
        <v/>
      </c>
      <c r="H542" s="26" t="str">
        <f t="shared" si="71"/>
        <v/>
      </c>
      <c r="I542" s="26" t="str">
        <f t="shared" si="65"/>
        <v/>
      </c>
      <c r="J542" t="str">
        <f t="shared" si="66"/>
        <v/>
      </c>
      <c r="K542" s="26" t="str">
        <f t="shared" si="67"/>
        <v/>
      </c>
      <c r="L542" s="26" t="str">
        <f t="shared" si="68"/>
        <v/>
      </c>
      <c r="P542" t="e">
        <f t="shared" si="69"/>
        <v>#N/A</v>
      </c>
      <c r="Q542" t="e">
        <f t="shared" si="70"/>
        <v>#N/A</v>
      </c>
    </row>
    <row r="543" spans="1:17">
      <c r="A543" s="28"/>
      <c r="B543" s="28"/>
      <c r="C543" s="28"/>
      <c r="D543" s="28"/>
      <c r="E543" s="28"/>
      <c r="F543" s="28"/>
      <c r="G543" s="26" t="str">
        <f t="shared" si="64"/>
        <v/>
      </c>
      <c r="H543" s="26" t="str">
        <f t="shared" si="71"/>
        <v/>
      </c>
      <c r="I543" s="26" t="str">
        <f t="shared" si="65"/>
        <v/>
      </c>
      <c r="J543" t="str">
        <f t="shared" si="66"/>
        <v/>
      </c>
      <c r="K543" s="26" t="str">
        <f t="shared" si="67"/>
        <v/>
      </c>
      <c r="L543" s="26" t="str">
        <f t="shared" si="68"/>
        <v/>
      </c>
      <c r="P543" t="e">
        <f t="shared" si="69"/>
        <v>#N/A</v>
      </c>
      <c r="Q543" t="e">
        <f t="shared" si="70"/>
        <v>#N/A</v>
      </c>
    </row>
    <row r="544" spans="1:17">
      <c r="A544" s="28"/>
      <c r="B544" s="28"/>
      <c r="C544" s="28"/>
      <c r="D544" s="28"/>
      <c r="E544" s="28"/>
      <c r="F544" s="28"/>
      <c r="G544" s="26" t="str">
        <f t="shared" si="64"/>
        <v/>
      </c>
      <c r="H544" s="26" t="str">
        <f t="shared" si="71"/>
        <v/>
      </c>
      <c r="I544" s="26" t="str">
        <f t="shared" si="65"/>
        <v/>
      </c>
      <c r="J544" t="str">
        <f t="shared" si="66"/>
        <v/>
      </c>
      <c r="K544" s="26" t="str">
        <f t="shared" si="67"/>
        <v/>
      </c>
      <c r="L544" s="26" t="str">
        <f t="shared" si="68"/>
        <v/>
      </c>
      <c r="P544" t="e">
        <f t="shared" si="69"/>
        <v>#N/A</v>
      </c>
      <c r="Q544" t="e">
        <f t="shared" si="70"/>
        <v>#N/A</v>
      </c>
    </row>
    <row r="545" spans="1:17">
      <c r="A545" s="28"/>
      <c r="B545" s="28"/>
      <c r="C545" s="28"/>
      <c r="D545" s="28"/>
      <c r="E545" s="28"/>
      <c r="F545" s="28"/>
      <c r="G545" s="26" t="str">
        <f t="shared" si="64"/>
        <v/>
      </c>
      <c r="H545" s="26" t="str">
        <f t="shared" si="71"/>
        <v/>
      </c>
      <c r="I545" s="26" t="str">
        <f t="shared" si="65"/>
        <v/>
      </c>
      <c r="J545" t="str">
        <f t="shared" si="66"/>
        <v/>
      </c>
      <c r="K545" s="26" t="str">
        <f t="shared" si="67"/>
        <v/>
      </c>
      <c r="L545" s="26" t="str">
        <f t="shared" si="68"/>
        <v/>
      </c>
      <c r="P545" t="e">
        <f t="shared" si="69"/>
        <v>#N/A</v>
      </c>
      <c r="Q545" t="e">
        <f t="shared" si="70"/>
        <v>#N/A</v>
      </c>
    </row>
    <row r="546" spans="1:17">
      <c r="A546" s="28"/>
      <c r="B546" s="28"/>
      <c r="C546" s="28"/>
      <c r="D546" s="28"/>
      <c r="E546" s="28"/>
      <c r="F546" s="28"/>
      <c r="G546" s="26" t="str">
        <f t="shared" si="64"/>
        <v/>
      </c>
      <c r="H546" s="26" t="str">
        <f t="shared" si="71"/>
        <v/>
      </c>
      <c r="I546" s="26" t="str">
        <f t="shared" si="65"/>
        <v/>
      </c>
      <c r="J546" t="str">
        <f t="shared" si="66"/>
        <v/>
      </c>
      <c r="K546" s="26" t="str">
        <f t="shared" si="67"/>
        <v/>
      </c>
      <c r="L546" s="26" t="str">
        <f t="shared" si="68"/>
        <v/>
      </c>
      <c r="P546" t="e">
        <f t="shared" si="69"/>
        <v>#N/A</v>
      </c>
      <c r="Q546" t="e">
        <f t="shared" si="70"/>
        <v>#N/A</v>
      </c>
    </row>
    <row r="547" spans="1:17">
      <c r="A547" s="28"/>
      <c r="B547" s="28"/>
      <c r="C547" s="28"/>
      <c r="D547" s="28"/>
      <c r="E547" s="28"/>
      <c r="F547" s="28"/>
      <c r="G547" s="26" t="str">
        <f t="shared" si="64"/>
        <v/>
      </c>
      <c r="H547" s="26" t="str">
        <f t="shared" si="71"/>
        <v/>
      </c>
      <c r="I547" s="26" t="str">
        <f t="shared" si="65"/>
        <v/>
      </c>
      <c r="J547" t="str">
        <f t="shared" si="66"/>
        <v/>
      </c>
      <c r="K547" s="26" t="str">
        <f t="shared" si="67"/>
        <v/>
      </c>
      <c r="L547" s="26" t="str">
        <f t="shared" si="68"/>
        <v/>
      </c>
      <c r="P547" t="e">
        <f t="shared" si="69"/>
        <v>#N/A</v>
      </c>
      <c r="Q547" t="e">
        <f t="shared" si="70"/>
        <v>#N/A</v>
      </c>
    </row>
    <row r="548" spans="1:17">
      <c r="A548" s="28"/>
      <c r="B548" s="28"/>
      <c r="C548" s="28"/>
      <c r="D548" s="28"/>
      <c r="E548" s="28"/>
      <c r="F548" s="28"/>
      <c r="G548" s="26" t="str">
        <f t="shared" si="64"/>
        <v/>
      </c>
      <c r="H548" s="26" t="str">
        <f t="shared" si="71"/>
        <v/>
      </c>
      <c r="I548" s="26" t="str">
        <f t="shared" si="65"/>
        <v/>
      </c>
      <c r="J548" t="str">
        <f t="shared" si="66"/>
        <v/>
      </c>
      <c r="K548" s="26" t="str">
        <f t="shared" si="67"/>
        <v/>
      </c>
      <c r="L548" s="26" t="str">
        <f t="shared" si="68"/>
        <v/>
      </c>
      <c r="P548" t="e">
        <f t="shared" si="69"/>
        <v>#N/A</v>
      </c>
      <c r="Q548" t="e">
        <f t="shared" si="70"/>
        <v>#N/A</v>
      </c>
    </row>
    <row r="549" spans="1:17">
      <c r="A549" s="28"/>
      <c r="B549" s="28"/>
      <c r="C549" s="28"/>
      <c r="D549" s="28"/>
      <c r="E549" s="28"/>
      <c r="F549" s="28"/>
      <c r="G549" s="26" t="str">
        <f t="shared" si="64"/>
        <v/>
      </c>
      <c r="H549" s="26" t="str">
        <f t="shared" si="71"/>
        <v/>
      </c>
      <c r="I549" s="26" t="str">
        <f t="shared" si="65"/>
        <v/>
      </c>
      <c r="J549" t="str">
        <f t="shared" si="66"/>
        <v/>
      </c>
      <c r="K549" s="26" t="str">
        <f t="shared" si="67"/>
        <v/>
      </c>
      <c r="L549" s="26" t="str">
        <f t="shared" si="68"/>
        <v/>
      </c>
      <c r="P549" t="e">
        <f t="shared" si="69"/>
        <v>#N/A</v>
      </c>
      <c r="Q549" t="e">
        <f t="shared" si="70"/>
        <v>#N/A</v>
      </c>
    </row>
    <row r="550" spans="1:17">
      <c r="A550" s="28"/>
      <c r="B550" s="28"/>
      <c r="C550" s="28"/>
      <c r="D550" s="28"/>
      <c r="E550" s="28"/>
      <c r="F550" s="28"/>
      <c r="G550" s="26" t="str">
        <f t="shared" si="64"/>
        <v/>
      </c>
      <c r="H550" s="26" t="str">
        <f t="shared" si="71"/>
        <v/>
      </c>
      <c r="I550" s="26" t="str">
        <f t="shared" si="65"/>
        <v/>
      </c>
      <c r="J550" t="str">
        <f t="shared" si="66"/>
        <v/>
      </c>
      <c r="K550" s="26" t="str">
        <f t="shared" si="67"/>
        <v/>
      </c>
      <c r="L550" s="26" t="str">
        <f t="shared" si="68"/>
        <v/>
      </c>
      <c r="P550" t="e">
        <f t="shared" si="69"/>
        <v>#N/A</v>
      </c>
      <c r="Q550" t="e">
        <f t="shared" si="70"/>
        <v>#N/A</v>
      </c>
    </row>
    <row r="551" spans="1:17">
      <c r="A551" s="28"/>
      <c r="B551" s="28"/>
      <c r="C551" s="28"/>
      <c r="D551" s="28"/>
      <c r="E551" s="28"/>
      <c r="F551" s="28"/>
      <c r="G551" s="26" t="str">
        <f t="shared" si="64"/>
        <v/>
      </c>
      <c r="H551" s="26" t="str">
        <f t="shared" si="71"/>
        <v/>
      </c>
      <c r="I551" s="26" t="str">
        <f t="shared" si="65"/>
        <v/>
      </c>
      <c r="J551" t="str">
        <f t="shared" si="66"/>
        <v/>
      </c>
      <c r="K551" s="26" t="str">
        <f t="shared" si="67"/>
        <v/>
      </c>
      <c r="L551" s="26" t="str">
        <f t="shared" si="68"/>
        <v/>
      </c>
      <c r="P551" t="e">
        <f t="shared" si="69"/>
        <v>#N/A</v>
      </c>
      <c r="Q551" t="e">
        <f t="shared" si="70"/>
        <v>#N/A</v>
      </c>
    </row>
    <row r="552" spans="1:17">
      <c r="A552" s="28"/>
      <c r="B552" s="28"/>
      <c r="C552" s="28"/>
      <c r="D552" s="28"/>
      <c r="E552" s="28"/>
      <c r="F552" s="28"/>
      <c r="G552" s="26" t="str">
        <f t="shared" si="64"/>
        <v/>
      </c>
      <c r="H552" s="26" t="str">
        <f t="shared" si="71"/>
        <v/>
      </c>
      <c r="I552" s="26" t="str">
        <f t="shared" si="65"/>
        <v/>
      </c>
      <c r="J552" t="str">
        <f t="shared" si="66"/>
        <v/>
      </c>
      <c r="K552" s="26" t="str">
        <f t="shared" si="67"/>
        <v/>
      </c>
      <c r="L552" s="26" t="str">
        <f t="shared" si="68"/>
        <v/>
      </c>
      <c r="P552" t="e">
        <f t="shared" si="69"/>
        <v>#N/A</v>
      </c>
      <c r="Q552" t="e">
        <f t="shared" si="70"/>
        <v>#N/A</v>
      </c>
    </row>
    <row r="553" spans="1:17">
      <c r="A553" s="28"/>
      <c r="B553" s="28"/>
      <c r="C553" s="28"/>
      <c r="D553" s="28"/>
      <c r="E553" s="28"/>
      <c r="F553" s="28"/>
      <c r="G553" s="26" t="str">
        <f t="shared" si="64"/>
        <v/>
      </c>
      <c r="H553" s="26" t="str">
        <f t="shared" si="71"/>
        <v/>
      </c>
      <c r="I553" s="26" t="str">
        <f t="shared" si="65"/>
        <v/>
      </c>
      <c r="J553" t="str">
        <f t="shared" si="66"/>
        <v/>
      </c>
      <c r="K553" s="26" t="str">
        <f t="shared" si="67"/>
        <v/>
      </c>
      <c r="L553" s="26" t="str">
        <f t="shared" si="68"/>
        <v/>
      </c>
      <c r="P553" t="e">
        <f t="shared" si="69"/>
        <v>#N/A</v>
      </c>
      <c r="Q553" t="e">
        <f t="shared" si="70"/>
        <v>#N/A</v>
      </c>
    </row>
    <row r="554" spans="1:17">
      <c r="A554" s="28"/>
      <c r="B554" s="28"/>
      <c r="C554" s="28"/>
      <c r="D554" s="28"/>
      <c r="E554" s="28"/>
      <c r="F554" s="28"/>
      <c r="G554" s="26" t="str">
        <f t="shared" si="64"/>
        <v/>
      </c>
      <c r="H554" s="26" t="str">
        <f t="shared" si="71"/>
        <v/>
      </c>
      <c r="I554" s="26" t="str">
        <f t="shared" si="65"/>
        <v/>
      </c>
      <c r="J554" t="str">
        <f t="shared" si="66"/>
        <v/>
      </c>
      <c r="K554" s="26" t="str">
        <f t="shared" si="67"/>
        <v/>
      </c>
      <c r="L554" s="26" t="str">
        <f t="shared" si="68"/>
        <v/>
      </c>
      <c r="P554" t="e">
        <f t="shared" si="69"/>
        <v>#N/A</v>
      </c>
      <c r="Q554" t="e">
        <f t="shared" si="70"/>
        <v>#N/A</v>
      </c>
    </row>
    <row r="555" spans="1:17">
      <c r="A555" s="28"/>
      <c r="B555" s="28"/>
      <c r="C555" s="28"/>
      <c r="D555" s="28"/>
      <c r="E555" s="28"/>
      <c r="F555" s="28"/>
      <c r="G555" s="26" t="str">
        <f t="shared" si="64"/>
        <v/>
      </c>
      <c r="H555" s="26" t="str">
        <f t="shared" si="71"/>
        <v/>
      </c>
      <c r="I555" s="26" t="str">
        <f t="shared" si="65"/>
        <v/>
      </c>
      <c r="J555" t="str">
        <f t="shared" si="66"/>
        <v/>
      </c>
      <c r="K555" s="26" t="str">
        <f t="shared" si="67"/>
        <v/>
      </c>
      <c r="L555" s="26" t="str">
        <f t="shared" si="68"/>
        <v/>
      </c>
      <c r="P555" t="e">
        <f t="shared" si="69"/>
        <v>#N/A</v>
      </c>
      <c r="Q555" t="e">
        <f t="shared" si="70"/>
        <v>#N/A</v>
      </c>
    </row>
    <row r="556" spans="1:17">
      <c r="A556" s="28"/>
      <c r="B556" s="28"/>
      <c r="C556" s="28"/>
      <c r="D556" s="28"/>
      <c r="E556" s="28"/>
      <c r="F556" s="28"/>
      <c r="G556" s="26" t="str">
        <f t="shared" si="64"/>
        <v/>
      </c>
      <c r="H556" s="26" t="str">
        <f t="shared" si="71"/>
        <v/>
      </c>
      <c r="I556" s="26" t="str">
        <f t="shared" si="65"/>
        <v/>
      </c>
      <c r="J556" t="str">
        <f t="shared" si="66"/>
        <v/>
      </c>
      <c r="K556" s="26" t="str">
        <f t="shared" si="67"/>
        <v/>
      </c>
      <c r="L556" s="26" t="str">
        <f t="shared" si="68"/>
        <v/>
      </c>
      <c r="P556" t="e">
        <f t="shared" si="69"/>
        <v>#N/A</v>
      </c>
      <c r="Q556" t="e">
        <f t="shared" si="70"/>
        <v>#N/A</v>
      </c>
    </row>
    <row r="557" spans="1:17">
      <c r="A557" s="28"/>
      <c r="B557" s="28"/>
      <c r="C557" s="28"/>
      <c r="D557" s="28"/>
      <c r="E557" s="28"/>
      <c r="F557" s="28"/>
      <c r="G557" s="26" t="str">
        <f t="shared" si="64"/>
        <v/>
      </c>
      <c r="H557" s="26" t="str">
        <f t="shared" si="71"/>
        <v/>
      </c>
      <c r="I557" s="26" t="str">
        <f t="shared" si="65"/>
        <v/>
      </c>
      <c r="J557" t="str">
        <f t="shared" si="66"/>
        <v/>
      </c>
      <c r="K557" s="26" t="str">
        <f t="shared" si="67"/>
        <v/>
      </c>
      <c r="L557" s="26" t="str">
        <f t="shared" si="68"/>
        <v/>
      </c>
      <c r="P557" t="e">
        <f t="shared" si="69"/>
        <v>#N/A</v>
      </c>
      <c r="Q557" t="e">
        <f t="shared" si="70"/>
        <v>#N/A</v>
      </c>
    </row>
    <row r="558" spans="1:17">
      <c r="A558" s="28"/>
      <c r="B558" s="28"/>
      <c r="C558" s="28"/>
      <c r="D558" s="28"/>
      <c r="E558" s="28"/>
      <c r="F558" s="28"/>
      <c r="G558" s="26" t="str">
        <f t="shared" si="64"/>
        <v/>
      </c>
      <c r="H558" s="26" t="str">
        <f t="shared" si="71"/>
        <v/>
      </c>
      <c r="I558" s="26" t="str">
        <f t="shared" si="65"/>
        <v/>
      </c>
      <c r="J558" t="str">
        <f t="shared" si="66"/>
        <v/>
      </c>
      <c r="K558" s="26" t="str">
        <f t="shared" si="67"/>
        <v/>
      </c>
      <c r="L558" s="26" t="str">
        <f t="shared" si="68"/>
        <v/>
      </c>
      <c r="P558" t="e">
        <f t="shared" si="69"/>
        <v>#N/A</v>
      </c>
      <c r="Q558" t="e">
        <f t="shared" si="70"/>
        <v>#N/A</v>
      </c>
    </row>
    <row r="559" spans="1:17">
      <c r="A559" s="28"/>
      <c r="B559" s="28"/>
      <c r="C559" s="28"/>
      <c r="D559" s="28"/>
      <c r="E559" s="28"/>
      <c r="F559" s="28"/>
      <c r="G559" s="26" t="str">
        <f t="shared" si="64"/>
        <v/>
      </c>
      <c r="H559" s="26" t="str">
        <f t="shared" si="71"/>
        <v/>
      </c>
      <c r="I559" s="26" t="str">
        <f t="shared" si="65"/>
        <v/>
      </c>
      <c r="J559" t="str">
        <f t="shared" si="66"/>
        <v/>
      </c>
      <c r="K559" s="26" t="str">
        <f t="shared" si="67"/>
        <v/>
      </c>
      <c r="L559" s="26" t="str">
        <f t="shared" si="68"/>
        <v/>
      </c>
      <c r="P559" t="e">
        <f t="shared" si="69"/>
        <v>#N/A</v>
      </c>
      <c r="Q559" t="e">
        <f t="shared" si="70"/>
        <v>#N/A</v>
      </c>
    </row>
    <row r="560" spans="1:17">
      <c r="A560" s="28"/>
      <c r="B560" s="28"/>
      <c r="C560" s="28"/>
      <c r="D560" s="28"/>
      <c r="E560" s="28"/>
      <c r="F560" s="28"/>
      <c r="G560" s="26" t="str">
        <f t="shared" si="64"/>
        <v/>
      </c>
      <c r="H560" s="26" t="str">
        <f t="shared" si="71"/>
        <v/>
      </c>
      <c r="I560" s="26" t="str">
        <f t="shared" si="65"/>
        <v/>
      </c>
      <c r="J560" t="str">
        <f t="shared" si="66"/>
        <v/>
      </c>
      <c r="K560" s="26" t="str">
        <f t="shared" si="67"/>
        <v/>
      </c>
      <c r="L560" s="26" t="str">
        <f t="shared" si="68"/>
        <v/>
      </c>
      <c r="P560" t="e">
        <f t="shared" si="69"/>
        <v>#N/A</v>
      </c>
      <c r="Q560" t="e">
        <f t="shared" si="70"/>
        <v>#N/A</v>
      </c>
    </row>
    <row r="561" spans="1:17">
      <c r="A561" s="28"/>
      <c r="B561" s="28"/>
      <c r="C561" s="28"/>
      <c r="D561" s="28"/>
      <c r="E561" s="28"/>
      <c r="F561" s="28"/>
      <c r="G561" s="26" t="str">
        <f t="shared" si="64"/>
        <v/>
      </c>
      <c r="H561" s="26" t="str">
        <f t="shared" si="71"/>
        <v/>
      </c>
      <c r="I561" s="26" t="str">
        <f t="shared" si="65"/>
        <v/>
      </c>
      <c r="J561" t="str">
        <f t="shared" si="66"/>
        <v/>
      </c>
      <c r="K561" s="26" t="str">
        <f t="shared" si="67"/>
        <v/>
      </c>
      <c r="L561" s="26" t="str">
        <f t="shared" si="68"/>
        <v/>
      </c>
      <c r="P561" t="e">
        <f t="shared" si="69"/>
        <v>#N/A</v>
      </c>
      <c r="Q561" t="e">
        <f t="shared" si="70"/>
        <v>#N/A</v>
      </c>
    </row>
    <row r="562" spans="1:17">
      <c r="A562" s="28"/>
      <c r="B562" s="28"/>
      <c r="C562" s="28"/>
      <c r="D562" s="28"/>
      <c r="E562" s="28"/>
      <c r="F562" s="28"/>
      <c r="G562" s="26" t="str">
        <f t="shared" si="64"/>
        <v/>
      </c>
      <c r="H562" s="26" t="str">
        <f t="shared" si="71"/>
        <v/>
      </c>
      <c r="I562" s="26" t="str">
        <f t="shared" si="65"/>
        <v/>
      </c>
      <c r="J562" t="str">
        <f t="shared" si="66"/>
        <v/>
      </c>
      <c r="K562" s="26" t="str">
        <f t="shared" si="67"/>
        <v/>
      </c>
      <c r="L562" s="26" t="str">
        <f t="shared" si="68"/>
        <v/>
      </c>
      <c r="P562" t="e">
        <f t="shared" si="69"/>
        <v>#N/A</v>
      </c>
      <c r="Q562" t="e">
        <f t="shared" si="70"/>
        <v>#N/A</v>
      </c>
    </row>
    <row r="563" spans="1:17">
      <c r="A563" s="28"/>
      <c r="B563" s="28"/>
      <c r="C563" s="28"/>
      <c r="D563" s="28"/>
      <c r="E563" s="28"/>
      <c r="F563" s="28"/>
      <c r="G563" s="26" t="str">
        <f t="shared" si="64"/>
        <v/>
      </c>
      <c r="H563" s="26" t="str">
        <f t="shared" si="71"/>
        <v/>
      </c>
      <c r="I563" s="26" t="str">
        <f t="shared" si="65"/>
        <v/>
      </c>
      <c r="J563" t="str">
        <f t="shared" si="66"/>
        <v/>
      </c>
      <c r="K563" s="26" t="str">
        <f t="shared" si="67"/>
        <v/>
      </c>
      <c r="L563" s="26" t="str">
        <f t="shared" si="68"/>
        <v/>
      </c>
      <c r="P563" t="e">
        <f t="shared" si="69"/>
        <v>#N/A</v>
      </c>
      <c r="Q563" t="e">
        <f t="shared" si="70"/>
        <v>#N/A</v>
      </c>
    </row>
    <row r="564" spans="1:17">
      <c r="A564" s="28"/>
      <c r="B564" s="28"/>
      <c r="C564" s="28"/>
      <c r="D564" s="28"/>
      <c r="E564" s="28"/>
      <c r="F564" s="28"/>
      <c r="G564" s="26" t="str">
        <f t="shared" si="64"/>
        <v/>
      </c>
      <c r="H564" s="26" t="str">
        <f t="shared" si="71"/>
        <v/>
      </c>
      <c r="I564" s="26" t="str">
        <f t="shared" si="65"/>
        <v/>
      </c>
      <c r="J564" t="str">
        <f t="shared" si="66"/>
        <v/>
      </c>
      <c r="K564" s="26" t="str">
        <f t="shared" si="67"/>
        <v/>
      </c>
      <c r="L564" s="26" t="str">
        <f t="shared" si="68"/>
        <v/>
      </c>
      <c r="P564" t="e">
        <f t="shared" si="69"/>
        <v>#N/A</v>
      </c>
      <c r="Q564" t="e">
        <f t="shared" si="70"/>
        <v>#N/A</v>
      </c>
    </row>
    <row r="565" spans="1:17">
      <c r="A565" s="28"/>
      <c r="B565" s="28"/>
      <c r="C565" s="28"/>
      <c r="D565" s="28"/>
      <c r="E565" s="28"/>
      <c r="F565" s="28"/>
      <c r="G565" s="26" t="str">
        <f t="shared" si="64"/>
        <v/>
      </c>
      <c r="H565" s="26" t="str">
        <f t="shared" si="71"/>
        <v/>
      </c>
      <c r="I565" s="26" t="str">
        <f t="shared" si="65"/>
        <v/>
      </c>
      <c r="J565" t="str">
        <f t="shared" si="66"/>
        <v/>
      </c>
      <c r="K565" s="26" t="str">
        <f t="shared" si="67"/>
        <v/>
      </c>
      <c r="L565" s="26" t="str">
        <f t="shared" si="68"/>
        <v/>
      </c>
      <c r="P565" t="e">
        <f t="shared" si="69"/>
        <v>#N/A</v>
      </c>
      <c r="Q565" t="e">
        <f t="shared" si="70"/>
        <v>#N/A</v>
      </c>
    </row>
    <row r="566" spans="1:17">
      <c r="A566" s="28"/>
      <c r="B566" s="28"/>
      <c r="C566" s="28"/>
      <c r="D566" s="28"/>
      <c r="E566" s="28"/>
      <c r="F566" s="28"/>
      <c r="G566" s="26" t="str">
        <f t="shared" si="64"/>
        <v/>
      </c>
      <c r="H566" s="26" t="str">
        <f t="shared" si="71"/>
        <v/>
      </c>
      <c r="I566" s="26" t="str">
        <f t="shared" si="65"/>
        <v/>
      </c>
      <c r="J566" t="str">
        <f t="shared" si="66"/>
        <v/>
      </c>
      <c r="K566" s="26" t="str">
        <f t="shared" si="67"/>
        <v/>
      </c>
      <c r="L566" s="26" t="str">
        <f t="shared" si="68"/>
        <v/>
      </c>
      <c r="P566" t="e">
        <f t="shared" si="69"/>
        <v>#N/A</v>
      </c>
      <c r="Q566" t="e">
        <f t="shared" si="70"/>
        <v>#N/A</v>
      </c>
    </row>
    <row r="567" spans="1:17">
      <c r="A567" s="28"/>
      <c r="B567" s="28"/>
      <c r="C567" s="28"/>
      <c r="D567" s="28"/>
      <c r="E567" s="28"/>
      <c r="F567" s="28"/>
      <c r="G567" s="26" t="str">
        <f t="shared" si="64"/>
        <v/>
      </c>
      <c r="H567" s="26" t="str">
        <f t="shared" si="71"/>
        <v/>
      </c>
      <c r="I567" s="26" t="str">
        <f t="shared" si="65"/>
        <v/>
      </c>
      <c r="J567" t="str">
        <f t="shared" si="66"/>
        <v/>
      </c>
      <c r="K567" s="26" t="str">
        <f t="shared" si="67"/>
        <v/>
      </c>
      <c r="L567" s="26" t="str">
        <f t="shared" si="68"/>
        <v/>
      </c>
      <c r="P567" t="e">
        <f t="shared" si="69"/>
        <v>#N/A</v>
      </c>
      <c r="Q567" t="e">
        <f t="shared" si="70"/>
        <v>#N/A</v>
      </c>
    </row>
    <row r="568" spans="1:17">
      <c r="A568" s="28"/>
      <c r="B568" s="28"/>
      <c r="C568" s="28"/>
      <c r="D568" s="28"/>
      <c r="E568" s="28"/>
      <c r="F568" s="28"/>
      <c r="G568" s="26" t="str">
        <f t="shared" si="64"/>
        <v/>
      </c>
      <c r="H568" s="26" t="str">
        <f t="shared" si="71"/>
        <v/>
      </c>
      <c r="I568" s="26" t="str">
        <f t="shared" si="65"/>
        <v/>
      </c>
      <c r="J568" t="str">
        <f t="shared" si="66"/>
        <v/>
      </c>
      <c r="K568" s="26" t="str">
        <f t="shared" si="67"/>
        <v/>
      </c>
      <c r="L568" s="26" t="str">
        <f t="shared" si="68"/>
        <v/>
      </c>
      <c r="P568" t="e">
        <f t="shared" si="69"/>
        <v>#N/A</v>
      </c>
      <c r="Q568" t="e">
        <f t="shared" si="70"/>
        <v>#N/A</v>
      </c>
    </row>
    <row r="569" spans="1:17">
      <c r="A569" s="28"/>
      <c r="B569" s="28"/>
      <c r="C569" s="28"/>
      <c r="D569" s="28"/>
      <c r="E569" s="28"/>
      <c r="F569" s="28"/>
      <c r="G569" s="26" t="str">
        <f t="shared" si="64"/>
        <v/>
      </c>
      <c r="H569" s="26" t="str">
        <f t="shared" si="71"/>
        <v/>
      </c>
      <c r="I569" s="26" t="str">
        <f t="shared" si="65"/>
        <v/>
      </c>
      <c r="J569" t="str">
        <f t="shared" si="66"/>
        <v/>
      </c>
      <c r="K569" s="26" t="str">
        <f t="shared" si="67"/>
        <v/>
      </c>
      <c r="L569" s="26" t="str">
        <f t="shared" si="68"/>
        <v/>
      </c>
      <c r="P569" t="e">
        <f t="shared" si="69"/>
        <v>#N/A</v>
      </c>
      <c r="Q569" t="e">
        <f t="shared" si="70"/>
        <v>#N/A</v>
      </c>
    </row>
    <row r="570" spans="1:17">
      <c r="A570" s="28"/>
      <c r="B570" s="28"/>
      <c r="C570" s="28"/>
      <c r="D570" s="28"/>
      <c r="E570" s="28"/>
      <c r="F570" s="28"/>
      <c r="G570" s="26" t="str">
        <f t="shared" si="64"/>
        <v/>
      </c>
      <c r="H570" s="26" t="str">
        <f t="shared" si="71"/>
        <v/>
      </c>
      <c r="I570" s="26" t="str">
        <f t="shared" si="65"/>
        <v/>
      </c>
      <c r="J570" t="str">
        <f t="shared" si="66"/>
        <v/>
      </c>
      <c r="K570" s="26" t="str">
        <f t="shared" si="67"/>
        <v/>
      </c>
      <c r="L570" s="26" t="str">
        <f t="shared" si="68"/>
        <v/>
      </c>
      <c r="P570" t="e">
        <f t="shared" si="69"/>
        <v>#N/A</v>
      </c>
      <c r="Q570" t="e">
        <f t="shared" si="70"/>
        <v>#N/A</v>
      </c>
    </row>
    <row r="571" spans="1:17">
      <c r="A571" s="28"/>
      <c r="B571" s="28"/>
      <c r="C571" s="28"/>
      <c r="D571" s="28"/>
      <c r="E571" s="28"/>
      <c r="F571" s="28"/>
      <c r="G571" s="26" t="str">
        <f t="shared" si="64"/>
        <v/>
      </c>
      <c r="H571" s="26" t="str">
        <f t="shared" si="71"/>
        <v/>
      </c>
      <c r="I571" s="26" t="str">
        <f t="shared" si="65"/>
        <v/>
      </c>
      <c r="J571" t="str">
        <f t="shared" si="66"/>
        <v/>
      </c>
      <c r="K571" s="26" t="str">
        <f t="shared" si="67"/>
        <v/>
      </c>
      <c r="L571" s="26" t="str">
        <f t="shared" si="68"/>
        <v/>
      </c>
      <c r="P571" t="e">
        <f t="shared" si="69"/>
        <v>#N/A</v>
      </c>
      <c r="Q571" t="e">
        <f t="shared" si="70"/>
        <v>#N/A</v>
      </c>
    </row>
    <row r="572" spans="1:17">
      <c r="A572" s="28"/>
      <c r="B572" s="28"/>
      <c r="C572" s="28"/>
      <c r="D572" s="28"/>
      <c r="E572" s="28"/>
      <c r="F572" s="28"/>
      <c r="G572" s="26" t="str">
        <f t="shared" si="64"/>
        <v/>
      </c>
      <c r="H572" s="26" t="str">
        <f t="shared" si="71"/>
        <v/>
      </c>
      <c r="I572" s="26" t="str">
        <f t="shared" si="65"/>
        <v/>
      </c>
      <c r="J572" t="str">
        <f t="shared" si="66"/>
        <v/>
      </c>
      <c r="K572" s="26" t="str">
        <f t="shared" si="67"/>
        <v/>
      </c>
      <c r="L572" s="26" t="str">
        <f t="shared" si="68"/>
        <v/>
      </c>
      <c r="P572" t="e">
        <f t="shared" si="69"/>
        <v>#N/A</v>
      </c>
      <c r="Q572" t="e">
        <f t="shared" si="70"/>
        <v>#N/A</v>
      </c>
    </row>
    <row r="573" spans="1:17">
      <c r="A573" s="28"/>
      <c r="B573" s="28"/>
      <c r="C573" s="28"/>
      <c r="D573" s="28"/>
      <c r="E573" s="28"/>
      <c r="F573" s="28"/>
      <c r="G573" s="26" t="str">
        <f t="shared" si="64"/>
        <v/>
      </c>
      <c r="H573" s="26" t="str">
        <f t="shared" si="71"/>
        <v/>
      </c>
      <c r="I573" s="26" t="str">
        <f t="shared" si="65"/>
        <v/>
      </c>
      <c r="J573" t="str">
        <f t="shared" si="66"/>
        <v/>
      </c>
      <c r="K573" s="26" t="str">
        <f t="shared" si="67"/>
        <v/>
      </c>
      <c r="L573" s="26" t="str">
        <f t="shared" si="68"/>
        <v/>
      </c>
      <c r="P573" t="e">
        <f t="shared" si="69"/>
        <v>#N/A</v>
      </c>
      <c r="Q573" t="e">
        <f t="shared" si="70"/>
        <v>#N/A</v>
      </c>
    </row>
    <row r="574" spans="1:17">
      <c r="A574" s="28"/>
      <c r="B574" s="28"/>
      <c r="C574" s="28"/>
      <c r="D574" s="28"/>
      <c r="E574" s="28"/>
      <c r="F574" s="28"/>
      <c r="G574" s="26" t="str">
        <f t="shared" si="64"/>
        <v/>
      </c>
      <c r="H574" s="26" t="str">
        <f t="shared" si="71"/>
        <v/>
      </c>
      <c r="I574" s="26" t="str">
        <f t="shared" si="65"/>
        <v/>
      </c>
      <c r="J574" t="str">
        <f t="shared" si="66"/>
        <v/>
      </c>
      <c r="K574" s="26" t="str">
        <f t="shared" si="67"/>
        <v/>
      </c>
      <c r="L574" s="26" t="str">
        <f t="shared" si="68"/>
        <v/>
      </c>
      <c r="P574" t="e">
        <f t="shared" si="69"/>
        <v>#N/A</v>
      </c>
      <c r="Q574" t="e">
        <f t="shared" si="70"/>
        <v>#N/A</v>
      </c>
    </row>
    <row r="575" spans="1:17">
      <c r="A575" s="28"/>
      <c r="B575" s="28"/>
      <c r="C575" s="28"/>
      <c r="D575" s="28"/>
      <c r="E575" s="28"/>
      <c r="F575" s="28"/>
      <c r="G575" s="26" t="str">
        <f t="shared" si="64"/>
        <v/>
      </c>
      <c r="H575" s="26" t="str">
        <f t="shared" si="71"/>
        <v/>
      </c>
      <c r="I575" s="26" t="str">
        <f t="shared" si="65"/>
        <v/>
      </c>
      <c r="J575" t="str">
        <f t="shared" si="66"/>
        <v/>
      </c>
      <c r="K575" s="26" t="str">
        <f t="shared" si="67"/>
        <v/>
      </c>
      <c r="L575" s="26" t="str">
        <f t="shared" si="68"/>
        <v/>
      </c>
      <c r="P575" t="e">
        <f t="shared" si="69"/>
        <v>#N/A</v>
      </c>
      <c r="Q575" t="e">
        <f t="shared" si="70"/>
        <v>#N/A</v>
      </c>
    </row>
    <row r="576" spans="1:17">
      <c r="A576" s="28"/>
      <c r="B576" s="28"/>
      <c r="C576" s="28"/>
      <c r="D576" s="28"/>
      <c r="E576" s="28"/>
      <c r="F576" s="28"/>
      <c r="G576" s="26" t="str">
        <f t="shared" si="64"/>
        <v/>
      </c>
      <c r="H576" s="26" t="str">
        <f t="shared" si="71"/>
        <v/>
      </c>
      <c r="I576" s="26" t="str">
        <f t="shared" si="65"/>
        <v/>
      </c>
      <c r="J576" t="str">
        <f t="shared" si="66"/>
        <v/>
      </c>
      <c r="K576" s="26" t="str">
        <f t="shared" si="67"/>
        <v/>
      </c>
      <c r="L576" s="26" t="str">
        <f t="shared" si="68"/>
        <v/>
      </c>
      <c r="P576" t="e">
        <f t="shared" si="69"/>
        <v>#N/A</v>
      </c>
      <c r="Q576" t="e">
        <f t="shared" si="70"/>
        <v>#N/A</v>
      </c>
    </row>
    <row r="577" spans="1:17">
      <c r="A577" s="28"/>
      <c r="B577" s="28"/>
      <c r="C577" s="28"/>
      <c r="D577" s="28"/>
      <c r="E577" s="28"/>
      <c r="F577" s="28"/>
      <c r="G577" s="26" t="str">
        <f t="shared" si="64"/>
        <v/>
      </c>
      <c r="H577" s="26" t="str">
        <f t="shared" si="71"/>
        <v/>
      </c>
      <c r="I577" s="26" t="str">
        <f t="shared" si="65"/>
        <v/>
      </c>
      <c r="J577" t="str">
        <f t="shared" si="66"/>
        <v/>
      </c>
      <c r="K577" s="26" t="str">
        <f t="shared" si="67"/>
        <v/>
      </c>
      <c r="L577" s="26" t="str">
        <f t="shared" si="68"/>
        <v/>
      </c>
      <c r="P577" t="e">
        <f t="shared" si="69"/>
        <v>#N/A</v>
      </c>
      <c r="Q577" t="e">
        <f t="shared" si="70"/>
        <v>#N/A</v>
      </c>
    </row>
    <row r="578" spans="1:17">
      <c r="A578" s="28"/>
      <c r="B578" s="28"/>
      <c r="C578" s="28"/>
      <c r="D578" s="28"/>
      <c r="E578" s="28"/>
      <c r="F578" s="28"/>
      <c r="G578" s="26" t="str">
        <f t="shared" ref="G578:G641" si="72">IF(B578="","",243.04*(LN(C578/100)+17.625*B578/(243.04+B578))/(17.625-LN(C578/100)-17.625*B578/(243.04+B578)))</f>
        <v/>
      </c>
      <c r="H578" s="26" t="str">
        <f t="shared" si="71"/>
        <v/>
      </c>
      <c r="I578" s="26" t="str">
        <f t="shared" ref="I578:I641" si="73">IF(B578="","",B578-E578)</f>
        <v/>
      </c>
      <c r="J578" t="str">
        <f t="shared" ref="J578:J641" si="74">IF(H578="","",IF(H578&gt;0.6,"Heating",IF(H578&lt;-0.2,"Cooling","Steady")))</f>
        <v/>
      </c>
      <c r="K578" s="26" t="str">
        <f t="shared" ref="K578:K641" si="75">IF(J578="Cooling",I578,"")</f>
        <v/>
      </c>
      <c r="L578" s="26" t="str">
        <f t="shared" ref="L578:L641" si="76">IF(J578="Cooling",H578,"")</f>
        <v/>
      </c>
      <c r="P578" t="e">
        <f t="shared" ref="P578:P641" si="77">IF(K578="",NA(),K578)</f>
        <v>#N/A</v>
      </c>
      <c r="Q578" t="e">
        <f t="shared" ref="Q578:Q641" si="78">IF(L578="",NA(),L578)</f>
        <v>#N/A</v>
      </c>
    </row>
    <row r="579" spans="1:17">
      <c r="A579" s="28"/>
      <c r="B579" s="28"/>
      <c r="C579" s="28"/>
      <c r="D579" s="28"/>
      <c r="E579" s="28"/>
      <c r="F579" s="28"/>
      <c r="G579" s="26" t="str">
        <f t="shared" si="72"/>
        <v/>
      </c>
      <c r="H579" s="26" t="str">
        <f t="shared" si="71"/>
        <v/>
      </c>
      <c r="I579" s="26" t="str">
        <f t="shared" si="73"/>
        <v/>
      </c>
      <c r="J579" t="str">
        <f t="shared" si="74"/>
        <v/>
      </c>
      <c r="K579" s="26" t="str">
        <f t="shared" si="75"/>
        <v/>
      </c>
      <c r="L579" s="26" t="str">
        <f t="shared" si="76"/>
        <v/>
      </c>
      <c r="P579" t="e">
        <f t="shared" si="77"/>
        <v>#N/A</v>
      </c>
      <c r="Q579" t="e">
        <f t="shared" si="78"/>
        <v>#N/A</v>
      </c>
    </row>
    <row r="580" spans="1:17">
      <c r="A580" s="28"/>
      <c r="B580" s="28"/>
      <c r="C580" s="28"/>
      <c r="D580" s="28"/>
      <c r="E580" s="28"/>
      <c r="F580" s="28"/>
      <c r="G580" s="26" t="str">
        <f t="shared" si="72"/>
        <v/>
      </c>
      <c r="H580" s="26" t="str">
        <f t="shared" ref="H580:H643" si="79">IFERROR(IF(OR(B578="",B582=""),"",(B582-B578)/4*60),"")</f>
        <v/>
      </c>
      <c r="I580" s="26" t="str">
        <f t="shared" si="73"/>
        <v/>
      </c>
      <c r="J580" t="str">
        <f t="shared" si="74"/>
        <v/>
      </c>
      <c r="K580" s="26" t="str">
        <f t="shared" si="75"/>
        <v/>
      </c>
      <c r="L580" s="26" t="str">
        <f t="shared" si="76"/>
        <v/>
      </c>
      <c r="P580" t="e">
        <f t="shared" si="77"/>
        <v>#N/A</v>
      </c>
      <c r="Q580" t="e">
        <f t="shared" si="78"/>
        <v>#N/A</v>
      </c>
    </row>
    <row r="581" spans="1:17">
      <c r="A581" s="28"/>
      <c r="B581" s="28"/>
      <c r="C581" s="28"/>
      <c r="D581" s="28"/>
      <c r="E581" s="28"/>
      <c r="F581" s="28"/>
      <c r="G581" s="26" t="str">
        <f t="shared" si="72"/>
        <v/>
      </c>
      <c r="H581" s="26" t="str">
        <f t="shared" si="79"/>
        <v/>
      </c>
      <c r="I581" s="26" t="str">
        <f t="shared" si="73"/>
        <v/>
      </c>
      <c r="J581" t="str">
        <f t="shared" si="74"/>
        <v/>
      </c>
      <c r="K581" s="26" t="str">
        <f t="shared" si="75"/>
        <v/>
      </c>
      <c r="L581" s="26" t="str">
        <f t="shared" si="76"/>
        <v/>
      </c>
      <c r="P581" t="e">
        <f t="shared" si="77"/>
        <v>#N/A</v>
      </c>
      <c r="Q581" t="e">
        <f t="shared" si="78"/>
        <v>#N/A</v>
      </c>
    </row>
    <row r="582" spans="1:17">
      <c r="A582" s="28"/>
      <c r="B582" s="28"/>
      <c r="C582" s="28"/>
      <c r="D582" s="28"/>
      <c r="E582" s="28"/>
      <c r="F582" s="28"/>
      <c r="G582" s="26" t="str">
        <f t="shared" si="72"/>
        <v/>
      </c>
      <c r="H582" s="26" t="str">
        <f t="shared" si="79"/>
        <v/>
      </c>
      <c r="I582" s="26" t="str">
        <f t="shared" si="73"/>
        <v/>
      </c>
      <c r="J582" t="str">
        <f t="shared" si="74"/>
        <v/>
      </c>
      <c r="K582" s="26" t="str">
        <f t="shared" si="75"/>
        <v/>
      </c>
      <c r="L582" s="26" t="str">
        <f t="shared" si="76"/>
        <v/>
      </c>
      <c r="P582" t="e">
        <f t="shared" si="77"/>
        <v>#N/A</v>
      </c>
      <c r="Q582" t="e">
        <f t="shared" si="78"/>
        <v>#N/A</v>
      </c>
    </row>
    <row r="583" spans="1:17">
      <c r="A583" s="28"/>
      <c r="B583" s="28"/>
      <c r="C583" s="28"/>
      <c r="D583" s="28"/>
      <c r="E583" s="28"/>
      <c r="F583" s="28"/>
      <c r="G583" s="26" t="str">
        <f t="shared" si="72"/>
        <v/>
      </c>
      <c r="H583" s="26" t="str">
        <f t="shared" si="79"/>
        <v/>
      </c>
      <c r="I583" s="26" t="str">
        <f t="shared" si="73"/>
        <v/>
      </c>
      <c r="J583" t="str">
        <f t="shared" si="74"/>
        <v/>
      </c>
      <c r="K583" s="26" t="str">
        <f t="shared" si="75"/>
        <v/>
      </c>
      <c r="L583" s="26" t="str">
        <f t="shared" si="76"/>
        <v/>
      </c>
      <c r="P583" t="e">
        <f t="shared" si="77"/>
        <v>#N/A</v>
      </c>
      <c r="Q583" t="e">
        <f t="shared" si="78"/>
        <v>#N/A</v>
      </c>
    </row>
    <row r="584" spans="1:17">
      <c r="A584" s="28"/>
      <c r="B584" s="28"/>
      <c r="C584" s="28"/>
      <c r="D584" s="28"/>
      <c r="E584" s="28"/>
      <c r="F584" s="28"/>
      <c r="G584" s="26" t="str">
        <f t="shared" si="72"/>
        <v/>
      </c>
      <c r="H584" s="26" t="str">
        <f t="shared" si="79"/>
        <v/>
      </c>
      <c r="I584" s="26" t="str">
        <f t="shared" si="73"/>
        <v/>
      </c>
      <c r="J584" t="str">
        <f t="shared" si="74"/>
        <v/>
      </c>
      <c r="K584" s="26" t="str">
        <f t="shared" si="75"/>
        <v/>
      </c>
      <c r="L584" s="26" t="str">
        <f t="shared" si="76"/>
        <v/>
      </c>
      <c r="P584" t="e">
        <f t="shared" si="77"/>
        <v>#N/A</v>
      </c>
      <c r="Q584" t="e">
        <f t="shared" si="78"/>
        <v>#N/A</v>
      </c>
    </row>
    <row r="585" spans="1:17">
      <c r="A585" s="28"/>
      <c r="B585" s="28"/>
      <c r="C585" s="28"/>
      <c r="D585" s="28"/>
      <c r="E585" s="28"/>
      <c r="F585" s="28"/>
      <c r="G585" s="26" t="str">
        <f t="shared" si="72"/>
        <v/>
      </c>
      <c r="H585" s="26" t="str">
        <f t="shared" si="79"/>
        <v/>
      </c>
      <c r="I585" s="26" t="str">
        <f t="shared" si="73"/>
        <v/>
      </c>
      <c r="J585" t="str">
        <f t="shared" si="74"/>
        <v/>
      </c>
      <c r="K585" s="26" t="str">
        <f t="shared" si="75"/>
        <v/>
      </c>
      <c r="L585" s="26" t="str">
        <f t="shared" si="76"/>
        <v/>
      </c>
      <c r="P585" t="e">
        <f t="shared" si="77"/>
        <v>#N/A</v>
      </c>
      <c r="Q585" t="e">
        <f t="shared" si="78"/>
        <v>#N/A</v>
      </c>
    </row>
    <row r="586" spans="1:17">
      <c r="A586" s="28"/>
      <c r="B586" s="28"/>
      <c r="C586" s="28"/>
      <c r="D586" s="28"/>
      <c r="E586" s="28"/>
      <c r="F586" s="28"/>
      <c r="G586" s="26" t="str">
        <f t="shared" si="72"/>
        <v/>
      </c>
      <c r="H586" s="26" t="str">
        <f t="shared" si="79"/>
        <v/>
      </c>
      <c r="I586" s="26" t="str">
        <f t="shared" si="73"/>
        <v/>
      </c>
      <c r="J586" t="str">
        <f t="shared" si="74"/>
        <v/>
      </c>
      <c r="K586" s="26" t="str">
        <f t="shared" si="75"/>
        <v/>
      </c>
      <c r="L586" s="26" t="str">
        <f t="shared" si="76"/>
        <v/>
      </c>
      <c r="P586" t="e">
        <f t="shared" si="77"/>
        <v>#N/A</v>
      </c>
      <c r="Q586" t="e">
        <f t="shared" si="78"/>
        <v>#N/A</v>
      </c>
    </row>
    <row r="587" spans="1:17">
      <c r="A587" s="28"/>
      <c r="B587" s="28"/>
      <c r="C587" s="28"/>
      <c r="D587" s="28"/>
      <c r="E587" s="28"/>
      <c r="F587" s="28"/>
      <c r="G587" s="26" t="str">
        <f t="shared" si="72"/>
        <v/>
      </c>
      <c r="H587" s="26" t="str">
        <f t="shared" si="79"/>
        <v/>
      </c>
      <c r="I587" s="26" t="str">
        <f t="shared" si="73"/>
        <v/>
      </c>
      <c r="J587" t="str">
        <f t="shared" si="74"/>
        <v/>
      </c>
      <c r="K587" s="26" t="str">
        <f t="shared" si="75"/>
        <v/>
      </c>
      <c r="L587" s="26" t="str">
        <f t="shared" si="76"/>
        <v/>
      </c>
      <c r="P587" t="e">
        <f t="shared" si="77"/>
        <v>#N/A</v>
      </c>
      <c r="Q587" t="e">
        <f t="shared" si="78"/>
        <v>#N/A</v>
      </c>
    </row>
    <row r="588" spans="1:17">
      <c r="A588" s="28"/>
      <c r="B588" s="28"/>
      <c r="C588" s="28"/>
      <c r="D588" s="28"/>
      <c r="E588" s="28"/>
      <c r="F588" s="28"/>
      <c r="G588" s="26" t="str">
        <f t="shared" si="72"/>
        <v/>
      </c>
      <c r="H588" s="26" t="str">
        <f t="shared" si="79"/>
        <v/>
      </c>
      <c r="I588" s="26" t="str">
        <f t="shared" si="73"/>
        <v/>
      </c>
      <c r="J588" t="str">
        <f t="shared" si="74"/>
        <v/>
      </c>
      <c r="K588" s="26" t="str">
        <f t="shared" si="75"/>
        <v/>
      </c>
      <c r="L588" s="26" t="str">
        <f t="shared" si="76"/>
        <v/>
      </c>
      <c r="P588" t="e">
        <f t="shared" si="77"/>
        <v>#N/A</v>
      </c>
      <c r="Q588" t="e">
        <f t="shared" si="78"/>
        <v>#N/A</v>
      </c>
    </row>
    <row r="589" spans="1:17">
      <c r="A589" s="28"/>
      <c r="B589" s="28"/>
      <c r="C589" s="28"/>
      <c r="D589" s="28"/>
      <c r="E589" s="28"/>
      <c r="F589" s="28"/>
      <c r="G589" s="26" t="str">
        <f t="shared" si="72"/>
        <v/>
      </c>
      <c r="H589" s="26" t="str">
        <f t="shared" si="79"/>
        <v/>
      </c>
      <c r="I589" s="26" t="str">
        <f t="shared" si="73"/>
        <v/>
      </c>
      <c r="J589" t="str">
        <f t="shared" si="74"/>
        <v/>
      </c>
      <c r="K589" s="26" t="str">
        <f t="shared" si="75"/>
        <v/>
      </c>
      <c r="L589" s="26" t="str">
        <f t="shared" si="76"/>
        <v/>
      </c>
      <c r="P589" t="e">
        <f t="shared" si="77"/>
        <v>#N/A</v>
      </c>
      <c r="Q589" t="e">
        <f t="shared" si="78"/>
        <v>#N/A</v>
      </c>
    </row>
    <row r="590" spans="1:17">
      <c r="A590" s="28"/>
      <c r="B590" s="28"/>
      <c r="C590" s="28"/>
      <c r="D590" s="28"/>
      <c r="E590" s="28"/>
      <c r="F590" s="28"/>
      <c r="G590" s="26" t="str">
        <f t="shared" si="72"/>
        <v/>
      </c>
      <c r="H590" s="26" t="str">
        <f t="shared" si="79"/>
        <v/>
      </c>
      <c r="I590" s="26" t="str">
        <f t="shared" si="73"/>
        <v/>
      </c>
      <c r="J590" t="str">
        <f t="shared" si="74"/>
        <v/>
      </c>
      <c r="K590" s="26" t="str">
        <f t="shared" si="75"/>
        <v/>
      </c>
      <c r="L590" s="26" t="str">
        <f t="shared" si="76"/>
        <v/>
      </c>
      <c r="P590" t="e">
        <f t="shared" si="77"/>
        <v>#N/A</v>
      </c>
      <c r="Q590" t="e">
        <f t="shared" si="78"/>
        <v>#N/A</v>
      </c>
    </row>
    <row r="591" spans="1:17">
      <c r="A591" s="28"/>
      <c r="B591" s="28"/>
      <c r="C591" s="28"/>
      <c r="D591" s="28"/>
      <c r="E591" s="28"/>
      <c r="F591" s="28"/>
      <c r="G591" s="26" t="str">
        <f t="shared" si="72"/>
        <v/>
      </c>
      <c r="H591" s="26" t="str">
        <f t="shared" si="79"/>
        <v/>
      </c>
      <c r="I591" s="26" t="str">
        <f t="shared" si="73"/>
        <v/>
      </c>
      <c r="J591" t="str">
        <f t="shared" si="74"/>
        <v/>
      </c>
      <c r="K591" s="26" t="str">
        <f t="shared" si="75"/>
        <v/>
      </c>
      <c r="L591" s="26" t="str">
        <f t="shared" si="76"/>
        <v/>
      </c>
      <c r="P591" t="e">
        <f t="shared" si="77"/>
        <v>#N/A</v>
      </c>
      <c r="Q591" t="e">
        <f t="shared" si="78"/>
        <v>#N/A</v>
      </c>
    </row>
    <row r="592" spans="1:17">
      <c r="A592" s="28"/>
      <c r="B592" s="28"/>
      <c r="C592" s="28"/>
      <c r="D592" s="28"/>
      <c r="E592" s="28"/>
      <c r="F592" s="28"/>
      <c r="G592" s="26" t="str">
        <f t="shared" si="72"/>
        <v/>
      </c>
      <c r="H592" s="26" t="str">
        <f t="shared" si="79"/>
        <v/>
      </c>
      <c r="I592" s="26" t="str">
        <f t="shared" si="73"/>
        <v/>
      </c>
      <c r="J592" t="str">
        <f t="shared" si="74"/>
        <v/>
      </c>
      <c r="K592" s="26" t="str">
        <f t="shared" si="75"/>
        <v/>
      </c>
      <c r="L592" s="26" t="str">
        <f t="shared" si="76"/>
        <v/>
      </c>
      <c r="P592" t="e">
        <f t="shared" si="77"/>
        <v>#N/A</v>
      </c>
      <c r="Q592" t="e">
        <f t="shared" si="78"/>
        <v>#N/A</v>
      </c>
    </row>
    <row r="593" spans="1:17">
      <c r="A593" s="28"/>
      <c r="B593" s="28"/>
      <c r="C593" s="28"/>
      <c r="D593" s="28"/>
      <c r="E593" s="28"/>
      <c r="F593" s="28"/>
      <c r="G593" s="26" t="str">
        <f t="shared" si="72"/>
        <v/>
      </c>
      <c r="H593" s="26" t="str">
        <f t="shared" si="79"/>
        <v/>
      </c>
      <c r="I593" s="26" t="str">
        <f t="shared" si="73"/>
        <v/>
      </c>
      <c r="J593" t="str">
        <f t="shared" si="74"/>
        <v/>
      </c>
      <c r="K593" s="26" t="str">
        <f t="shared" si="75"/>
        <v/>
      </c>
      <c r="L593" s="26" t="str">
        <f t="shared" si="76"/>
        <v/>
      </c>
      <c r="P593" t="e">
        <f t="shared" si="77"/>
        <v>#N/A</v>
      </c>
      <c r="Q593" t="e">
        <f t="shared" si="78"/>
        <v>#N/A</v>
      </c>
    </row>
    <row r="594" spans="1:17">
      <c r="A594" s="28"/>
      <c r="B594" s="28"/>
      <c r="C594" s="28"/>
      <c r="D594" s="28"/>
      <c r="E594" s="28"/>
      <c r="F594" s="28"/>
      <c r="G594" s="26" t="str">
        <f t="shared" si="72"/>
        <v/>
      </c>
      <c r="H594" s="26" t="str">
        <f t="shared" si="79"/>
        <v/>
      </c>
      <c r="I594" s="26" t="str">
        <f t="shared" si="73"/>
        <v/>
      </c>
      <c r="J594" t="str">
        <f t="shared" si="74"/>
        <v/>
      </c>
      <c r="K594" s="26" t="str">
        <f t="shared" si="75"/>
        <v/>
      </c>
      <c r="L594" s="26" t="str">
        <f t="shared" si="76"/>
        <v/>
      </c>
      <c r="P594" t="e">
        <f t="shared" si="77"/>
        <v>#N/A</v>
      </c>
      <c r="Q594" t="e">
        <f t="shared" si="78"/>
        <v>#N/A</v>
      </c>
    </row>
    <row r="595" spans="1:17">
      <c r="A595" s="28"/>
      <c r="B595" s="28"/>
      <c r="C595" s="28"/>
      <c r="D595" s="28"/>
      <c r="E595" s="28"/>
      <c r="F595" s="28"/>
      <c r="G595" s="26" t="str">
        <f t="shared" si="72"/>
        <v/>
      </c>
      <c r="H595" s="26" t="str">
        <f t="shared" si="79"/>
        <v/>
      </c>
      <c r="I595" s="26" t="str">
        <f t="shared" si="73"/>
        <v/>
      </c>
      <c r="J595" t="str">
        <f t="shared" si="74"/>
        <v/>
      </c>
      <c r="K595" s="26" t="str">
        <f t="shared" si="75"/>
        <v/>
      </c>
      <c r="L595" s="26" t="str">
        <f t="shared" si="76"/>
        <v/>
      </c>
      <c r="P595" t="e">
        <f t="shared" si="77"/>
        <v>#N/A</v>
      </c>
      <c r="Q595" t="e">
        <f t="shared" si="78"/>
        <v>#N/A</v>
      </c>
    </row>
    <row r="596" spans="1:17">
      <c r="A596" s="28"/>
      <c r="B596" s="28"/>
      <c r="C596" s="28"/>
      <c r="D596" s="28"/>
      <c r="E596" s="28"/>
      <c r="F596" s="28"/>
      <c r="G596" s="26" t="str">
        <f t="shared" si="72"/>
        <v/>
      </c>
      <c r="H596" s="26" t="str">
        <f t="shared" si="79"/>
        <v/>
      </c>
      <c r="I596" s="26" t="str">
        <f t="shared" si="73"/>
        <v/>
      </c>
      <c r="J596" t="str">
        <f t="shared" si="74"/>
        <v/>
      </c>
      <c r="K596" s="26" t="str">
        <f t="shared" si="75"/>
        <v/>
      </c>
      <c r="L596" s="26" t="str">
        <f t="shared" si="76"/>
        <v/>
      </c>
      <c r="P596" t="e">
        <f t="shared" si="77"/>
        <v>#N/A</v>
      </c>
      <c r="Q596" t="e">
        <f t="shared" si="78"/>
        <v>#N/A</v>
      </c>
    </row>
    <row r="597" spans="1:17">
      <c r="A597" s="28"/>
      <c r="B597" s="28"/>
      <c r="C597" s="28"/>
      <c r="D597" s="28"/>
      <c r="E597" s="28"/>
      <c r="F597" s="28"/>
      <c r="G597" s="26" t="str">
        <f t="shared" si="72"/>
        <v/>
      </c>
      <c r="H597" s="26" t="str">
        <f t="shared" si="79"/>
        <v/>
      </c>
      <c r="I597" s="26" t="str">
        <f t="shared" si="73"/>
        <v/>
      </c>
      <c r="J597" t="str">
        <f t="shared" si="74"/>
        <v/>
      </c>
      <c r="K597" s="26" t="str">
        <f t="shared" si="75"/>
        <v/>
      </c>
      <c r="L597" s="26" t="str">
        <f t="shared" si="76"/>
        <v/>
      </c>
      <c r="P597" t="e">
        <f t="shared" si="77"/>
        <v>#N/A</v>
      </c>
      <c r="Q597" t="e">
        <f t="shared" si="78"/>
        <v>#N/A</v>
      </c>
    </row>
    <row r="598" spans="1:17">
      <c r="A598" s="28"/>
      <c r="B598" s="28"/>
      <c r="C598" s="28"/>
      <c r="D598" s="28"/>
      <c r="E598" s="28"/>
      <c r="F598" s="28"/>
      <c r="G598" s="26" t="str">
        <f t="shared" si="72"/>
        <v/>
      </c>
      <c r="H598" s="26" t="str">
        <f t="shared" si="79"/>
        <v/>
      </c>
      <c r="I598" s="26" t="str">
        <f t="shared" si="73"/>
        <v/>
      </c>
      <c r="J598" t="str">
        <f t="shared" si="74"/>
        <v/>
      </c>
      <c r="K598" s="26" t="str">
        <f t="shared" si="75"/>
        <v/>
      </c>
      <c r="L598" s="26" t="str">
        <f t="shared" si="76"/>
        <v/>
      </c>
      <c r="P598" t="e">
        <f t="shared" si="77"/>
        <v>#N/A</v>
      </c>
      <c r="Q598" t="e">
        <f t="shared" si="78"/>
        <v>#N/A</v>
      </c>
    </row>
    <row r="599" spans="1:17">
      <c r="A599" s="28"/>
      <c r="B599" s="28"/>
      <c r="C599" s="28"/>
      <c r="D599" s="28"/>
      <c r="E599" s="28"/>
      <c r="F599" s="28"/>
      <c r="G599" s="26" t="str">
        <f t="shared" si="72"/>
        <v/>
      </c>
      <c r="H599" s="26" t="str">
        <f t="shared" si="79"/>
        <v/>
      </c>
      <c r="I599" s="26" t="str">
        <f t="shared" si="73"/>
        <v/>
      </c>
      <c r="J599" t="str">
        <f t="shared" si="74"/>
        <v/>
      </c>
      <c r="K599" s="26" t="str">
        <f t="shared" si="75"/>
        <v/>
      </c>
      <c r="L599" s="26" t="str">
        <f t="shared" si="76"/>
        <v/>
      </c>
      <c r="P599" t="e">
        <f t="shared" si="77"/>
        <v>#N/A</v>
      </c>
      <c r="Q599" t="e">
        <f t="shared" si="78"/>
        <v>#N/A</v>
      </c>
    </row>
    <row r="600" spans="1:17">
      <c r="A600" s="28"/>
      <c r="B600" s="28"/>
      <c r="C600" s="28"/>
      <c r="D600" s="28"/>
      <c r="E600" s="28"/>
      <c r="F600" s="28"/>
      <c r="G600" s="26" t="str">
        <f t="shared" si="72"/>
        <v/>
      </c>
      <c r="H600" s="26" t="str">
        <f t="shared" si="79"/>
        <v/>
      </c>
      <c r="I600" s="26" t="str">
        <f t="shared" si="73"/>
        <v/>
      </c>
      <c r="J600" t="str">
        <f t="shared" si="74"/>
        <v/>
      </c>
      <c r="K600" s="26" t="str">
        <f t="shared" si="75"/>
        <v/>
      </c>
      <c r="L600" s="26" t="str">
        <f t="shared" si="76"/>
        <v/>
      </c>
      <c r="P600" t="e">
        <f t="shared" si="77"/>
        <v>#N/A</v>
      </c>
      <c r="Q600" t="e">
        <f t="shared" si="78"/>
        <v>#N/A</v>
      </c>
    </row>
    <row r="601" spans="1:17">
      <c r="A601" s="28"/>
      <c r="B601" s="28"/>
      <c r="C601" s="28"/>
      <c r="D601" s="28"/>
      <c r="E601" s="28"/>
      <c r="F601" s="28"/>
      <c r="G601" s="26" t="str">
        <f t="shared" si="72"/>
        <v/>
      </c>
      <c r="H601" s="26" t="str">
        <f t="shared" si="79"/>
        <v/>
      </c>
      <c r="I601" s="26" t="str">
        <f t="shared" si="73"/>
        <v/>
      </c>
      <c r="J601" t="str">
        <f t="shared" si="74"/>
        <v/>
      </c>
      <c r="K601" s="26" t="str">
        <f t="shared" si="75"/>
        <v/>
      </c>
      <c r="L601" s="26" t="str">
        <f t="shared" si="76"/>
        <v/>
      </c>
      <c r="P601" t="e">
        <f t="shared" si="77"/>
        <v>#N/A</v>
      </c>
      <c r="Q601" t="e">
        <f t="shared" si="78"/>
        <v>#N/A</v>
      </c>
    </row>
    <row r="602" spans="1:17">
      <c r="A602" s="28"/>
      <c r="B602" s="28"/>
      <c r="C602" s="28"/>
      <c r="D602" s="28"/>
      <c r="E602" s="28"/>
      <c r="F602" s="28"/>
      <c r="G602" s="26" t="str">
        <f t="shared" si="72"/>
        <v/>
      </c>
      <c r="H602" s="26" t="str">
        <f t="shared" si="79"/>
        <v/>
      </c>
      <c r="I602" s="26" t="str">
        <f t="shared" si="73"/>
        <v/>
      </c>
      <c r="J602" t="str">
        <f t="shared" si="74"/>
        <v/>
      </c>
      <c r="K602" s="26" t="str">
        <f t="shared" si="75"/>
        <v/>
      </c>
      <c r="L602" s="26" t="str">
        <f t="shared" si="76"/>
        <v/>
      </c>
      <c r="P602" t="e">
        <f t="shared" si="77"/>
        <v>#N/A</v>
      </c>
      <c r="Q602" t="e">
        <f t="shared" si="78"/>
        <v>#N/A</v>
      </c>
    </row>
    <row r="603" spans="1:17">
      <c r="A603" s="28"/>
      <c r="B603" s="28"/>
      <c r="C603" s="28"/>
      <c r="D603" s="28"/>
      <c r="E603" s="28"/>
      <c r="F603" s="28"/>
      <c r="G603" s="26" t="str">
        <f t="shared" si="72"/>
        <v/>
      </c>
      <c r="H603" s="26" t="str">
        <f t="shared" si="79"/>
        <v/>
      </c>
      <c r="I603" s="26" t="str">
        <f t="shared" si="73"/>
        <v/>
      </c>
      <c r="J603" t="str">
        <f t="shared" si="74"/>
        <v/>
      </c>
      <c r="K603" s="26" t="str">
        <f t="shared" si="75"/>
        <v/>
      </c>
      <c r="L603" s="26" t="str">
        <f t="shared" si="76"/>
        <v/>
      </c>
      <c r="P603" t="e">
        <f t="shared" si="77"/>
        <v>#N/A</v>
      </c>
      <c r="Q603" t="e">
        <f t="shared" si="78"/>
        <v>#N/A</v>
      </c>
    </row>
    <row r="604" spans="1:17">
      <c r="A604" s="28"/>
      <c r="B604" s="28"/>
      <c r="C604" s="28"/>
      <c r="D604" s="28"/>
      <c r="E604" s="28"/>
      <c r="F604" s="28"/>
      <c r="G604" s="26" t="str">
        <f t="shared" si="72"/>
        <v/>
      </c>
      <c r="H604" s="26" t="str">
        <f t="shared" si="79"/>
        <v/>
      </c>
      <c r="I604" s="26" t="str">
        <f t="shared" si="73"/>
        <v/>
      </c>
      <c r="J604" t="str">
        <f t="shared" si="74"/>
        <v/>
      </c>
      <c r="K604" s="26" t="str">
        <f t="shared" si="75"/>
        <v/>
      </c>
      <c r="L604" s="26" t="str">
        <f t="shared" si="76"/>
        <v/>
      </c>
      <c r="P604" t="e">
        <f t="shared" si="77"/>
        <v>#N/A</v>
      </c>
      <c r="Q604" t="e">
        <f t="shared" si="78"/>
        <v>#N/A</v>
      </c>
    </row>
    <row r="605" spans="1:17">
      <c r="A605" s="28"/>
      <c r="B605" s="28"/>
      <c r="C605" s="28"/>
      <c r="D605" s="28"/>
      <c r="E605" s="28"/>
      <c r="F605" s="28"/>
      <c r="G605" s="26" t="str">
        <f t="shared" si="72"/>
        <v/>
      </c>
      <c r="H605" s="26" t="str">
        <f t="shared" si="79"/>
        <v/>
      </c>
      <c r="I605" s="26" t="str">
        <f t="shared" si="73"/>
        <v/>
      </c>
      <c r="J605" t="str">
        <f t="shared" si="74"/>
        <v/>
      </c>
      <c r="K605" s="26" t="str">
        <f t="shared" si="75"/>
        <v/>
      </c>
      <c r="L605" s="26" t="str">
        <f t="shared" si="76"/>
        <v/>
      </c>
      <c r="P605" t="e">
        <f t="shared" si="77"/>
        <v>#N/A</v>
      </c>
      <c r="Q605" t="e">
        <f t="shared" si="78"/>
        <v>#N/A</v>
      </c>
    </row>
    <row r="606" spans="1:17">
      <c r="A606" s="28"/>
      <c r="B606" s="28"/>
      <c r="C606" s="28"/>
      <c r="D606" s="28"/>
      <c r="E606" s="28"/>
      <c r="F606" s="28"/>
      <c r="G606" s="26" t="str">
        <f t="shared" si="72"/>
        <v/>
      </c>
      <c r="H606" s="26" t="str">
        <f t="shared" si="79"/>
        <v/>
      </c>
      <c r="I606" s="26" t="str">
        <f t="shared" si="73"/>
        <v/>
      </c>
      <c r="J606" t="str">
        <f t="shared" si="74"/>
        <v/>
      </c>
      <c r="K606" s="26" t="str">
        <f t="shared" si="75"/>
        <v/>
      </c>
      <c r="L606" s="26" t="str">
        <f t="shared" si="76"/>
        <v/>
      </c>
      <c r="P606" t="e">
        <f t="shared" si="77"/>
        <v>#N/A</v>
      </c>
      <c r="Q606" t="e">
        <f t="shared" si="78"/>
        <v>#N/A</v>
      </c>
    </row>
    <row r="607" spans="1:17">
      <c r="A607" s="28"/>
      <c r="B607" s="28"/>
      <c r="C607" s="28"/>
      <c r="D607" s="28"/>
      <c r="E607" s="28"/>
      <c r="F607" s="28"/>
      <c r="G607" s="26" t="str">
        <f t="shared" si="72"/>
        <v/>
      </c>
      <c r="H607" s="26" t="str">
        <f t="shared" si="79"/>
        <v/>
      </c>
      <c r="I607" s="26" t="str">
        <f t="shared" si="73"/>
        <v/>
      </c>
      <c r="J607" t="str">
        <f t="shared" si="74"/>
        <v/>
      </c>
      <c r="K607" s="26" t="str">
        <f t="shared" si="75"/>
        <v/>
      </c>
      <c r="L607" s="26" t="str">
        <f t="shared" si="76"/>
        <v/>
      </c>
      <c r="P607" t="e">
        <f t="shared" si="77"/>
        <v>#N/A</v>
      </c>
      <c r="Q607" t="e">
        <f t="shared" si="78"/>
        <v>#N/A</v>
      </c>
    </row>
    <row r="608" spans="1:17">
      <c r="A608" s="28"/>
      <c r="B608" s="28"/>
      <c r="C608" s="28"/>
      <c r="D608" s="28"/>
      <c r="E608" s="28"/>
      <c r="F608" s="28"/>
      <c r="G608" s="26" t="str">
        <f t="shared" si="72"/>
        <v/>
      </c>
      <c r="H608" s="26" t="str">
        <f t="shared" si="79"/>
        <v/>
      </c>
      <c r="I608" s="26" t="str">
        <f t="shared" si="73"/>
        <v/>
      </c>
      <c r="J608" t="str">
        <f t="shared" si="74"/>
        <v/>
      </c>
      <c r="K608" s="26" t="str">
        <f t="shared" si="75"/>
        <v/>
      </c>
      <c r="L608" s="26" t="str">
        <f t="shared" si="76"/>
        <v/>
      </c>
      <c r="P608" t="e">
        <f t="shared" si="77"/>
        <v>#N/A</v>
      </c>
      <c r="Q608" t="e">
        <f t="shared" si="78"/>
        <v>#N/A</v>
      </c>
    </row>
    <row r="609" spans="1:17">
      <c r="A609" s="28"/>
      <c r="B609" s="28"/>
      <c r="C609" s="28"/>
      <c r="D609" s="28"/>
      <c r="E609" s="28"/>
      <c r="F609" s="28"/>
      <c r="G609" s="26" t="str">
        <f t="shared" si="72"/>
        <v/>
      </c>
      <c r="H609" s="26" t="str">
        <f t="shared" si="79"/>
        <v/>
      </c>
      <c r="I609" s="26" t="str">
        <f t="shared" si="73"/>
        <v/>
      </c>
      <c r="J609" t="str">
        <f t="shared" si="74"/>
        <v/>
      </c>
      <c r="K609" s="26" t="str">
        <f t="shared" si="75"/>
        <v/>
      </c>
      <c r="L609" s="26" t="str">
        <f t="shared" si="76"/>
        <v/>
      </c>
      <c r="P609" t="e">
        <f t="shared" si="77"/>
        <v>#N/A</v>
      </c>
      <c r="Q609" t="e">
        <f t="shared" si="78"/>
        <v>#N/A</v>
      </c>
    </row>
    <row r="610" spans="1:17">
      <c r="A610" s="28"/>
      <c r="B610" s="28"/>
      <c r="C610" s="28"/>
      <c r="D610" s="28"/>
      <c r="E610" s="28"/>
      <c r="F610" s="28"/>
      <c r="G610" s="26" t="str">
        <f t="shared" si="72"/>
        <v/>
      </c>
      <c r="H610" s="26" t="str">
        <f t="shared" si="79"/>
        <v/>
      </c>
      <c r="I610" s="26" t="str">
        <f t="shared" si="73"/>
        <v/>
      </c>
      <c r="J610" t="str">
        <f t="shared" si="74"/>
        <v/>
      </c>
      <c r="K610" s="26" t="str">
        <f t="shared" si="75"/>
        <v/>
      </c>
      <c r="L610" s="26" t="str">
        <f t="shared" si="76"/>
        <v/>
      </c>
      <c r="P610" t="e">
        <f t="shared" si="77"/>
        <v>#N/A</v>
      </c>
      <c r="Q610" t="e">
        <f t="shared" si="78"/>
        <v>#N/A</v>
      </c>
    </row>
    <row r="611" spans="1:17">
      <c r="A611" s="28"/>
      <c r="B611" s="28"/>
      <c r="C611" s="28"/>
      <c r="D611" s="28"/>
      <c r="E611" s="28"/>
      <c r="F611" s="28"/>
      <c r="G611" s="26" t="str">
        <f t="shared" si="72"/>
        <v/>
      </c>
      <c r="H611" s="26" t="str">
        <f t="shared" si="79"/>
        <v/>
      </c>
      <c r="I611" s="26" t="str">
        <f t="shared" si="73"/>
        <v/>
      </c>
      <c r="J611" t="str">
        <f t="shared" si="74"/>
        <v/>
      </c>
      <c r="K611" s="26" t="str">
        <f t="shared" si="75"/>
        <v/>
      </c>
      <c r="L611" s="26" t="str">
        <f t="shared" si="76"/>
        <v/>
      </c>
      <c r="P611" t="e">
        <f t="shared" si="77"/>
        <v>#N/A</v>
      </c>
      <c r="Q611" t="e">
        <f t="shared" si="78"/>
        <v>#N/A</v>
      </c>
    </row>
    <row r="612" spans="1:17">
      <c r="A612" s="28"/>
      <c r="B612" s="28"/>
      <c r="C612" s="28"/>
      <c r="D612" s="28"/>
      <c r="E612" s="28"/>
      <c r="F612" s="28"/>
      <c r="G612" s="26" t="str">
        <f t="shared" si="72"/>
        <v/>
      </c>
      <c r="H612" s="26" t="str">
        <f t="shared" si="79"/>
        <v/>
      </c>
      <c r="I612" s="26" t="str">
        <f t="shared" si="73"/>
        <v/>
      </c>
      <c r="J612" t="str">
        <f t="shared" si="74"/>
        <v/>
      </c>
      <c r="K612" s="26" t="str">
        <f t="shared" si="75"/>
        <v/>
      </c>
      <c r="L612" s="26" t="str">
        <f t="shared" si="76"/>
        <v/>
      </c>
      <c r="P612" t="e">
        <f t="shared" si="77"/>
        <v>#N/A</v>
      </c>
      <c r="Q612" t="e">
        <f t="shared" si="78"/>
        <v>#N/A</v>
      </c>
    </row>
    <row r="613" spans="1:17">
      <c r="A613" s="28"/>
      <c r="B613" s="28"/>
      <c r="C613" s="28"/>
      <c r="D613" s="28"/>
      <c r="E613" s="28"/>
      <c r="F613" s="28"/>
      <c r="G613" s="26" t="str">
        <f t="shared" si="72"/>
        <v/>
      </c>
      <c r="H613" s="26" t="str">
        <f t="shared" si="79"/>
        <v/>
      </c>
      <c r="I613" s="26" t="str">
        <f t="shared" si="73"/>
        <v/>
      </c>
      <c r="J613" t="str">
        <f t="shared" si="74"/>
        <v/>
      </c>
      <c r="K613" s="26" t="str">
        <f t="shared" si="75"/>
        <v/>
      </c>
      <c r="L613" s="26" t="str">
        <f t="shared" si="76"/>
        <v/>
      </c>
      <c r="P613" t="e">
        <f t="shared" si="77"/>
        <v>#N/A</v>
      </c>
      <c r="Q613" t="e">
        <f t="shared" si="78"/>
        <v>#N/A</v>
      </c>
    </row>
    <row r="614" spans="1:17">
      <c r="A614" s="28"/>
      <c r="B614" s="28"/>
      <c r="C614" s="28"/>
      <c r="D614" s="28"/>
      <c r="E614" s="28"/>
      <c r="F614" s="28"/>
      <c r="G614" s="26" t="str">
        <f t="shared" si="72"/>
        <v/>
      </c>
      <c r="H614" s="26" t="str">
        <f t="shared" si="79"/>
        <v/>
      </c>
      <c r="I614" s="26" t="str">
        <f t="shared" si="73"/>
        <v/>
      </c>
      <c r="J614" t="str">
        <f t="shared" si="74"/>
        <v/>
      </c>
      <c r="K614" s="26" t="str">
        <f t="shared" si="75"/>
        <v/>
      </c>
      <c r="L614" s="26" t="str">
        <f t="shared" si="76"/>
        <v/>
      </c>
      <c r="P614" t="e">
        <f t="shared" si="77"/>
        <v>#N/A</v>
      </c>
      <c r="Q614" t="e">
        <f t="shared" si="78"/>
        <v>#N/A</v>
      </c>
    </row>
    <row r="615" spans="1:17">
      <c r="A615" s="28"/>
      <c r="B615" s="28"/>
      <c r="C615" s="28"/>
      <c r="D615" s="28"/>
      <c r="E615" s="28"/>
      <c r="F615" s="28"/>
      <c r="G615" s="26" t="str">
        <f t="shared" si="72"/>
        <v/>
      </c>
      <c r="H615" s="26" t="str">
        <f t="shared" si="79"/>
        <v/>
      </c>
      <c r="I615" s="26" t="str">
        <f t="shared" si="73"/>
        <v/>
      </c>
      <c r="J615" t="str">
        <f t="shared" si="74"/>
        <v/>
      </c>
      <c r="K615" s="26" t="str">
        <f t="shared" si="75"/>
        <v/>
      </c>
      <c r="L615" s="26" t="str">
        <f t="shared" si="76"/>
        <v/>
      </c>
      <c r="P615" t="e">
        <f t="shared" si="77"/>
        <v>#N/A</v>
      </c>
      <c r="Q615" t="e">
        <f t="shared" si="78"/>
        <v>#N/A</v>
      </c>
    </row>
    <row r="616" spans="1:17">
      <c r="A616" s="28"/>
      <c r="B616" s="28"/>
      <c r="C616" s="28"/>
      <c r="D616" s="28"/>
      <c r="E616" s="28"/>
      <c r="F616" s="28"/>
      <c r="G616" s="26" t="str">
        <f t="shared" si="72"/>
        <v/>
      </c>
      <c r="H616" s="26" t="str">
        <f t="shared" si="79"/>
        <v/>
      </c>
      <c r="I616" s="26" t="str">
        <f t="shared" si="73"/>
        <v/>
      </c>
      <c r="J616" t="str">
        <f t="shared" si="74"/>
        <v/>
      </c>
      <c r="K616" s="26" t="str">
        <f t="shared" si="75"/>
        <v/>
      </c>
      <c r="L616" s="26" t="str">
        <f t="shared" si="76"/>
        <v/>
      </c>
      <c r="P616" t="e">
        <f t="shared" si="77"/>
        <v>#N/A</v>
      </c>
      <c r="Q616" t="e">
        <f t="shared" si="78"/>
        <v>#N/A</v>
      </c>
    </row>
    <row r="617" spans="1:17">
      <c r="A617" s="28"/>
      <c r="B617" s="28"/>
      <c r="C617" s="28"/>
      <c r="D617" s="28"/>
      <c r="E617" s="28"/>
      <c r="F617" s="28"/>
      <c r="G617" s="26" t="str">
        <f t="shared" si="72"/>
        <v/>
      </c>
      <c r="H617" s="26" t="str">
        <f t="shared" si="79"/>
        <v/>
      </c>
      <c r="I617" s="26" t="str">
        <f t="shared" si="73"/>
        <v/>
      </c>
      <c r="J617" t="str">
        <f t="shared" si="74"/>
        <v/>
      </c>
      <c r="K617" s="26" t="str">
        <f t="shared" si="75"/>
        <v/>
      </c>
      <c r="L617" s="26" t="str">
        <f t="shared" si="76"/>
        <v/>
      </c>
      <c r="P617" t="e">
        <f t="shared" si="77"/>
        <v>#N/A</v>
      </c>
      <c r="Q617" t="e">
        <f t="shared" si="78"/>
        <v>#N/A</v>
      </c>
    </row>
    <row r="618" spans="1:17">
      <c r="A618" s="28"/>
      <c r="B618" s="28"/>
      <c r="C618" s="28"/>
      <c r="D618" s="28"/>
      <c r="E618" s="28"/>
      <c r="F618" s="28"/>
      <c r="G618" s="26" t="str">
        <f t="shared" si="72"/>
        <v/>
      </c>
      <c r="H618" s="26" t="str">
        <f t="shared" si="79"/>
        <v/>
      </c>
      <c r="I618" s="26" t="str">
        <f t="shared" si="73"/>
        <v/>
      </c>
      <c r="J618" t="str">
        <f t="shared" si="74"/>
        <v/>
      </c>
      <c r="K618" s="26" t="str">
        <f t="shared" si="75"/>
        <v/>
      </c>
      <c r="L618" s="26" t="str">
        <f t="shared" si="76"/>
        <v/>
      </c>
      <c r="P618" t="e">
        <f t="shared" si="77"/>
        <v>#N/A</v>
      </c>
      <c r="Q618" t="e">
        <f t="shared" si="78"/>
        <v>#N/A</v>
      </c>
    </row>
    <row r="619" spans="1:17">
      <c r="A619" s="28"/>
      <c r="B619" s="28"/>
      <c r="C619" s="28"/>
      <c r="D619" s="28"/>
      <c r="E619" s="28"/>
      <c r="F619" s="28"/>
      <c r="G619" s="26" t="str">
        <f t="shared" si="72"/>
        <v/>
      </c>
      <c r="H619" s="26" t="str">
        <f t="shared" si="79"/>
        <v/>
      </c>
      <c r="I619" s="26" t="str">
        <f t="shared" si="73"/>
        <v/>
      </c>
      <c r="J619" t="str">
        <f t="shared" si="74"/>
        <v/>
      </c>
      <c r="K619" s="26" t="str">
        <f t="shared" si="75"/>
        <v/>
      </c>
      <c r="L619" s="26" t="str">
        <f t="shared" si="76"/>
        <v/>
      </c>
      <c r="P619" t="e">
        <f t="shared" si="77"/>
        <v>#N/A</v>
      </c>
      <c r="Q619" t="e">
        <f t="shared" si="78"/>
        <v>#N/A</v>
      </c>
    </row>
    <row r="620" spans="1:17">
      <c r="A620" s="28"/>
      <c r="B620" s="28"/>
      <c r="C620" s="28"/>
      <c r="D620" s="28"/>
      <c r="E620" s="28"/>
      <c r="F620" s="28"/>
      <c r="G620" s="26" t="str">
        <f t="shared" si="72"/>
        <v/>
      </c>
      <c r="H620" s="26" t="str">
        <f t="shared" si="79"/>
        <v/>
      </c>
      <c r="I620" s="26" t="str">
        <f t="shared" si="73"/>
        <v/>
      </c>
      <c r="J620" t="str">
        <f t="shared" si="74"/>
        <v/>
      </c>
      <c r="K620" s="26" t="str">
        <f t="shared" si="75"/>
        <v/>
      </c>
      <c r="L620" s="26" t="str">
        <f t="shared" si="76"/>
        <v/>
      </c>
      <c r="P620" t="e">
        <f t="shared" si="77"/>
        <v>#N/A</v>
      </c>
      <c r="Q620" t="e">
        <f t="shared" si="78"/>
        <v>#N/A</v>
      </c>
    </row>
    <row r="621" spans="1:17">
      <c r="A621" s="28"/>
      <c r="B621" s="28"/>
      <c r="C621" s="28"/>
      <c r="D621" s="28"/>
      <c r="E621" s="28"/>
      <c r="F621" s="28"/>
      <c r="G621" s="26" t="str">
        <f t="shared" si="72"/>
        <v/>
      </c>
      <c r="H621" s="26" t="str">
        <f t="shared" si="79"/>
        <v/>
      </c>
      <c r="I621" s="26" t="str">
        <f t="shared" si="73"/>
        <v/>
      </c>
      <c r="J621" t="str">
        <f t="shared" si="74"/>
        <v/>
      </c>
      <c r="K621" s="26" t="str">
        <f t="shared" si="75"/>
        <v/>
      </c>
      <c r="L621" s="26" t="str">
        <f t="shared" si="76"/>
        <v/>
      </c>
      <c r="P621" t="e">
        <f t="shared" si="77"/>
        <v>#N/A</v>
      </c>
      <c r="Q621" t="e">
        <f t="shared" si="78"/>
        <v>#N/A</v>
      </c>
    </row>
    <row r="622" spans="1:17">
      <c r="A622" s="28"/>
      <c r="B622" s="28"/>
      <c r="C622" s="28"/>
      <c r="D622" s="28"/>
      <c r="E622" s="28"/>
      <c r="F622" s="28"/>
      <c r="G622" s="26" t="str">
        <f t="shared" si="72"/>
        <v/>
      </c>
      <c r="H622" s="26" t="str">
        <f t="shared" si="79"/>
        <v/>
      </c>
      <c r="I622" s="26" t="str">
        <f t="shared" si="73"/>
        <v/>
      </c>
      <c r="J622" t="str">
        <f t="shared" si="74"/>
        <v/>
      </c>
      <c r="K622" s="26" t="str">
        <f t="shared" si="75"/>
        <v/>
      </c>
      <c r="L622" s="26" t="str">
        <f t="shared" si="76"/>
        <v/>
      </c>
      <c r="P622" t="e">
        <f t="shared" si="77"/>
        <v>#N/A</v>
      </c>
      <c r="Q622" t="e">
        <f t="shared" si="78"/>
        <v>#N/A</v>
      </c>
    </row>
    <row r="623" spans="1:17">
      <c r="A623" s="28"/>
      <c r="B623" s="28"/>
      <c r="C623" s="28"/>
      <c r="D623" s="28"/>
      <c r="E623" s="28"/>
      <c r="F623" s="28"/>
      <c r="G623" s="26" t="str">
        <f t="shared" si="72"/>
        <v/>
      </c>
      <c r="H623" s="26" t="str">
        <f t="shared" si="79"/>
        <v/>
      </c>
      <c r="I623" s="26" t="str">
        <f t="shared" si="73"/>
        <v/>
      </c>
      <c r="J623" t="str">
        <f t="shared" si="74"/>
        <v/>
      </c>
      <c r="K623" s="26" t="str">
        <f t="shared" si="75"/>
        <v/>
      </c>
      <c r="L623" s="26" t="str">
        <f t="shared" si="76"/>
        <v/>
      </c>
      <c r="P623" t="e">
        <f t="shared" si="77"/>
        <v>#N/A</v>
      </c>
      <c r="Q623" t="e">
        <f t="shared" si="78"/>
        <v>#N/A</v>
      </c>
    </row>
    <row r="624" spans="1:17">
      <c r="A624" s="28"/>
      <c r="B624" s="28"/>
      <c r="C624" s="28"/>
      <c r="D624" s="28"/>
      <c r="E624" s="28"/>
      <c r="F624" s="28"/>
      <c r="G624" s="26" t="str">
        <f t="shared" si="72"/>
        <v/>
      </c>
      <c r="H624" s="26" t="str">
        <f t="shared" si="79"/>
        <v/>
      </c>
      <c r="I624" s="26" t="str">
        <f t="shared" si="73"/>
        <v/>
      </c>
      <c r="J624" t="str">
        <f t="shared" si="74"/>
        <v/>
      </c>
      <c r="K624" s="26" t="str">
        <f t="shared" si="75"/>
        <v/>
      </c>
      <c r="L624" s="26" t="str">
        <f t="shared" si="76"/>
        <v/>
      </c>
      <c r="P624" t="e">
        <f t="shared" si="77"/>
        <v>#N/A</v>
      </c>
      <c r="Q624" t="e">
        <f t="shared" si="78"/>
        <v>#N/A</v>
      </c>
    </row>
    <row r="625" spans="1:17">
      <c r="A625" s="28"/>
      <c r="B625" s="28"/>
      <c r="C625" s="28"/>
      <c r="D625" s="28"/>
      <c r="E625" s="28"/>
      <c r="F625" s="28"/>
      <c r="G625" s="26" t="str">
        <f t="shared" si="72"/>
        <v/>
      </c>
      <c r="H625" s="26" t="str">
        <f t="shared" si="79"/>
        <v/>
      </c>
      <c r="I625" s="26" t="str">
        <f t="shared" si="73"/>
        <v/>
      </c>
      <c r="J625" t="str">
        <f t="shared" si="74"/>
        <v/>
      </c>
      <c r="K625" s="26" t="str">
        <f t="shared" si="75"/>
        <v/>
      </c>
      <c r="L625" s="26" t="str">
        <f t="shared" si="76"/>
        <v/>
      </c>
      <c r="P625" t="e">
        <f t="shared" si="77"/>
        <v>#N/A</v>
      </c>
      <c r="Q625" t="e">
        <f t="shared" si="78"/>
        <v>#N/A</v>
      </c>
    </row>
    <row r="626" spans="1:17">
      <c r="A626" s="28"/>
      <c r="B626" s="28"/>
      <c r="C626" s="28"/>
      <c r="D626" s="28"/>
      <c r="E626" s="28"/>
      <c r="F626" s="28"/>
      <c r="G626" s="26" t="str">
        <f t="shared" si="72"/>
        <v/>
      </c>
      <c r="H626" s="26" t="str">
        <f t="shared" si="79"/>
        <v/>
      </c>
      <c r="I626" s="26" t="str">
        <f t="shared" si="73"/>
        <v/>
      </c>
      <c r="J626" t="str">
        <f t="shared" si="74"/>
        <v/>
      </c>
      <c r="K626" s="26" t="str">
        <f t="shared" si="75"/>
        <v/>
      </c>
      <c r="L626" s="26" t="str">
        <f t="shared" si="76"/>
        <v/>
      </c>
      <c r="P626" t="e">
        <f t="shared" si="77"/>
        <v>#N/A</v>
      </c>
      <c r="Q626" t="e">
        <f t="shared" si="78"/>
        <v>#N/A</v>
      </c>
    </row>
    <row r="627" spans="1:17">
      <c r="A627" s="28"/>
      <c r="B627" s="28"/>
      <c r="C627" s="28"/>
      <c r="D627" s="28"/>
      <c r="E627" s="28"/>
      <c r="F627" s="28"/>
      <c r="G627" s="26" t="str">
        <f t="shared" si="72"/>
        <v/>
      </c>
      <c r="H627" s="26" t="str">
        <f t="shared" si="79"/>
        <v/>
      </c>
      <c r="I627" s="26" t="str">
        <f t="shared" si="73"/>
        <v/>
      </c>
      <c r="J627" t="str">
        <f t="shared" si="74"/>
        <v/>
      </c>
      <c r="K627" s="26" t="str">
        <f t="shared" si="75"/>
        <v/>
      </c>
      <c r="L627" s="26" t="str">
        <f t="shared" si="76"/>
        <v/>
      </c>
      <c r="P627" t="e">
        <f t="shared" si="77"/>
        <v>#N/A</v>
      </c>
      <c r="Q627" t="e">
        <f t="shared" si="78"/>
        <v>#N/A</v>
      </c>
    </row>
    <row r="628" spans="1:17">
      <c r="A628" s="28"/>
      <c r="B628" s="28"/>
      <c r="C628" s="28"/>
      <c r="D628" s="28"/>
      <c r="E628" s="28"/>
      <c r="F628" s="28"/>
      <c r="G628" s="26" t="str">
        <f t="shared" si="72"/>
        <v/>
      </c>
      <c r="H628" s="26" t="str">
        <f t="shared" si="79"/>
        <v/>
      </c>
      <c r="I628" s="26" t="str">
        <f t="shared" si="73"/>
        <v/>
      </c>
      <c r="J628" t="str">
        <f t="shared" si="74"/>
        <v/>
      </c>
      <c r="K628" s="26" t="str">
        <f t="shared" si="75"/>
        <v/>
      </c>
      <c r="L628" s="26" t="str">
        <f t="shared" si="76"/>
        <v/>
      </c>
      <c r="P628" t="e">
        <f t="shared" si="77"/>
        <v>#N/A</v>
      </c>
      <c r="Q628" t="e">
        <f t="shared" si="78"/>
        <v>#N/A</v>
      </c>
    </row>
    <row r="629" spans="1:17">
      <c r="A629" s="28"/>
      <c r="B629" s="28"/>
      <c r="C629" s="28"/>
      <c r="D629" s="28"/>
      <c r="E629" s="28"/>
      <c r="F629" s="28"/>
      <c r="G629" s="26" t="str">
        <f t="shared" si="72"/>
        <v/>
      </c>
      <c r="H629" s="26" t="str">
        <f t="shared" si="79"/>
        <v/>
      </c>
      <c r="I629" s="26" t="str">
        <f t="shared" si="73"/>
        <v/>
      </c>
      <c r="J629" t="str">
        <f t="shared" si="74"/>
        <v/>
      </c>
      <c r="K629" s="26" t="str">
        <f t="shared" si="75"/>
        <v/>
      </c>
      <c r="L629" s="26" t="str">
        <f t="shared" si="76"/>
        <v/>
      </c>
      <c r="P629" t="e">
        <f t="shared" si="77"/>
        <v>#N/A</v>
      </c>
      <c r="Q629" t="e">
        <f t="shared" si="78"/>
        <v>#N/A</v>
      </c>
    </row>
    <row r="630" spans="1:17">
      <c r="A630" s="28"/>
      <c r="B630" s="28"/>
      <c r="C630" s="28"/>
      <c r="D630" s="28"/>
      <c r="E630" s="28"/>
      <c r="F630" s="28"/>
      <c r="G630" s="26" t="str">
        <f t="shared" si="72"/>
        <v/>
      </c>
      <c r="H630" s="26" t="str">
        <f t="shared" si="79"/>
        <v/>
      </c>
      <c r="I630" s="26" t="str">
        <f t="shared" si="73"/>
        <v/>
      </c>
      <c r="J630" t="str">
        <f t="shared" si="74"/>
        <v/>
      </c>
      <c r="K630" s="26" t="str">
        <f t="shared" si="75"/>
        <v/>
      </c>
      <c r="L630" s="26" t="str">
        <f t="shared" si="76"/>
        <v/>
      </c>
      <c r="P630" t="e">
        <f t="shared" si="77"/>
        <v>#N/A</v>
      </c>
      <c r="Q630" t="e">
        <f t="shared" si="78"/>
        <v>#N/A</v>
      </c>
    </row>
    <row r="631" spans="1:17">
      <c r="A631" s="28"/>
      <c r="B631" s="28"/>
      <c r="C631" s="28"/>
      <c r="D631" s="28"/>
      <c r="E631" s="28"/>
      <c r="F631" s="28"/>
      <c r="G631" s="26" t="str">
        <f t="shared" si="72"/>
        <v/>
      </c>
      <c r="H631" s="26" t="str">
        <f t="shared" si="79"/>
        <v/>
      </c>
      <c r="I631" s="26" t="str">
        <f t="shared" si="73"/>
        <v/>
      </c>
      <c r="J631" t="str">
        <f t="shared" si="74"/>
        <v/>
      </c>
      <c r="K631" s="26" t="str">
        <f t="shared" si="75"/>
        <v/>
      </c>
      <c r="L631" s="26" t="str">
        <f t="shared" si="76"/>
        <v/>
      </c>
      <c r="P631" t="e">
        <f t="shared" si="77"/>
        <v>#N/A</v>
      </c>
      <c r="Q631" t="e">
        <f t="shared" si="78"/>
        <v>#N/A</v>
      </c>
    </row>
    <row r="632" spans="1:17">
      <c r="A632" s="28"/>
      <c r="B632" s="28"/>
      <c r="C632" s="28"/>
      <c r="D632" s="28"/>
      <c r="E632" s="28"/>
      <c r="F632" s="28"/>
      <c r="G632" s="26" t="str">
        <f t="shared" si="72"/>
        <v/>
      </c>
      <c r="H632" s="26" t="str">
        <f t="shared" si="79"/>
        <v/>
      </c>
      <c r="I632" s="26" t="str">
        <f t="shared" si="73"/>
        <v/>
      </c>
      <c r="J632" t="str">
        <f t="shared" si="74"/>
        <v/>
      </c>
      <c r="K632" s="26" t="str">
        <f t="shared" si="75"/>
        <v/>
      </c>
      <c r="L632" s="26" t="str">
        <f t="shared" si="76"/>
        <v/>
      </c>
      <c r="P632" t="e">
        <f t="shared" si="77"/>
        <v>#N/A</v>
      </c>
      <c r="Q632" t="e">
        <f t="shared" si="78"/>
        <v>#N/A</v>
      </c>
    </row>
    <row r="633" spans="1:17">
      <c r="A633" s="28"/>
      <c r="B633" s="28"/>
      <c r="C633" s="28"/>
      <c r="D633" s="28"/>
      <c r="E633" s="28"/>
      <c r="F633" s="28"/>
      <c r="G633" s="26" t="str">
        <f t="shared" si="72"/>
        <v/>
      </c>
      <c r="H633" s="26" t="str">
        <f t="shared" si="79"/>
        <v/>
      </c>
      <c r="I633" s="26" t="str">
        <f t="shared" si="73"/>
        <v/>
      </c>
      <c r="J633" t="str">
        <f t="shared" si="74"/>
        <v/>
      </c>
      <c r="K633" s="26" t="str">
        <f t="shared" si="75"/>
        <v/>
      </c>
      <c r="L633" s="26" t="str">
        <f t="shared" si="76"/>
        <v/>
      </c>
      <c r="P633" t="e">
        <f t="shared" si="77"/>
        <v>#N/A</v>
      </c>
      <c r="Q633" t="e">
        <f t="shared" si="78"/>
        <v>#N/A</v>
      </c>
    </row>
    <row r="634" spans="1:17">
      <c r="A634" s="28"/>
      <c r="B634" s="28"/>
      <c r="C634" s="28"/>
      <c r="D634" s="28"/>
      <c r="E634" s="28"/>
      <c r="F634" s="28"/>
      <c r="G634" s="26" t="str">
        <f t="shared" si="72"/>
        <v/>
      </c>
      <c r="H634" s="26" t="str">
        <f t="shared" si="79"/>
        <v/>
      </c>
      <c r="I634" s="26" t="str">
        <f t="shared" si="73"/>
        <v/>
      </c>
      <c r="J634" t="str">
        <f t="shared" si="74"/>
        <v/>
      </c>
      <c r="K634" s="26" t="str">
        <f t="shared" si="75"/>
        <v/>
      </c>
      <c r="L634" s="26" t="str">
        <f t="shared" si="76"/>
        <v/>
      </c>
      <c r="P634" t="e">
        <f t="shared" si="77"/>
        <v>#N/A</v>
      </c>
      <c r="Q634" t="e">
        <f t="shared" si="78"/>
        <v>#N/A</v>
      </c>
    </row>
    <row r="635" spans="1:17">
      <c r="A635" s="28"/>
      <c r="B635" s="28"/>
      <c r="C635" s="28"/>
      <c r="D635" s="28"/>
      <c r="E635" s="28"/>
      <c r="F635" s="28"/>
      <c r="G635" s="26" t="str">
        <f t="shared" si="72"/>
        <v/>
      </c>
      <c r="H635" s="26" t="str">
        <f t="shared" si="79"/>
        <v/>
      </c>
      <c r="I635" s="26" t="str">
        <f t="shared" si="73"/>
        <v/>
      </c>
      <c r="J635" t="str">
        <f t="shared" si="74"/>
        <v/>
      </c>
      <c r="K635" s="26" t="str">
        <f t="shared" si="75"/>
        <v/>
      </c>
      <c r="L635" s="26" t="str">
        <f t="shared" si="76"/>
        <v/>
      </c>
      <c r="P635" t="e">
        <f t="shared" si="77"/>
        <v>#N/A</v>
      </c>
      <c r="Q635" t="e">
        <f t="shared" si="78"/>
        <v>#N/A</v>
      </c>
    </row>
    <row r="636" spans="1:17">
      <c r="A636" s="28"/>
      <c r="B636" s="28"/>
      <c r="C636" s="28"/>
      <c r="D636" s="28"/>
      <c r="E636" s="28"/>
      <c r="F636" s="28"/>
      <c r="G636" s="26" t="str">
        <f t="shared" si="72"/>
        <v/>
      </c>
      <c r="H636" s="26" t="str">
        <f t="shared" si="79"/>
        <v/>
      </c>
      <c r="I636" s="26" t="str">
        <f t="shared" si="73"/>
        <v/>
      </c>
      <c r="J636" t="str">
        <f t="shared" si="74"/>
        <v/>
      </c>
      <c r="K636" s="26" t="str">
        <f t="shared" si="75"/>
        <v/>
      </c>
      <c r="L636" s="26" t="str">
        <f t="shared" si="76"/>
        <v/>
      </c>
      <c r="P636" t="e">
        <f t="shared" si="77"/>
        <v>#N/A</v>
      </c>
      <c r="Q636" t="e">
        <f t="shared" si="78"/>
        <v>#N/A</v>
      </c>
    </row>
    <row r="637" spans="1:17">
      <c r="A637" s="28"/>
      <c r="B637" s="28"/>
      <c r="C637" s="28"/>
      <c r="D637" s="28"/>
      <c r="E637" s="28"/>
      <c r="F637" s="28"/>
      <c r="G637" s="26" t="str">
        <f t="shared" si="72"/>
        <v/>
      </c>
      <c r="H637" s="26" t="str">
        <f t="shared" si="79"/>
        <v/>
      </c>
      <c r="I637" s="26" t="str">
        <f t="shared" si="73"/>
        <v/>
      </c>
      <c r="J637" t="str">
        <f t="shared" si="74"/>
        <v/>
      </c>
      <c r="K637" s="26" t="str">
        <f t="shared" si="75"/>
        <v/>
      </c>
      <c r="L637" s="26" t="str">
        <f t="shared" si="76"/>
        <v/>
      </c>
      <c r="P637" t="e">
        <f t="shared" si="77"/>
        <v>#N/A</v>
      </c>
      <c r="Q637" t="e">
        <f t="shared" si="78"/>
        <v>#N/A</v>
      </c>
    </row>
    <row r="638" spans="1:17">
      <c r="A638" s="28"/>
      <c r="B638" s="28"/>
      <c r="C638" s="28"/>
      <c r="D638" s="28"/>
      <c r="E638" s="28"/>
      <c r="F638" s="28"/>
      <c r="G638" s="26" t="str">
        <f t="shared" si="72"/>
        <v/>
      </c>
      <c r="H638" s="26" t="str">
        <f t="shared" si="79"/>
        <v/>
      </c>
      <c r="I638" s="26" t="str">
        <f t="shared" si="73"/>
        <v/>
      </c>
      <c r="J638" t="str">
        <f t="shared" si="74"/>
        <v/>
      </c>
      <c r="K638" s="26" t="str">
        <f t="shared" si="75"/>
        <v/>
      </c>
      <c r="L638" s="26" t="str">
        <f t="shared" si="76"/>
        <v/>
      </c>
      <c r="P638" t="e">
        <f t="shared" si="77"/>
        <v>#N/A</v>
      </c>
      <c r="Q638" t="e">
        <f t="shared" si="78"/>
        <v>#N/A</v>
      </c>
    </row>
    <row r="639" spans="1:17">
      <c r="A639" s="28"/>
      <c r="B639" s="28"/>
      <c r="C639" s="28"/>
      <c r="D639" s="28"/>
      <c r="E639" s="28"/>
      <c r="F639" s="28"/>
      <c r="G639" s="26" t="str">
        <f t="shared" si="72"/>
        <v/>
      </c>
      <c r="H639" s="26" t="str">
        <f t="shared" si="79"/>
        <v/>
      </c>
      <c r="I639" s="26" t="str">
        <f t="shared" si="73"/>
        <v/>
      </c>
      <c r="J639" t="str">
        <f t="shared" si="74"/>
        <v/>
      </c>
      <c r="K639" s="26" t="str">
        <f t="shared" si="75"/>
        <v/>
      </c>
      <c r="L639" s="26" t="str">
        <f t="shared" si="76"/>
        <v/>
      </c>
      <c r="P639" t="e">
        <f t="shared" si="77"/>
        <v>#N/A</v>
      </c>
      <c r="Q639" t="e">
        <f t="shared" si="78"/>
        <v>#N/A</v>
      </c>
    </row>
    <row r="640" spans="1:17">
      <c r="A640" s="28"/>
      <c r="B640" s="28"/>
      <c r="C640" s="28"/>
      <c r="D640" s="28"/>
      <c r="E640" s="28"/>
      <c r="F640" s="28"/>
      <c r="G640" s="26" t="str">
        <f t="shared" si="72"/>
        <v/>
      </c>
      <c r="H640" s="26" t="str">
        <f t="shared" si="79"/>
        <v/>
      </c>
      <c r="I640" s="26" t="str">
        <f t="shared" si="73"/>
        <v/>
      </c>
      <c r="J640" t="str">
        <f t="shared" si="74"/>
        <v/>
      </c>
      <c r="K640" s="26" t="str">
        <f t="shared" si="75"/>
        <v/>
      </c>
      <c r="L640" s="26" t="str">
        <f t="shared" si="76"/>
        <v/>
      </c>
      <c r="P640" t="e">
        <f t="shared" si="77"/>
        <v>#N/A</v>
      </c>
      <c r="Q640" t="e">
        <f t="shared" si="78"/>
        <v>#N/A</v>
      </c>
    </row>
    <row r="641" spans="1:17">
      <c r="A641" s="28"/>
      <c r="B641" s="28"/>
      <c r="C641" s="28"/>
      <c r="D641" s="28"/>
      <c r="E641" s="28"/>
      <c r="F641" s="28"/>
      <c r="G641" s="26" t="str">
        <f t="shared" si="72"/>
        <v/>
      </c>
      <c r="H641" s="26" t="str">
        <f t="shared" si="79"/>
        <v/>
      </c>
      <c r="I641" s="26" t="str">
        <f t="shared" si="73"/>
        <v/>
      </c>
      <c r="J641" t="str">
        <f t="shared" si="74"/>
        <v/>
      </c>
      <c r="K641" s="26" t="str">
        <f t="shared" si="75"/>
        <v/>
      </c>
      <c r="L641" s="26" t="str">
        <f t="shared" si="76"/>
        <v/>
      </c>
      <c r="P641" t="e">
        <f t="shared" si="77"/>
        <v>#N/A</v>
      </c>
      <c r="Q641" t="e">
        <f t="shared" si="78"/>
        <v>#N/A</v>
      </c>
    </row>
    <row r="642" spans="1:17">
      <c r="A642" s="28"/>
      <c r="B642" s="28"/>
      <c r="C642" s="28"/>
      <c r="D642" s="28"/>
      <c r="E642" s="28"/>
      <c r="F642" s="28"/>
      <c r="G642" s="26" t="str">
        <f t="shared" ref="G642:G705" si="80">IF(B642="","",243.04*(LN(C642/100)+17.625*B642/(243.04+B642))/(17.625-LN(C642/100)-17.625*B642/(243.04+B642)))</f>
        <v/>
      </c>
      <c r="H642" s="26" t="str">
        <f t="shared" si="79"/>
        <v/>
      </c>
      <c r="I642" s="26" t="str">
        <f t="shared" ref="I642:I705" si="81">IF(B642="","",B642-E642)</f>
        <v/>
      </c>
      <c r="J642" t="str">
        <f t="shared" ref="J642:J705" si="82">IF(H642="","",IF(H642&gt;0.6,"Heating",IF(H642&lt;-0.2,"Cooling","Steady")))</f>
        <v/>
      </c>
      <c r="K642" s="26" t="str">
        <f t="shared" ref="K642:K705" si="83">IF(J642="Cooling",I642,"")</f>
        <v/>
      </c>
      <c r="L642" s="26" t="str">
        <f t="shared" ref="L642:L705" si="84">IF(J642="Cooling",H642,"")</f>
        <v/>
      </c>
      <c r="P642" t="e">
        <f t="shared" ref="P642:P705" si="85">IF(K642="",NA(),K642)</f>
        <v>#N/A</v>
      </c>
      <c r="Q642" t="e">
        <f t="shared" ref="Q642:Q705" si="86">IF(L642="",NA(),L642)</f>
        <v>#N/A</v>
      </c>
    </row>
    <row r="643" spans="1:17">
      <c r="A643" s="28"/>
      <c r="B643" s="28"/>
      <c r="C643" s="28"/>
      <c r="D643" s="28"/>
      <c r="E643" s="28"/>
      <c r="F643" s="28"/>
      <c r="G643" s="26" t="str">
        <f t="shared" si="80"/>
        <v/>
      </c>
      <c r="H643" s="26" t="str">
        <f t="shared" si="79"/>
        <v/>
      </c>
      <c r="I643" s="26" t="str">
        <f t="shared" si="81"/>
        <v/>
      </c>
      <c r="J643" t="str">
        <f t="shared" si="82"/>
        <v/>
      </c>
      <c r="K643" s="26" t="str">
        <f t="shared" si="83"/>
        <v/>
      </c>
      <c r="L643" s="26" t="str">
        <f t="shared" si="84"/>
        <v/>
      </c>
      <c r="P643" t="e">
        <f t="shared" si="85"/>
        <v>#N/A</v>
      </c>
      <c r="Q643" t="e">
        <f t="shared" si="86"/>
        <v>#N/A</v>
      </c>
    </row>
    <row r="644" spans="1:17">
      <c r="A644" s="28"/>
      <c r="B644" s="28"/>
      <c r="C644" s="28"/>
      <c r="D644" s="28"/>
      <c r="E644" s="28"/>
      <c r="F644" s="28"/>
      <c r="G644" s="26" t="str">
        <f t="shared" si="80"/>
        <v/>
      </c>
      <c r="H644" s="26" t="str">
        <f t="shared" ref="H644:H707" si="87">IFERROR(IF(OR(B642="",B646=""),"",(B646-B642)/4*60),"")</f>
        <v/>
      </c>
      <c r="I644" s="26" t="str">
        <f t="shared" si="81"/>
        <v/>
      </c>
      <c r="J644" t="str">
        <f t="shared" si="82"/>
        <v/>
      </c>
      <c r="K644" s="26" t="str">
        <f t="shared" si="83"/>
        <v/>
      </c>
      <c r="L644" s="26" t="str">
        <f t="shared" si="84"/>
        <v/>
      </c>
      <c r="P644" t="e">
        <f t="shared" si="85"/>
        <v>#N/A</v>
      </c>
      <c r="Q644" t="e">
        <f t="shared" si="86"/>
        <v>#N/A</v>
      </c>
    </row>
    <row r="645" spans="1:17">
      <c r="A645" s="28"/>
      <c r="B645" s="28"/>
      <c r="C645" s="28"/>
      <c r="D645" s="28"/>
      <c r="E645" s="28"/>
      <c r="F645" s="28"/>
      <c r="G645" s="26" t="str">
        <f t="shared" si="80"/>
        <v/>
      </c>
      <c r="H645" s="26" t="str">
        <f t="shared" si="87"/>
        <v/>
      </c>
      <c r="I645" s="26" t="str">
        <f t="shared" si="81"/>
        <v/>
      </c>
      <c r="J645" t="str">
        <f t="shared" si="82"/>
        <v/>
      </c>
      <c r="K645" s="26" t="str">
        <f t="shared" si="83"/>
        <v/>
      </c>
      <c r="L645" s="26" t="str">
        <f t="shared" si="84"/>
        <v/>
      </c>
      <c r="P645" t="e">
        <f t="shared" si="85"/>
        <v>#N/A</v>
      </c>
      <c r="Q645" t="e">
        <f t="shared" si="86"/>
        <v>#N/A</v>
      </c>
    </row>
    <row r="646" spans="1:17">
      <c r="A646" s="28"/>
      <c r="B646" s="28"/>
      <c r="C646" s="28"/>
      <c r="D646" s="28"/>
      <c r="E646" s="28"/>
      <c r="F646" s="28"/>
      <c r="G646" s="26" t="str">
        <f t="shared" si="80"/>
        <v/>
      </c>
      <c r="H646" s="26" t="str">
        <f t="shared" si="87"/>
        <v/>
      </c>
      <c r="I646" s="26" t="str">
        <f t="shared" si="81"/>
        <v/>
      </c>
      <c r="J646" t="str">
        <f t="shared" si="82"/>
        <v/>
      </c>
      <c r="K646" s="26" t="str">
        <f t="shared" si="83"/>
        <v/>
      </c>
      <c r="L646" s="26" t="str">
        <f t="shared" si="84"/>
        <v/>
      </c>
      <c r="P646" t="e">
        <f t="shared" si="85"/>
        <v>#N/A</v>
      </c>
      <c r="Q646" t="e">
        <f t="shared" si="86"/>
        <v>#N/A</v>
      </c>
    </row>
    <row r="647" spans="1:17">
      <c r="A647" s="28"/>
      <c r="B647" s="28"/>
      <c r="C647" s="28"/>
      <c r="D647" s="28"/>
      <c r="E647" s="28"/>
      <c r="F647" s="28"/>
      <c r="G647" s="26" t="str">
        <f t="shared" si="80"/>
        <v/>
      </c>
      <c r="H647" s="26" t="str">
        <f t="shared" si="87"/>
        <v/>
      </c>
      <c r="I647" s="26" t="str">
        <f t="shared" si="81"/>
        <v/>
      </c>
      <c r="J647" t="str">
        <f t="shared" si="82"/>
        <v/>
      </c>
      <c r="K647" s="26" t="str">
        <f t="shared" si="83"/>
        <v/>
      </c>
      <c r="L647" s="26" t="str">
        <f t="shared" si="84"/>
        <v/>
      </c>
      <c r="P647" t="e">
        <f t="shared" si="85"/>
        <v>#N/A</v>
      </c>
      <c r="Q647" t="e">
        <f t="shared" si="86"/>
        <v>#N/A</v>
      </c>
    </row>
    <row r="648" spans="1:17">
      <c r="A648" s="28"/>
      <c r="B648" s="28"/>
      <c r="C648" s="28"/>
      <c r="D648" s="28"/>
      <c r="E648" s="28"/>
      <c r="F648" s="28"/>
      <c r="G648" s="26" t="str">
        <f t="shared" si="80"/>
        <v/>
      </c>
      <c r="H648" s="26" t="str">
        <f t="shared" si="87"/>
        <v/>
      </c>
      <c r="I648" s="26" t="str">
        <f t="shared" si="81"/>
        <v/>
      </c>
      <c r="J648" t="str">
        <f t="shared" si="82"/>
        <v/>
      </c>
      <c r="K648" s="26" t="str">
        <f t="shared" si="83"/>
        <v/>
      </c>
      <c r="L648" s="26" t="str">
        <f t="shared" si="84"/>
        <v/>
      </c>
      <c r="P648" t="e">
        <f t="shared" si="85"/>
        <v>#N/A</v>
      </c>
      <c r="Q648" t="e">
        <f t="shared" si="86"/>
        <v>#N/A</v>
      </c>
    </row>
    <row r="649" spans="1:17">
      <c r="A649" s="28"/>
      <c r="B649" s="28"/>
      <c r="C649" s="28"/>
      <c r="D649" s="28"/>
      <c r="E649" s="28"/>
      <c r="F649" s="28"/>
      <c r="G649" s="26" t="str">
        <f t="shared" si="80"/>
        <v/>
      </c>
      <c r="H649" s="26" t="str">
        <f t="shared" si="87"/>
        <v/>
      </c>
      <c r="I649" s="26" t="str">
        <f t="shared" si="81"/>
        <v/>
      </c>
      <c r="J649" t="str">
        <f t="shared" si="82"/>
        <v/>
      </c>
      <c r="K649" s="26" t="str">
        <f t="shared" si="83"/>
        <v/>
      </c>
      <c r="L649" s="26" t="str">
        <f t="shared" si="84"/>
        <v/>
      </c>
      <c r="P649" t="e">
        <f t="shared" si="85"/>
        <v>#N/A</v>
      </c>
      <c r="Q649" t="e">
        <f t="shared" si="86"/>
        <v>#N/A</v>
      </c>
    </row>
    <row r="650" spans="1:17">
      <c r="A650" s="28"/>
      <c r="B650" s="28"/>
      <c r="C650" s="28"/>
      <c r="D650" s="28"/>
      <c r="E650" s="28"/>
      <c r="F650" s="28"/>
      <c r="G650" s="26" t="str">
        <f t="shared" si="80"/>
        <v/>
      </c>
      <c r="H650" s="26" t="str">
        <f t="shared" si="87"/>
        <v/>
      </c>
      <c r="I650" s="26" t="str">
        <f t="shared" si="81"/>
        <v/>
      </c>
      <c r="J650" t="str">
        <f t="shared" si="82"/>
        <v/>
      </c>
      <c r="K650" s="26" t="str">
        <f t="shared" si="83"/>
        <v/>
      </c>
      <c r="L650" s="26" t="str">
        <f t="shared" si="84"/>
        <v/>
      </c>
      <c r="P650" t="e">
        <f t="shared" si="85"/>
        <v>#N/A</v>
      </c>
      <c r="Q650" t="e">
        <f t="shared" si="86"/>
        <v>#N/A</v>
      </c>
    </row>
    <row r="651" spans="1:17">
      <c r="A651" s="28"/>
      <c r="B651" s="28"/>
      <c r="C651" s="28"/>
      <c r="D651" s="28"/>
      <c r="E651" s="28"/>
      <c r="F651" s="28"/>
      <c r="G651" s="26" t="str">
        <f t="shared" si="80"/>
        <v/>
      </c>
      <c r="H651" s="26" t="str">
        <f t="shared" si="87"/>
        <v/>
      </c>
      <c r="I651" s="26" t="str">
        <f t="shared" si="81"/>
        <v/>
      </c>
      <c r="J651" t="str">
        <f t="shared" si="82"/>
        <v/>
      </c>
      <c r="K651" s="26" t="str">
        <f t="shared" si="83"/>
        <v/>
      </c>
      <c r="L651" s="26" t="str">
        <f t="shared" si="84"/>
        <v/>
      </c>
      <c r="P651" t="e">
        <f t="shared" si="85"/>
        <v>#N/A</v>
      </c>
      <c r="Q651" t="e">
        <f t="shared" si="86"/>
        <v>#N/A</v>
      </c>
    </row>
    <row r="652" spans="1:17">
      <c r="A652" s="28"/>
      <c r="B652" s="28"/>
      <c r="C652" s="28"/>
      <c r="D652" s="28"/>
      <c r="E652" s="28"/>
      <c r="F652" s="28"/>
      <c r="G652" s="26" t="str">
        <f t="shared" si="80"/>
        <v/>
      </c>
      <c r="H652" s="26" t="str">
        <f t="shared" si="87"/>
        <v/>
      </c>
      <c r="I652" s="26" t="str">
        <f t="shared" si="81"/>
        <v/>
      </c>
      <c r="J652" t="str">
        <f t="shared" si="82"/>
        <v/>
      </c>
      <c r="K652" s="26" t="str">
        <f t="shared" si="83"/>
        <v/>
      </c>
      <c r="L652" s="26" t="str">
        <f t="shared" si="84"/>
        <v/>
      </c>
      <c r="P652" t="e">
        <f t="shared" si="85"/>
        <v>#N/A</v>
      </c>
      <c r="Q652" t="e">
        <f t="shared" si="86"/>
        <v>#N/A</v>
      </c>
    </row>
    <row r="653" spans="1:17">
      <c r="A653" s="28"/>
      <c r="B653" s="28"/>
      <c r="C653" s="28"/>
      <c r="D653" s="28"/>
      <c r="E653" s="28"/>
      <c r="F653" s="28"/>
      <c r="G653" s="26" t="str">
        <f t="shared" si="80"/>
        <v/>
      </c>
      <c r="H653" s="26" t="str">
        <f t="shared" si="87"/>
        <v/>
      </c>
      <c r="I653" s="26" t="str">
        <f t="shared" si="81"/>
        <v/>
      </c>
      <c r="J653" t="str">
        <f t="shared" si="82"/>
        <v/>
      </c>
      <c r="K653" s="26" t="str">
        <f t="shared" si="83"/>
        <v/>
      </c>
      <c r="L653" s="26" t="str">
        <f t="shared" si="84"/>
        <v/>
      </c>
      <c r="P653" t="e">
        <f t="shared" si="85"/>
        <v>#N/A</v>
      </c>
      <c r="Q653" t="e">
        <f t="shared" si="86"/>
        <v>#N/A</v>
      </c>
    </row>
    <row r="654" spans="1:17">
      <c r="A654" s="28"/>
      <c r="B654" s="28"/>
      <c r="C654" s="28"/>
      <c r="D654" s="28"/>
      <c r="E654" s="28"/>
      <c r="F654" s="28"/>
      <c r="G654" s="26" t="str">
        <f t="shared" si="80"/>
        <v/>
      </c>
      <c r="H654" s="26" t="str">
        <f t="shared" si="87"/>
        <v/>
      </c>
      <c r="I654" s="26" t="str">
        <f t="shared" si="81"/>
        <v/>
      </c>
      <c r="J654" t="str">
        <f t="shared" si="82"/>
        <v/>
      </c>
      <c r="K654" s="26" t="str">
        <f t="shared" si="83"/>
        <v/>
      </c>
      <c r="L654" s="26" t="str">
        <f t="shared" si="84"/>
        <v/>
      </c>
      <c r="P654" t="e">
        <f t="shared" si="85"/>
        <v>#N/A</v>
      </c>
      <c r="Q654" t="e">
        <f t="shared" si="86"/>
        <v>#N/A</v>
      </c>
    </row>
    <row r="655" spans="1:17">
      <c r="A655" s="28"/>
      <c r="B655" s="28"/>
      <c r="C655" s="28"/>
      <c r="D655" s="28"/>
      <c r="E655" s="28"/>
      <c r="F655" s="28"/>
      <c r="G655" s="26" t="str">
        <f t="shared" si="80"/>
        <v/>
      </c>
      <c r="H655" s="26" t="str">
        <f t="shared" si="87"/>
        <v/>
      </c>
      <c r="I655" s="26" t="str">
        <f t="shared" si="81"/>
        <v/>
      </c>
      <c r="J655" t="str">
        <f t="shared" si="82"/>
        <v/>
      </c>
      <c r="K655" s="26" t="str">
        <f t="shared" si="83"/>
        <v/>
      </c>
      <c r="L655" s="26" t="str">
        <f t="shared" si="84"/>
        <v/>
      </c>
      <c r="P655" t="e">
        <f t="shared" si="85"/>
        <v>#N/A</v>
      </c>
      <c r="Q655" t="e">
        <f t="shared" si="86"/>
        <v>#N/A</v>
      </c>
    </row>
    <row r="656" spans="1:17">
      <c r="A656" s="28"/>
      <c r="B656" s="28"/>
      <c r="C656" s="28"/>
      <c r="D656" s="28"/>
      <c r="E656" s="28"/>
      <c r="F656" s="28"/>
      <c r="G656" s="26" t="str">
        <f t="shared" si="80"/>
        <v/>
      </c>
      <c r="H656" s="26" t="str">
        <f t="shared" si="87"/>
        <v/>
      </c>
      <c r="I656" s="26" t="str">
        <f t="shared" si="81"/>
        <v/>
      </c>
      <c r="J656" t="str">
        <f t="shared" si="82"/>
        <v/>
      </c>
      <c r="K656" s="26" t="str">
        <f t="shared" si="83"/>
        <v/>
      </c>
      <c r="L656" s="26" t="str">
        <f t="shared" si="84"/>
        <v/>
      </c>
      <c r="P656" t="e">
        <f t="shared" si="85"/>
        <v>#N/A</v>
      </c>
      <c r="Q656" t="e">
        <f t="shared" si="86"/>
        <v>#N/A</v>
      </c>
    </row>
    <row r="657" spans="1:17">
      <c r="A657" s="28"/>
      <c r="B657" s="28"/>
      <c r="C657" s="28"/>
      <c r="D657" s="28"/>
      <c r="E657" s="28"/>
      <c r="F657" s="28"/>
      <c r="G657" s="26" t="str">
        <f t="shared" si="80"/>
        <v/>
      </c>
      <c r="H657" s="26" t="str">
        <f t="shared" si="87"/>
        <v/>
      </c>
      <c r="I657" s="26" t="str">
        <f t="shared" si="81"/>
        <v/>
      </c>
      <c r="J657" t="str">
        <f t="shared" si="82"/>
        <v/>
      </c>
      <c r="K657" s="26" t="str">
        <f t="shared" si="83"/>
        <v/>
      </c>
      <c r="L657" s="26" t="str">
        <f t="shared" si="84"/>
        <v/>
      </c>
      <c r="P657" t="e">
        <f t="shared" si="85"/>
        <v>#N/A</v>
      </c>
      <c r="Q657" t="e">
        <f t="shared" si="86"/>
        <v>#N/A</v>
      </c>
    </row>
    <row r="658" spans="1:17">
      <c r="A658" s="28"/>
      <c r="B658" s="28"/>
      <c r="C658" s="28"/>
      <c r="D658" s="28"/>
      <c r="E658" s="28"/>
      <c r="F658" s="28"/>
      <c r="G658" s="26" t="str">
        <f t="shared" si="80"/>
        <v/>
      </c>
      <c r="H658" s="26" t="str">
        <f t="shared" si="87"/>
        <v/>
      </c>
      <c r="I658" s="26" t="str">
        <f t="shared" si="81"/>
        <v/>
      </c>
      <c r="J658" t="str">
        <f t="shared" si="82"/>
        <v/>
      </c>
      <c r="K658" s="26" t="str">
        <f t="shared" si="83"/>
        <v/>
      </c>
      <c r="L658" s="26" t="str">
        <f t="shared" si="84"/>
        <v/>
      </c>
      <c r="P658" t="e">
        <f t="shared" si="85"/>
        <v>#N/A</v>
      </c>
      <c r="Q658" t="e">
        <f t="shared" si="86"/>
        <v>#N/A</v>
      </c>
    </row>
    <row r="659" spans="1:17">
      <c r="A659" s="28"/>
      <c r="B659" s="28"/>
      <c r="C659" s="28"/>
      <c r="D659" s="28"/>
      <c r="E659" s="28"/>
      <c r="F659" s="28"/>
      <c r="G659" s="26" t="str">
        <f t="shared" si="80"/>
        <v/>
      </c>
      <c r="H659" s="26" t="str">
        <f t="shared" si="87"/>
        <v/>
      </c>
      <c r="I659" s="26" t="str">
        <f t="shared" si="81"/>
        <v/>
      </c>
      <c r="J659" t="str">
        <f t="shared" si="82"/>
        <v/>
      </c>
      <c r="K659" s="26" t="str">
        <f t="shared" si="83"/>
        <v/>
      </c>
      <c r="L659" s="26" t="str">
        <f t="shared" si="84"/>
        <v/>
      </c>
      <c r="P659" t="e">
        <f t="shared" si="85"/>
        <v>#N/A</v>
      </c>
      <c r="Q659" t="e">
        <f t="shared" si="86"/>
        <v>#N/A</v>
      </c>
    </row>
    <row r="660" spans="1:17">
      <c r="A660" s="28"/>
      <c r="B660" s="28"/>
      <c r="C660" s="28"/>
      <c r="D660" s="28"/>
      <c r="E660" s="28"/>
      <c r="F660" s="28"/>
      <c r="G660" s="26" t="str">
        <f t="shared" si="80"/>
        <v/>
      </c>
      <c r="H660" s="26" t="str">
        <f t="shared" si="87"/>
        <v/>
      </c>
      <c r="I660" s="26" t="str">
        <f t="shared" si="81"/>
        <v/>
      </c>
      <c r="J660" t="str">
        <f t="shared" si="82"/>
        <v/>
      </c>
      <c r="K660" s="26" t="str">
        <f t="shared" si="83"/>
        <v/>
      </c>
      <c r="L660" s="26" t="str">
        <f t="shared" si="84"/>
        <v/>
      </c>
      <c r="P660" t="e">
        <f t="shared" si="85"/>
        <v>#N/A</v>
      </c>
      <c r="Q660" t="e">
        <f t="shared" si="86"/>
        <v>#N/A</v>
      </c>
    </row>
    <row r="661" spans="1:17">
      <c r="A661" s="28"/>
      <c r="B661" s="28"/>
      <c r="C661" s="28"/>
      <c r="D661" s="28"/>
      <c r="E661" s="28"/>
      <c r="F661" s="28"/>
      <c r="G661" s="26" t="str">
        <f t="shared" si="80"/>
        <v/>
      </c>
      <c r="H661" s="26" t="str">
        <f t="shared" si="87"/>
        <v/>
      </c>
      <c r="I661" s="26" t="str">
        <f t="shared" si="81"/>
        <v/>
      </c>
      <c r="J661" t="str">
        <f t="shared" si="82"/>
        <v/>
      </c>
      <c r="K661" s="26" t="str">
        <f t="shared" si="83"/>
        <v/>
      </c>
      <c r="L661" s="26" t="str">
        <f t="shared" si="84"/>
        <v/>
      </c>
      <c r="P661" t="e">
        <f t="shared" si="85"/>
        <v>#N/A</v>
      </c>
      <c r="Q661" t="e">
        <f t="shared" si="86"/>
        <v>#N/A</v>
      </c>
    </row>
    <row r="662" spans="1:17">
      <c r="A662" s="28"/>
      <c r="B662" s="28"/>
      <c r="C662" s="28"/>
      <c r="D662" s="28"/>
      <c r="E662" s="28"/>
      <c r="F662" s="28"/>
      <c r="G662" s="26" t="str">
        <f t="shared" si="80"/>
        <v/>
      </c>
      <c r="H662" s="26" t="str">
        <f t="shared" si="87"/>
        <v/>
      </c>
      <c r="I662" s="26" t="str">
        <f t="shared" si="81"/>
        <v/>
      </c>
      <c r="J662" t="str">
        <f t="shared" si="82"/>
        <v/>
      </c>
      <c r="K662" s="26" t="str">
        <f t="shared" si="83"/>
        <v/>
      </c>
      <c r="L662" s="26" t="str">
        <f t="shared" si="84"/>
        <v/>
      </c>
      <c r="P662" t="e">
        <f t="shared" si="85"/>
        <v>#N/A</v>
      </c>
      <c r="Q662" t="e">
        <f t="shared" si="86"/>
        <v>#N/A</v>
      </c>
    </row>
    <row r="663" spans="1:17">
      <c r="A663" s="28"/>
      <c r="B663" s="28"/>
      <c r="C663" s="28"/>
      <c r="D663" s="28"/>
      <c r="E663" s="28"/>
      <c r="F663" s="28"/>
      <c r="G663" s="26" t="str">
        <f t="shared" si="80"/>
        <v/>
      </c>
      <c r="H663" s="26" t="str">
        <f t="shared" si="87"/>
        <v/>
      </c>
      <c r="I663" s="26" t="str">
        <f t="shared" si="81"/>
        <v/>
      </c>
      <c r="J663" t="str">
        <f t="shared" si="82"/>
        <v/>
      </c>
      <c r="K663" s="26" t="str">
        <f t="shared" si="83"/>
        <v/>
      </c>
      <c r="L663" s="26" t="str">
        <f t="shared" si="84"/>
        <v/>
      </c>
      <c r="P663" t="e">
        <f t="shared" si="85"/>
        <v>#N/A</v>
      </c>
      <c r="Q663" t="e">
        <f t="shared" si="86"/>
        <v>#N/A</v>
      </c>
    </row>
    <row r="664" spans="1:17">
      <c r="A664" s="28"/>
      <c r="B664" s="28"/>
      <c r="C664" s="28"/>
      <c r="D664" s="28"/>
      <c r="E664" s="28"/>
      <c r="F664" s="28"/>
      <c r="G664" s="26" t="str">
        <f t="shared" si="80"/>
        <v/>
      </c>
      <c r="H664" s="26" t="str">
        <f t="shared" si="87"/>
        <v/>
      </c>
      <c r="I664" s="26" t="str">
        <f t="shared" si="81"/>
        <v/>
      </c>
      <c r="J664" t="str">
        <f t="shared" si="82"/>
        <v/>
      </c>
      <c r="K664" s="26" t="str">
        <f t="shared" si="83"/>
        <v/>
      </c>
      <c r="L664" s="26" t="str">
        <f t="shared" si="84"/>
        <v/>
      </c>
      <c r="P664" t="e">
        <f t="shared" si="85"/>
        <v>#N/A</v>
      </c>
      <c r="Q664" t="e">
        <f t="shared" si="86"/>
        <v>#N/A</v>
      </c>
    </row>
    <row r="665" spans="1:17">
      <c r="A665" s="28"/>
      <c r="B665" s="28"/>
      <c r="C665" s="28"/>
      <c r="D665" s="28"/>
      <c r="E665" s="28"/>
      <c r="F665" s="28"/>
      <c r="G665" s="26" t="str">
        <f t="shared" si="80"/>
        <v/>
      </c>
      <c r="H665" s="26" t="str">
        <f t="shared" si="87"/>
        <v/>
      </c>
      <c r="I665" s="26" t="str">
        <f t="shared" si="81"/>
        <v/>
      </c>
      <c r="J665" t="str">
        <f t="shared" si="82"/>
        <v/>
      </c>
      <c r="K665" s="26" t="str">
        <f t="shared" si="83"/>
        <v/>
      </c>
      <c r="L665" s="26" t="str">
        <f t="shared" si="84"/>
        <v/>
      </c>
      <c r="P665" t="e">
        <f t="shared" si="85"/>
        <v>#N/A</v>
      </c>
      <c r="Q665" t="e">
        <f t="shared" si="86"/>
        <v>#N/A</v>
      </c>
    </row>
    <row r="666" spans="1:17">
      <c r="A666" s="28"/>
      <c r="B666" s="28"/>
      <c r="C666" s="28"/>
      <c r="D666" s="28"/>
      <c r="E666" s="28"/>
      <c r="F666" s="28"/>
      <c r="G666" s="26" t="str">
        <f t="shared" si="80"/>
        <v/>
      </c>
      <c r="H666" s="26" t="str">
        <f t="shared" si="87"/>
        <v/>
      </c>
      <c r="I666" s="26" t="str">
        <f t="shared" si="81"/>
        <v/>
      </c>
      <c r="J666" t="str">
        <f t="shared" si="82"/>
        <v/>
      </c>
      <c r="K666" s="26" t="str">
        <f t="shared" si="83"/>
        <v/>
      </c>
      <c r="L666" s="26" t="str">
        <f t="shared" si="84"/>
        <v/>
      </c>
      <c r="P666" t="e">
        <f t="shared" si="85"/>
        <v>#N/A</v>
      </c>
      <c r="Q666" t="e">
        <f t="shared" si="86"/>
        <v>#N/A</v>
      </c>
    </row>
    <row r="667" spans="1:17">
      <c r="A667" s="28"/>
      <c r="B667" s="28"/>
      <c r="C667" s="28"/>
      <c r="D667" s="28"/>
      <c r="E667" s="28"/>
      <c r="F667" s="28"/>
      <c r="G667" s="26" t="str">
        <f t="shared" si="80"/>
        <v/>
      </c>
      <c r="H667" s="26" t="str">
        <f t="shared" si="87"/>
        <v/>
      </c>
      <c r="I667" s="26" t="str">
        <f t="shared" si="81"/>
        <v/>
      </c>
      <c r="J667" t="str">
        <f t="shared" si="82"/>
        <v/>
      </c>
      <c r="K667" s="26" t="str">
        <f t="shared" si="83"/>
        <v/>
      </c>
      <c r="L667" s="26" t="str">
        <f t="shared" si="84"/>
        <v/>
      </c>
      <c r="P667" t="e">
        <f t="shared" si="85"/>
        <v>#N/A</v>
      </c>
      <c r="Q667" t="e">
        <f t="shared" si="86"/>
        <v>#N/A</v>
      </c>
    </row>
    <row r="668" spans="1:17">
      <c r="A668" s="28"/>
      <c r="B668" s="28"/>
      <c r="C668" s="28"/>
      <c r="D668" s="28"/>
      <c r="E668" s="28"/>
      <c r="F668" s="28"/>
      <c r="G668" s="26" t="str">
        <f t="shared" si="80"/>
        <v/>
      </c>
      <c r="H668" s="26" t="str">
        <f t="shared" si="87"/>
        <v/>
      </c>
      <c r="I668" s="26" t="str">
        <f t="shared" si="81"/>
        <v/>
      </c>
      <c r="J668" t="str">
        <f t="shared" si="82"/>
        <v/>
      </c>
      <c r="K668" s="26" t="str">
        <f t="shared" si="83"/>
        <v/>
      </c>
      <c r="L668" s="26" t="str">
        <f t="shared" si="84"/>
        <v/>
      </c>
      <c r="P668" t="e">
        <f t="shared" si="85"/>
        <v>#N/A</v>
      </c>
      <c r="Q668" t="e">
        <f t="shared" si="86"/>
        <v>#N/A</v>
      </c>
    </row>
    <row r="669" spans="1:17">
      <c r="A669" s="28"/>
      <c r="B669" s="28"/>
      <c r="C669" s="28"/>
      <c r="D669" s="28"/>
      <c r="E669" s="28"/>
      <c r="F669" s="28"/>
      <c r="G669" s="26" t="str">
        <f t="shared" si="80"/>
        <v/>
      </c>
      <c r="H669" s="26" t="str">
        <f t="shared" si="87"/>
        <v/>
      </c>
      <c r="I669" s="26" t="str">
        <f t="shared" si="81"/>
        <v/>
      </c>
      <c r="J669" t="str">
        <f t="shared" si="82"/>
        <v/>
      </c>
      <c r="K669" s="26" t="str">
        <f t="shared" si="83"/>
        <v/>
      </c>
      <c r="L669" s="26" t="str">
        <f t="shared" si="84"/>
        <v/>
      </c>
      <c r="P669" t="e">
        <f t="shared" si="85"/>
        <v>#N/A</v>
      </c>
      <c r="Q669" t="e">
        <f t="shared" si="86"/>
        <v>#N/A</v>
      </c>
    </row>
    <row r="670" spans="1:17">
      <c r="A670" s="28"/>
      <c r="B670" s="28"/>
      <c r="C670" s="28"/>
      <c r="D670" s="28"/>
      <c r="E670" s="28"/>
      <c r="F670" s="28"/>
      <c r="G670" s="26" t="str">
        <f t="shared" si="80"/>
        <v/>
      </c>
      <c r="H670" s="26" t="str">
        <f t="shared" si="87"/>
        <v/>
      </c>
      <c r="I670" s="26" t="str">
        <f t="shared" si="81"/>
        <v/>
      </c>
      <c r="J670" t="str">
        <f t="shared" si="82"/>
        <v/>
      </c>
      <c r="K670" s="26" t="str">
        <f t="shared" si="83"/>
        <v/>
      </c>
      <c r="L670" s="26" t="str">
        <f t="shared" si="84"/>
        <v/>
      </c>
      <c r="P670" t="e">
        <f t="shared" si="85"/>
        <v>#N/A</v>
      </c>
      <c r="Q670" t="e">
        <f t="shared" si="86"/>
        <v>#N/A</v>
      </c>
    </row>
    <row r="671" spans="1:17">
      <c r="A671" s="28"/>
      <c r="B671" s="28"/>
      <c r="C671" s="28"/>
      <c r="D671" s="28"/>
      <c r="E671" s="28"/>
      <c r="F671" s="28"/>
      <c r="G671" s="26" t="str">
        <f t="shared" si="80"/>
        <v/>
      </c>
      <c r="H671" s="26" t="str">
        <f t="shared" si="87"/>
        <v/>
      </c>
      <c r="I671" s="26" t="str">
        <f t="shared" si="81"/>
        <v/>
      </c>
      <c r="J671" t="str">
        <f t="shared" si="82"/>
        <v/>
      </c>
      <c r="K671" s="26" t="str">
        <f t="shared" si="83"/>
        <v/>
      </c>
      <c r="L671" s="26" t="str">
        <f t="shared" si="84"/>
        <v/>
      </c>
      <c r="P671" t="e">
        <f t="shared" si="85"/>
        <v>#N/A</v>
      </c>
      <c r="Q671" t="e">
        <f t="shared" si="86"/>
        <v>#N/A</v>
      </c>
    </row>
    <row r="672" spans="1:17">
      <c r="A672" s="28"/>
      <c r="B672" s="28"/>
      <c r="C672" s="28"/>
      <c r="D672" s="28"/>
      <c r="E672" s="28"/>
      <c r="F672" s="28"/>
      <c r="G672" s="26" t="str">
        <f t="shared" si="80"/>
        <v/>
      </c>
      <c r="H672" s="26" t="str">
        <f t="shared" si="87"/>
        <v/>
      </c>
      <c r="I672" s="26" t="str">
        <f t="shared" si="81"/>
        <v/>
      </c>
      <c r="J672" t="str">
        <f t="shared" si="82"/>
        <v/>
      </c>
      <c r="K672" s="26" t="str">
        <f t="shared" si="83"/>
        <v/>
      </c>
      <c r="L672" s="26" t="str">
        <f t="shared" si="84"/>
        <v/>
      </c>
      <c r="P672" t="e">
        <f t="shared" si="85"/>
        <v>#N/A</v>
      </c>
      <c r="Q672" t="e">
        <f t="shared" si="86"/>
        <v>#N/A</v>
      </c>
    </row>
    <row r="673" spans="1:17">
      <c r="A673" s="28"/>
      <c r="B673" s="28"/>
      <c r="C673" s="28"/>
      <c r="D673" s="28"/>
      <c r="E673" s="28"/>
      <c r="F673" s="28"/>
      <c r="G673" s="26" t="str">
        <f t="shared" si="80"/>
        <v/>
      </c>
      <c r="H673" s="26" t="str">
        <f t="shared" si="87"/>
        <v/>
      </c>
      <c r="I673" s="26" t="str">
        <f t="shared" si="81"/>
        <v/>
      </c>
      <c r="J673" t="str">
        <f t="shared" si="82"/>
        <v/>
      </c>
      <c r="K673" s="26" t="str">
        <f t="shared" si="83"/>
        <v/>
      </c>
      <c r="L673" s="26" t="str">
        <f t="shared" si="84"/>
        <v/>
      </c>
      <c r="P673" t="e">
        <f t="shared" si="85"/>
        <v>#N/A</v>
      </c>
      <c r="Q673" t="e">
        <f t="shared" si="86"/>
        <v>#N/A</v>
      </c>
    </row>
    <row r="674" spans="1:17">
      <c r="A674" s="28"/>
      <c r="B674" s="28"/>
      <c r="C674" s="28"/>
      <c r="D674" s="28"/>
      <c r="E674" s="28"/>
      <c r="F674" s="28"/>
      <c r="G674" s="26" t="str">
        <f t="shared" si="80"/>
        <v/>
      </c>
      <c r="H674" s="26" t="str">
        <f t="shared" si="87"/>
        <v/>
      </c>
      <c r="I674" s="26" t="str">
        <f t="shared" si="81"/>
        <v/>
      </c>
      <c r="J674" t="str">
        <f t="shared" si="82"/>
        <v/>
      </c>
      <c r="K674" s="26" t="str">
        <f t="shared" si="83"/>
        <v/>
      </c>
      <c r="L674" s="26" t="str">
        <f t="shared" si="84"/>
        <v/>
      </c>
      <c r="P674" t="e">
        <f t="shared" si="85"/>
        <v>#N/A</v>
      </c>
      <c r="Q674" t="e">
        <f t="shared" si="86"/>
        <v>#N/A</v>
      </c>
    </row>
    <row r="675" spans="1:17">
      <c r="A675" s="28"/>
      <c r="B675" s="28"/>
      <c r="C675" s="28"/>
      <c r="D675" s="28"/>
      <c r="E675" s="28"/>
      <c r="F675" s="28"/>
      <c r="G675" s="26" t="str">
        <f t="shared" si="80"/>
        <v/>
      </c>
      <c r="H675" s="26" t="str">
        <f t="shared" si="87"/>
        <v/>
      </c>
      <c r="I675" s="26" t="str">
        <f t="shared" si="81"/>
        <v/>
      </c>
      <c r="J675" t="str">
        <f t="shared" si="82"/>
        <v/>
      </c>
      <c r="K675" s="26" t="str">
        <f t="shared" si="83"/>
        <v/>
      </c>
      <c r="L675" s="26" t="str">
        <f t="shared" si="84"/>
        <v/>
      </c>
      <c r="P675" t="e">
        <f t="shared" si="85"/>
        <v>#N/A</v>
      </c>
      <c r="Q675" t="e">
        <f t="shared" si="86"/>
        <v>#N/A</v>
      </c>
    </row>
    <row r="676" spans="1:17">
      <c r="A676" s="28"/>
      <c r="B676" s="28"/>
      <c r="C676" s="28"/>
      <c r="D676" s="28"/>
      <c r="E676" s="28"/>
      <c r="F676" s="28"/>
      <c r="G676" s="26" t="str">
        <f t="shared" si="80"/>
        <v/>
      </c>
      <c r="H676" s="26" t="str">
        <f t="shared" si="87"/>
        <v/>
      </c>
      <c r="I676" s="26" t="str">
        <f t="shared" si="81"/>
        <v/>
      </c>
      <c r="J676" t="str">
        <f t="shared" si="82"/>
        <v/>
      </c>
      <c r="K676" s="26" t="str">
        <f t="shared" si="83"/>
        <v/>
      </c>
      <c r="L676" s="26" t="str">
        <f t="shared" si="84"/>
        <v/>
      </c>
      <c r="P676" t="e">
        <f t="shared" si="85"/>
        <v>#N/A</v>
      </c>
      <c r="Q676" t="e">
        <f t="shared" si="86"/>
        <v>#N/A</v>
      </c>
    </row>
    <row r="677" spans="1:17">
      <c r="A677" s="28"/>
      <c r="B677" s="28"/>
      <c r="C677" s="28"/>
      <c r="D677" s="28"/>
      <c r="E677" s="28"/>
      <c r="F677" s="28"/>
      <c r="G677" s="26" t="str">
        <f t="shared" si="80"/>
        <v/>
      </c>
      <c r="H677" s="26" t="str">
        <f t="shared" si="87"/>
        <v/>
      </c>
      <c r="I677" s="26" t="str">
        <f t="shared" si="81"/>
        <v/>
      </c>
      <c r="J677" t="str">
        <f t="shared" si="82"/>
        <v/>
      </c>
      <c r="K677" s="26" t="str">
        <f t="shared" si="83"/>
        <v/>
      </c>
      <c r="L677" s="26" t="str">
        <f t="shared" si="84"/>
        <v/>
      </c>
      <c r="P677" t="e">
        <f t="shared" si="85"/>
        <v>#N/A</v>
      </c>
      <c r="Q677" t="e">
        <f t="shared" si="86"/>
        <v>#N/A</v>
      </c>
    </row>
    <row r="678" spans="1:17">
      <c r="A678" s="28"/>
      <c r="B678" s="28"/>
      <c r="C678" s="28"/>
      <c r="D678" s="28"/>
      <c r="E678" s="28"/>
      <c r="F678" s="28"/>
      <c r="G678" s="26" t="str">
        <f t="shared" si="80"/>
        <v/>
      </c>
      <c r="H678" s="26" t="str">
        <f t="shared" si="87"/>
        <v/>
      </c>
      <c r="I678" s="26" t="str">
        <f t="shared" si="81"/>
        <v/>
      </c>
      <c r="J678" t="str">
        <f t="shared" si="82"/>
        <v/>
      </c>
      <c r="K678" s="26" t="str">
        <f t="shared" si="83"/>
        <v/>
      </c>
      <c r="L678" s="26" t="str">
        <f t="shared" si="84"/>
        <v/>
      </c>
      <c r="P678" t="e">
        <f t="shared" si="85"/>
        <v>#N/A</v>
      </c>
      <c r="Q678" t="e">
        <f t="shared" si="86"/>
        <v>#N/A</v>
      </c>
    </row>
    <row r="679" spans="1:17">
      <c r="A679" s="28"/>
      <c r="B679" s="28"/>
      <c r="C679" s="28"/>
      <c r="D679" s="28"/>
      <c r="E679" s="28"/>
      <c r="F679" s="28"/>
      <c r="G679" s="26" t="str">
        <f t="shared" si="80"/>
        <v/>
      </c>
      <c r="H679" s="26" t="str">
        <f t="shared" si="87"/>
        <v/>
      </c>
      <c r="I679" s="26" t="str">
        <f t="shared" si="81"/>
        <v/>
      </c>
      <c r="J679" t="str">
        <f t="shared" si="82"/>
        <v/>
      </c>
      <c r="K679" s="26" t="str">
        <f t="shared" si="83"/>
        <v/>
      </c>
      <c r="L679" s="26" t="str">
        <f t="shared" si="84"/>
        <v/>
      </c>
      <c r="P679" t="e">
        <f t="shared" si="85"/>
        <v>#N/A</v>
      </c>
      <c r="Q679" t="e">
        <f t="shared" si="86"/>
        <v>#N/A</v>
      </c>
    </row>
    <row r="680" spans="1:17">
      <c r="A680" s="28"/>
      <c r="B680" s="28"/>
      <c r="C680" s="28"/>
      <c r="D680" s="28"/>
      <c r="E680" s="28"/>
      <c r="F680" s="28"/>
      <c r="G680" s="26" t="str">
        <f t="shared" si="80"/>
        <v/>
      </c>
      <c r="H680" s="26" t="str">
        <f t="shared" si="87"/>
        <v/>
      </c>
      <c r="I680" s="26" t="str">
        <f t="shared" si="81"/>
        <v/>
      </c>
      <c r="J680" t="str">
        <f t="shared" si="82"/>
        <v/>
      </c>
      <c r="K680" s="26" t="str">
        <f t="shared" si="83"/>
        <v/>
      </c>
      <c r="L680" s="26" t="str">
        <f t="shared" si="84"/>
        <v/>
      </c>
      <c r="P680" t="e">
        <f t="shared" si="85"/>
        <v>#N/A</v>
      </c>
      <c r="Q680" t="e">
        <f t="shared" si="86"/>
        <v>#N/A</v>
      </c>
    </row>
    <row r="681" spans="1:17">
      <c r="A681" s="28"/>
      <c r="B681" s="28"/>
      <c r="C681" s="28"/>
      <c r="D681" s="28"/>
      <c r="E681" s="28"/>
      <c r="F681" s="28"/>
      <c r="G681" s="26" t="str">
        <f t="shared" si="80"/>
        <v/>
      </c>
      <c r="H681" s="26" t="str">
        <f t="shared" si="87"/>
        <v/>
      </c>
      <c r="I681" s="26" t="str">
        <f t="shared" si="81"/>
        <v/>
      </c>
      <c r="J681" t="str">
        <f t="shared" si="82"/>
        <v/>
      </c>
      <c r="K681" s="26" t="str">
        <f t="shared" si="83"/>
        <v/>
      </c>
      <c r="L681" s="26" t="str">
        <f t="shared" si="84"/>
        <v/>
      </c>
      <c r="P681" t="e">
        <f t="shared" si="85"/>
        <v>#N/A</v>
      </c>
      <c r="Q681" t="e">
        <f t="shared" si="86"/>
        <v>#N/A</v>
      </c>
    </row>
    <row r="682" spans="1:17">
      <c r="A682" s="28"/>
      <c r="B682" s="28"/>
      <c r="C682" s="28"/>
      <c r="D682" s="28"/>
      <c r="E682" s="28"/>
      <c r="F682" s="28"/>
      <c r="G682" s="26" t="str">
        <f t="shared" si="80"/>
        <v/>
      </c>
      <c r="H682" s="26" t="str">
        <f t="shared" si="87"/>
        <v/>
      </c>
      <c r="I682" s="26" t="str">
        <f t="shared" si="81"/>
        <v/>
      </c>
      <c r="J682" t="str">
        <f t="shared" si="82"/>
        <v/>
      </c>
      <c r="K682" s="26" t="str">
        <f t="shared" si="83"/>
        <v/>
      </c>
      <c r="L682" s="26" t="str">
        <f t="shared" si="84"/>
        <v/>
      </c>
      <c r="P682" t="e">
        <f t="shared" si="85"/>
        <v>#N/A</v>
      </c>
      <c r="Q682" t="e">
        <f t="shared" si="86"/>
        <v>#N/A</v>
      </c>
    </row>
    <row r="683" spans="1:17">
      <c r="A683" s="28"/>
      <c r="B683" s="28"/>
      <c r="C683" s="28"/>
      <c r="D683" s="28"/>
      <c r="E683" s="28"/>
      <c r="F683" s="28"/>
      <c r="G683" s="26" t="str">
        <f t="shared" si="80"/>
        <v/>
      </c>
      <c r="H683" s="26" t="str">
        <f t="shared" si="87"/>
        <v/>
      </c>
      <c r="I683" s="26" t="str">
        <f t="shared" si="81"/>
        <v/>
      </c>
      <c r="J683" t="str">
        <f t="shared" si="82"/>
        <v/>
      </c>
      <c r="K683" s="26" t="str">
        <f t="shared" si="83"/>
        <v/>
      </c>
      <c r="L683" s="26" t="str">
        <f t="shared" si="84"/>
        <v/>
      </c>
      <c r="P683" t="e">
        <f t="shared" si="85"/>
        <v>#N/A</v>
      </c>
      <c r="Q683" t="e">
        <f t="shared" si="86"/>
        <v>#N/A</v>
      </c>
    </row>
    <row r="684" spans="1:17">
      <c r="A684" s="28"/>
      <c r="B684" s="28"/>
      <c r="C684" s="28"/>
      <c r="D684" s="28"/>
      <c r="E684" s="28"/>
      <c r="F684" s="28"/>
      <c r="G684" s="26" t="str">
        <f t="shared" si="80"/>
        <v/>
      </c>
      <c r="H684" s="26" t="str">
        <f t="shared" si="87"/>
        <v/>
      </c>
      <c r="I684" s="26" t="str">
        <f t="shared" si="81"/>
        <v/>
      </c>
      <c r="J684" t="str">
        <f t="shared" si="82"/>
        <v/>
      </c>
      <c r="K684" s="26" t="str">
        <f t="shared" si="83"/>
        <v/>
      </c>
      <c r="L684" s="26" t="str">
        <f t="shared" si="84"/>
        <v/>
      </c>
      <c r="P684" t="e">
        <f t="shared" si="85"/>
        <v>#N/A</v>
      </c>
      <c r="Q684" t="e">
        <f t="shared" si="86"/>
        <v>#N/A</v>
      </c>
    </row>
    <row r="685" spans="1:17">
      <c r="A685" s="28"/>
      <c r="B685" s="28"/>
      <c r="C685" s="28"/>
      <c r="D685" s="28"/>
      <c r="E685" s="28"/>
      <c r="F685" s="28"/>
      <c r="G685" s="26" t="str">
        <f t="shared" si="80"/>
        <v/>
      </c>
      <c r="H685" s="26" t="str">
        <f t="shared" si="87"/>
        <v/>
      </c>
      <c r="I685" s="26" t="str">
        <f t="shared" si="81"/>
        <v/>
      </c>
      <c r="J685" t="str">
        <f t="shared" si="82"/>
        <v/>
      </c>
      <c r="K685" s="26" t="str">
        <f t="shared" si="83"/>
        <v/>
      </c>
      <c r="L685" s="26" t="str">
        <f t="shared" si="84"/>
        <v/>
      </c>
      <c r="P685" t="e">
        <f t="shared" si="85"/>
        <v>#N/A</v>
      </c>
      <c r="Q685" t="e">
        <f t="shared" si="86"/>
        <v>#N/A</v>
      </c>
    </row>
    <row r="686" spans="1:17">
      <c r="A686" s="28"/>
      <c r="B686" s="28"/>
      <c r="C686" s="28"/>
      <c r="D686" s="28"/>
      <c r="E686" s="28"/>
      <c r="F686" s="28"/>
      <c r="G686" s="26" t="str">
        <f t="shared" si="80"/>
        <v/>
      </c>
      <c r="H686" s="26" t="str">
        <f t="shared" si="87"/>
        <v/>
      </c>
      <c r="I686" s="26" t="str">
        <f t="shared" si="81"/>
        <v/>
      </c>
      <c r="J686" t="str">
        <f t="shared" si="82"/>
        <v/>
      </c>
      <c r="K686" s="26" t="str">
        <f t="shared" si="83"/>
        <v/>
      </c>
      <c r="L686" s="26" t="str">
        <f t="shared" si="84"/>
        <v/>
      </c>
      <c r="P686" t="e">
        <f t="shared" si="85"/>
        <v>#N/A</v>
      </c>
      <c r="Q686" t="e">
        <f t="shared" si="86"/>
        <v>#N/A</v>
      </c>
    </row>
    <row r="687" spans="1:17">
      <c r="A687" s="28"/>
      <c r="B687" s="28"/>
      <c r="C687" s="28"/>
      <c r="D687" s="28"/>
      <c r="E687" s="28"/>
      <c r="F687" s="28"/>
      <c r="G687" s="26" t="str">
        <f t="shared" si="80"/>
        <v/>
      </c>
      <c r="H687" s="26" t="str">
        <f t="shared" si="87"/>
        <v/>
      </c>
      <c r="I687" s="26" t="str">
        <f t="shared" si="81"/>
        <v/>
      </c>
      <c r="J687" t="str">
        <f t="shared" si="82"/>
        <v/>
      </c>
      <c r="K687" s="26" t="str">
        <f t="shared" si="83"/>
        <v/>
      </c>
      <c r="L687" s="26" t="str">
        <f t="shared" si="84"/>
        <v/>
      </c>
      <c r="P687" t="e">
        <f t="shared" si="85"/>
        <v>#N/A</v>
      </c>
      <c r="Q687" t="e">
        <f t="shared" si="86"/>
        <v>#N/A</v>
      </c>
    </row>
    <row r="688" spans="1:17">
      <c r="A688" s="28"/>
      <c r="B688" s="28"/>
      <c r="C688" s="28"/>
      <c r="D688" s="28"/>
      <c r="E688" s="28"/>
      <c r="F688" s="28"/>
      <c r="G688" s="26" t="str">
        <f t="shared" si="80"/>
        <v/>
      </c>
      <c r="H688" s="26" t="str">
        <f t="shared" si="87"/>
        <v/>
      </c>
      <c r="I688" s="26" t="str">
        <f t="shared" si="81"/>
        <v/>
      </c>
      <c r="J688" t="str">
        <f t="shared" si="82"/>
        <v/>
      </c>
      <c r="K688" s="26" t="str">
        <f t="shared" si="83"/>
        <v/>
      </c>
      <c r="L688" s="26" t="str">
        <f t="shared" si="84"/>
        <v/>
      </c>
      <c r="P688" t="e">
        <f t="shared" si="85"/>
        <v>#N/A</v>
      </c>
      <c r="Q688" t="e">
        <f t="shared" si="86"/>
        <v>#N/A</v>
      </c>
    </row>
    <row r="689" spans="1:17">
      <c r="A689" s="28"/>
      <c r="B689" s="28"/>
      <c r="C689" s="28"/>
      <c r="D689" s="28"/>
      <c r="E689" s="28"/>
      <c r="F689" s="28"/>
      <c r="G689" s="26" t="str">
        <f t="shared" si="80"/>
        <v/>
      </c>
      <c r="H689" s="26" t="str">
        <f t="shared" si="87"/>
        <v/>
      </c>
      <c r="I689" s="26" t="str">
        <f t="shared" si="81"/>
        <v/>
      </c>
      <c r="J689" t="str">
        <f t="shared" si="82"/>
        <v/>
      </c>
      <c r="K689" s="26" t="str">
        <f t="shared" si="83"/>
        <v/>
      </c>
      <c r="L689" s="26" t="str">
        <f t="shared" si="84"/>
        <v/>
      </c>
      <c r="P689" t="e">
        <f t="shared" si="85"/>
        <v>#N/A</v>
      </c>
      <c r="Q689" t="e">
        <f t="shared" si="86"/>
        <v>#N/A</v>
      </c>
    </row>
    <row r="690" spans="1:17">
      <c r="A690" s="28"/>
      <c r="B690" s="28"/>
      <c r="C690" s="28"/>
      <c r="D690" s="28"/>
      <c r="E690" s="28"/>
      <c r="F690" s="28"/>
      <c r="G690" s="26" t="str">
        <f t="shared" si="80"/>
        <v/>
      </c>
      <c r="H690" s="26" t="str">
        <f t="shared" si="87"/>
        <v/>
      </c>
      <c r="I690" s="26" t="str">
        <f t="shared" si="81"/>
        <v/>
      </c>
      <c r="J690" t="str">
        <f t="shared" si="82"/>
        <v/>
      </c>
      <c r="K690" s="26" t="str">
        <f t="shared" si="83"/>
        <v/>
      </c>
      <c r="L690" s="26" t="str">
        <f t="shared" si="84"/>
        <v/>
      </c>
      <c r="P690" t="e">
        <f t="shared" si="85"/>
        <v>#N/A</v>
      </c>
      <c r="Q690" t="e">
        <f t="shared" si="86"/>
        <v>#N/A</v>
      </c>
    </row>
    <row r="691" spans="1:17">
      <c r="A691" s="28"/>
      <c r="B691" s="28"/>
      <c r="C691" s="28"/>
      <c r="D691" s="28"/>
      <c r="E691" s="28"/>
      <c r="F691" s="28"/>
      <c r="G691" s="26" t="str">
        <f t="shared" si="80"/>
        <v/>
      </c>
      <c r="H691" s="26" t="str">
        <f t="shared" si="87"/>
        <v/>
      </c>
      <c r="I691" s="26" t="str">
        <f t="shared" si="81"/>
        <v/>
      </c>
      <c r="J691" t="str">
        <f t="shared" si="82"/>
        <v/>
      </c>
      <c r="K691" s="26" t="str">
        <f t="shared" si="83"/>
        <v/>
      </c>
      <c r="L691" s="26" t="str">
        <f t="shared" si="84"/>
        <v/>
      </c>
      <c r="P691" t="e">
        <f t="shared" si="85"/>
        <v>#N/A</v>
      </c>
      <c r="Q691" t="e">
        <f t="shared" si="86"/>
        <v>#N/A</v>
      </c>
    </row>
    <row r="692" spans="1:17">
      <c r="A692" s="28"/>
      <c r="B692" s="28"/>
      <c r="C692" s="28"/>
      <c r="D692" s="28"/>
      <c r="E692" s="28"/>
      <c r="F692" s="28"/>
      <c r="G692" s="26" t="str">
        <f t="shared" si="80"/>
        <v/>
      </c>
      <c r="H692" s="26" t="str">
        <f t="shared" si="87"/>
        <v/>
      </c>
      <c r="I692" s="26" t="str">
        <f t="shared" si="81"/>
        <v/>
      </c>
      <c r="J692" t="str">
        <f t="shared" si="82"/>
        <v/>
      </c>
      <c r="K692" s="26" t="str">
        <f t="shared" si="83"/>
        <v/>
      </c>
      <c r="L692" s="26" t="str">
        <f t="shared" si="84"/>
        <v/>
      </c>
      <c r="P692" t="e">
        <f t="shared" si="85"/>
        <v>#N/A</v>
      </c>
      <c r="Q692" t="e">
        <f t="shared" si="86"/>
        <v>#N/A</v>
      </c>
    </row>
    <row r="693" spans="1:17">
      <c r="A693" s="28"/>
      <c r="B693" s="28"/>
      <c r="C693" s="28"/>
      <c r="D693" s="28"/>
      <c r="E693" s="28"/>
      <c r="F693" s="28"/>
      <c r="G693" s="26" t="str">
        <f t="shared" si="80"/>
        <v/>
      </c>
      <c r="H693" s="26" t="str">
        <f t="shared" si="87"/>
        <v/>
      </c>
      <c r="I693" s="26" t="str">
        <f t="shared" si="81"/>
        <v/>
      </c>
      <c r="J693" t="str">
        <f t="shared" si="82"/>
        <v/>
      </c>
      <c r="K693" s="26" t="str">
        <f t="shared" si="83"/>
        <v/>
      </c>
      <c r="L693" s="26" t="str">
        <f t="shared" si="84"/>
        <v/>
      </c>
      <c r="P693" t="e">
        <f t="shared" si="85"/>
        <v>#N/A</v>
      </c>
      <c r="Q693" t="e">
        <f t="shared" si="86"/>
        <v>#N/A</v>
      </c>
    </row>
    <row r="694" spans="1:17">
      <c r="A694" s="28"/>
      <c r="B694" s="28"/>
      <c r="C694" s="28"/>
      <c r="D694" s="28"/>
      <c r="E694" s="28"/>
      <c r="F694" s="28"/>
      <c r="G694" s="26" t="str">
        <f t="shared" si="80"/>
        <v/>
      </c>
      <c r="H694" s="26" t="str">
        <f t="shared" si="87"/>
        <v/>
      </c>
      <c r="I694" s="26" t="str">
        <f t="shared" si="81"/>
        <v/>
      </c>
      <c r="J694" t="str">
        <f t="shared" si="82"/>
        <v/>
      </c>
      <c r="K694" s="26" t="str">
        <f t="shared" si="83"/>
        <v/>
      </c>
      <c r="L694" s="26" t="str">
        <f t="shared" si="84"/>
        <v/>
      </c>
      <c r="P694" t="e">
        <f t="shared" si="85"/>
        <v>#N/A</v>
      </c>
      <c r="Q694" t="e">
        <f t="shared" si="86"/>
        <v>#N/A</v>
      </c>
    </row>
    <row r="695" spans="1:17">
      <c r="A695" s="28"/>
      <c r="B695" s="28"/>
      <c r="C695" s="28"/>
      <c r="D695" s="28"/>
      <c r="E695" s="28"/>
      <c r="F695" s="28"/>
      <c r="G695" s="26" t="str">
        <f t="shared" si="80"/>
        <v/>
      </c>
      <c r="H695" s="26" t="str">
        <f t="shared" si="87"/>
        <v/>
      </c>
      <c r="I695" s="26" t="str">
        <f t="shared" si="81"/>
        <v/>
      </c>
      <c r="J695" t="str">
        <f t="shared" si="82"/>
        <v/>
      </c>
      <c r="K695" s="26" t="str">
        <f t="shared" si="83"/>
        <v/>
      </c>
      <c r="L695" s="26" t="str">
        <f t="shared" si="84"/>
        <v/>
      </c>
      <c r="P695" t="e">
        <f t="shared" si="85"/>
        <v>#N/A</v>
      </c>
      <c r="Q695" t="e">
        <f t="shared" si="86"/>
        <v>#N/A</v>
      </c>
    </row>
    <row r="696" spans="1:17">
      <c r="A696" s="28"/>
      <c r="B696" s="28"/>
      <c r="C696" s="28"/>
      <c r="D696" s="28"/>
      <c r="E696" s="28"/>
      <c r="F696" s="28"/>
      <c r="G696" s="26" t="str">
        <f t="shared" si="80"/>
        <v/>
      </c>
      <c r="H696" s="26" t="str">
        <f t="shared" si="87"/>
        <v/>
      </c>
      <c r="I696" s="26" t="str">
        <f t="shared" si="81"/>
        <v/>
      </c>
      <c r="J696" t="str">
        <f t="shared" si="82"/>
        <v/>
      </c>
      <c r="K696" s="26" t="str">
        <f t="shared" si="83"/>
        <v/>
      </c>
      <c r="L696" s="26" t="str">
        <f t="shared" si="84"/>
        <v/>
      </c>
      <c r="P696" t="e">
        <f t="shared" si="85"/>
        <v>#N/A</v>
      </c>
      <c r="Q696" t="e">
        <f t="shared" si="86"/>
        <v>#N/A</v>
      </c>
    </row>
    <row r="697" spans="1:17">
      <c r="A697" s="28"/>
      <c r="B697" s="28"/>
      <c r="C697" s="28"/>
      <c r="D697" s="28"/>
      <c r="E697" s="28"/>
      <c r="F697" s="28"/>
      <c r="G697" s="26" t="str">
        <f t="shared" si="80"/>
        <v/>
      </c>
      <c r="H697" s="26" t="str">
        <f t="shared" si="87"/>
        <v/>
      </c>
      <c r="I697" s="26" t="str">
        <f t="shared" si="81"/>
        <v/>
      </c>
      <c r="J697" t="str">
        <f t="shared" si="82"/>
        <v/>
      </c>
      <c r="K697" s="26" t="str">
        <f t="shared" si="83"/>
        <v/>
      </c>
      <c r="L697" s="26" t="str">
        <f t="shared" si="84"/>
        <v/>
      </c>
      <c r="P697" t="e">
        <f t="shared" si="85"/>
        <v>#N/A</v>
      </c>
      <c r="Q697" t="e">
        <f t="shared" si="86"/>
        <v>#N/A</v>
      </c>
    </row>
    <row r="698" spans="1:17">
      <c r="A698" s="28"/>
      <c r="B698" s="28"/>
      <c r="C698" s="28"/>
      <c r="D698" s="28"/>
      <c r="E698" s="28"/>
      <c r="F698" s="28"/>
      <c r="G698" s="26" t="str">
        <f t="shared" si="80"/>
        <v/>
      </c>
      <c r="H698" s="26" t="str">
        <f t="shared" si="87"/>
        <v/>
      </c>
      <c r="I698" s="26" t="str">
        <f t="shared" si="81"/>
        <v/>
      </c>
      <c r="J698" t="str">
        <f t="shared" si="82"/>
        <v/>
      </c>
      <c r="K698" s="26" t="str">
        <f t="shared" si="83"/>
        <v/>
      </c>
      <c r="L698" s="26" t="str">
        <f t="shared" si="84"/>
        <v/>
      </c>
      <c r="P698" t="e">
        <f t="shared" si="85"/>
        <v>#N/A</v>
      </c>
      <c r="Q698" t="e">
        <f t="shared" si="86"/>
        <v>#N/A</v>
      </c>
    </row>
    <row r="699" spans="1:17">
      <c r="A699" s="28"/>
      <c r="B699" s="28"/>
      <c r="C699" s="28"/>
      <c r="D699" s="28"/>
      <c r="E699" s="28"/>
      <c r="F699" s="28"/>
      <c r="G699" s="26" t="str">
        <f t="shared" si="80"/>
        <v/>
      </c>
      <c r="H699" s="26" t="str">
        <f t="shared" si="87"/>
        <v/>
      </c>
      <c r="I699" s="26" t="str">
        <f t="shared" si="81"/>
        <v/>
      </c>
      <c r="J699" t="str">
        <f t="shared" si="82"/>
        <v/>
      </c>
      <c r="K699" s="26" t="str">
        <f t="shared" si="83"/>
        <v/>
      </c>
      <c r="L699" s="26" t="str">
        <f t="shared" si="84"/>
        <v/>
      </c>
      <c r="P699" t="e">
        <f t="shared" si="85"/>
        <v>#N/A</v>
      </c>
      <c r="Q699" t="e">
        <f t="shared" si="86"/>
        <v>#N/A</v>
      </c>
    </row>
    <row r="700" spans="1:17">
      <c r="A700" s="28"/>
      <c r="B700" s="28"/>
      <c r="C700" s="28"/>
      <c r="D700" s="28"/>
      <c r="E700" s="28"/>
      <c r="F700" s="28"/>
      <c r="G700" s="26" t="str">
        <f t="shared" si="80"/>
        <v/>
      </c>
      <c r="H700" s="26" t="str">
        <f t="shared" si="87"/>
        <v/>
      </c>
      <c r="I700" s="26" t="str">
        <f t="shared" si="81"/>
        <v/>
      </c>
      <c r="J700" t="str">
        <f t="shared" si="82"/>
        <v/>
      </c>
      <c r="K700" s="26" t="str">
        <f t="shared" si="83"/>
        <v/>
      </c>
      <c r="L700" s="26" t="str">
        <f t="shared" si="84"/>
        <v/>
      </c>
      <c r="P700" t="e">
        <f t="shared" si="85"/>
        <v>#N/A</v>
      </c>
      <c r="Q700" t="e">
        <f t="shared" si="86"/>
        <v>#N/A</v>
      </c>
    </row>
    <row r="701" spans="1:17">
      <c r="A701" s="28"/>
      <c r="B701" s="28"/>
      <c r="C701" s="28"/>
      <c r="D701" s="28"/>
      <c r="E701" s="28"/>
      <c r="F701" s="28"/>
      <c r="G701" s="26" t="str">
        <f t="shared" si="80"/>
        <v/>
      </c>
      <c r="H701" s="26" t="str">
        <f t="shared" si="87"/>
        <v/>
      </c>
      <c r="I701" s="26" t="str">
        <f t="shared" si="81"/>
        <v/>
      </c>
      <c r="J701" t="str">
        <f t="shared" si="82"/>
        <v/>
      </c>
      <c r="K701" s="26" t="str">
        <f t="shared" si="83"/>
        <v/>
      </c>
      <c r="L701" s="26" t="str">
        <f t="shared" si="84"/>
        <v/>
      </c>
      <c r="P701" t="e">
        <f t="shared" si="85"/>
        <v>#N/A</v>
      </c>
      <c r="Q701" t="e">
        <f t="shared" si="86"/>
        <v>#N/A</v>
      </c>
    </row>
    <row r="702" spans="1:17">
      <c r="A702" s="28"/>
      <c r="B702" s="28"/>
      <c r="C702" s="28"/>
      <c r="D702" s="28"/>
      <c r="E702" s="28"/>
      <c r="F702" s="28"/>
      <c r="G702" s="26" t="str">
        <f t="shared" si="80"/>
        <v/>
      </c>
      <c r="H702" s="26" t="str">
        <f t="shared" si="87"/>
        <v/>
      </c>
      <c r="I702" s="26" t="str">
        <f t="shared" si="81"/>
        <v/>
      </c>
      <c r="J702" t="str">
        <f t="shared" si="82"/>
        <v/>
      </c>
      <c r="K702" s="26" t="str">
        <f t="shared" si="83"/>
        <v/>
      </c>
      <c r="L702" s="26" t="str">
        <f t="shared" si="84"/>
        <v/>
      </c>
      <c r="P702" t="e">
        <f t="shared" si="85"/>
        <v>#N/A</v>
      </c>
      <c r="Q702" t="e">
        <f t="shared" si="86"/>
        <v>#N/A</v>
      </c>
    </row>
    <row r="703" spans="1:17">
      <c r="A703" s="28"/>
      <c r="B703" s="28"/>
      <c r="C703" s="28"/>
      <c r="D703" s="28"/>
      <c r="E703" s="28"/>
      <c r="F703" s="28"/>
      <c r="G703" s="26" t="str">
        <f t="shared" si="80"/>
        <v/>
      </c>
      <c r="H703" s="26" t="str">
        <f t="shared" si="87"/>
        <v/>
      </c>
      <c r="I703" s="26" t="str">
        <f t="shared" si="81"/>
        <v/>
      </c>
      <c r="J703" t="str">
        <f t="shared" si="82"/>
        <v/>
      </c>
      <c r="K703" s="26" t="str">
        <f t="shared" si="83"/>
        <v/>
      </c>
      <c r="L703" s="26" t="str">
        <f t="shared" si="84"/>
        <v/>
      </c>
      <c r="P703" t="e">
        <f t="shared" si="85"/>
        <v>#N/A</v>
      </c>
      <c r="Q703" t="e">
        <f t="shared" si="86"/>
        <v>#N/A</v>
      </c>
    </row>
    <row r="704" spans="1:17">
      <c r="A704" s="28"/>
      <c r="B704" s="28"/>
      <c r="C704" s="28"/>
      <c r="D704" s="28"/>
      <c r="E704" s="28"/>
      <c r="F704" s="28"/>
      <c r="G704" s="26" t="str">
        <f t="shared" si="80"/>
        <v/>
      </c>
      <c r="H704" s="26" t="str">
        <f t="shared" si="87"/>
        <v/>
      </c>
      <c r="I704" s="26" t="str">
        <f t="shared" si="81"/>
        <v/>
      </c>
      <c r="J704" t="str">
        <f t="shared" si="82"/>
        <v/>
      </c>
      <c r="K704" s="26" t="str">
        <f t="shared" si="83"/>
        <v/>
      </c>
      <c r="L704" s="26" t="str">
        <f t="shared" si="84"/>
        <v/>
      </c>
      <c r="P704" t="e">
        <f t="shared" si="85"/>
        <v>#N/A</v>
      </c>
      <c r="Q704" t="e">
        <f t="shared" si="86"/>
        <v>#N/A</v>
      </c>
    </row>
    <row r="705" spans="1:17">
      <c r="A705" s="28"/>
      <c r="B705" s="28"/>
      <c r="C705" s="28"/>
      <c r="D705" s="28"/>
      <c r="E705" s="28"/>
      <c r="F705" s="28"/>
      <c r="G705" s="26" t="str">
        <f t="shared" si="80"/>
        <v/>
      </c>
      <c r="H705" s="26" t="str">
        <f t="shared" si="87"/>
        <v/>
      </c>
      <c r="I705" s="26" t="str">
        <f t="shared" si="81"/>
        <v/>
      </c>
      <c r="J705" t="str">
        <f t="shared" si="82"/>
        <v/>
      </c>
      <c r="K705" s="26" t="str">
        <f t="shared" si="83"/>
        <v/>
      </c>
      <c r="L705" s="26" t="str">
        <f t="shared" si="84"/>
        <v/>
      </c>
      <c r="P705" t="e">
        <f t="shared" si="85"/>
        <v>#N/A</v>
      </c>
      <c r="Q705" t="e">
        <f t="shared" si="86"/>
        <v>#N/A</v>
      </c>
    </row>
    <row r="706" spans="1:17">
      <c r="A706" s="28"/>
      <c r="B706" s="28"/>
      <c r="C706" s="28"/>
      <c r="D706" s="28"/>
      <c r="E706" s="28"/>
      <c r="F706" s="28"/>
      <c r="G706" s="26" t="str">
        <f t="shared" ref="G706:G769" si="88">IF(B706="","",243.04*(LN(C706/100)+17.625*B706/(243.04+B706))/(17.625-LN(C706/100)-17.625*B706/(243.04+B706)))</f>
        <v/>
      </c>
      <c r="H706" s="26" t="str">
        <f t="shared" si="87"/>
        <v/>
      </c>
      <c r="I706" s="26" t="str">
        <f t="shared" ref="I706:I769" si="89">IF(B706="","",B706-E706)</f>
        <v/>
      </c>
      <c r="J706" t="str">
        <f t="shared" ref="J706:J769" si="90">IF(H706="","",IF(H706&gt;0.6,"Heating",IF(H706&lt;-0.2,"Cooling","Steady")))</f>
        <v/>
      </c>
      <c r="K706" s="26" t="str">
        <f t="shared" ref="K706:K769" si="91">IF(J706="Cooling",I706,"")</f>
        <v/>
      </c>
      <c r="L706" s="26" t="str">
        <f t="shared" ref="L706:L769" si="92">IF(J706="Cooling",H706,"")</f>
        <v/>
      </c>
      <c r="P706" t="e">
        <f t="shared" ref="P706:P769" si="93">IF(K706="",NA(),K706)</f>
        <v>#N/A</v>
      </c>
      <c r="Q706" t="e">
        <f t="shared" ref="Q706:Q769" si="94">IF(L706="",NA(),L706)</f>
        <v>#N/A</v>
      </c>
    </row>
    <row r="707" spans="1:17">
      <c r="A707" s="28"/>
      <c r="B707" s="28"/>
      <c r="C707" s="28"/>
      <c r="D707" s="28"/>
      <c r="E707" s="28"/>
      <c r="F707" s="28"/>
      <c r="G707" s="26" t="str">
        <f t="shared" si="88"/>
        <v/>
      </c>
      <c r="H707" s="26" t="str">
        <f t="shared" si="87"/>
        <v/>
      </c>
      <c r="I707" s="26" t="str">
        <f t="shared" si="89"/>
        <v/>
      </c>
      <c r="J707" t="str">
        <f t="shared" si="90"/>
        <v/>
      </c>
      <c r="K707" s="26" t="str">
        <f t="shared" si="91"/>
        <v/>
      </c>
      <c r="L707" s="26" t="str">
        <f t="shared" si="92"/>
        <v/>
      </c>
      <c r="P707" t="e">
        <f t="shared" si="93"/>
        <v>#N/A</v>
      </c>
      <c r="Q707" t="e">
        <f t="shared" si="94"/>
        <v>#N/A</v>
      </c>
    </row>
    <row r="708" spans="1:17">
      <c r="A708" s="28"/>
      <c r="B708" s="28"/>
      <c r="C708" s="28"/>
      <c r="D708" s="28"/>
      <c r="E708" s="28"/>
      <c r="F708" s="28"/>
      <c r="G708" s="26" t="str">
        <f t="shared" si="88"/>
        <v/>
      </c>
      <c r="H708" s="26" t="str">
        <f t="shared" ref="H708:H771" si="95">IFERROR(IF(OR(B706="",B710=""),"",(B710-B706)/4*60),"")</f>
        <v/>
      </c>
      <c r="I708" s="26" t="str">
        <f t="shared" si="89"/>
        <v/>
      </c>
      <c r="J708" t="str">
        <f t="shared" si="90"/>
        <v/>
      </c>
      <c r="K708" s="26" t="str">
        <f t="shared" si="91"/>
        <v/>
      </c>
      <c r="L708" s="26" t="str">
        <f t="shared" si="92"/>
        <v/>
      </c>
      <c r="P708" t="e">
        <f t="shared" si="93"/>
        <v>#N/A</v>
      </c>
      <c r="Q708" t="e">
        <f t="shared" si="94"/>
        <v>#N/A</v>
      </c>
    </row>
    <row r="709" spans="1:17">
      <c r="A709" s="28"/>
      <c r="B709" s="28"/>
      <c r="C709" s="28"/>
      <c r="D709" s="28"/>
      <c r="E709" s="28"/>
      <c r="F709" s="28"/>
      <c r="G709" s="26" t="str">
        <f t="shared" si="88"/>
        <v/>
      </c>
      <c r="H709" s="26" t="str">
        <f t="shared" si="95"/>
        <v/>
      </c>
      <c r="I709" s="26" t="str">
        <f t="shared" si="89"/>
        <v/>
      </c>
      <c r="J709" t="str">
        <f t="shared" si="90"/>
        <v/>
      </c>
      <c r="K709" s="26" t="str">
        <f t="shared" si="91"/>
        <v/>
      </c>
      <c r="L709" s="26" t="str">
        <f t="shared" si="92"/>
        <v/>
      </c>
      <c r="P709" t="e">
        <f t="shared" si="93"/>
        <v>#N/A</v>
      </c>
      <c r="Q709" t="e">
        <f t="shared" si="94"/>
        <v>#N/A</v>
      </c>
    </row>
    <row r="710" spans="1:17">
      <c r="A710" s="28"/>
      <c r="B710" s="28"/>
      <c r="C710" s="28"/>
      <c r="D710" s="28"/>
      <c r="E710" s="28"/>
      <c r="F710" s="28"/>
      <c r="G710" s="26" t="str">
        <f t="shared" si="88"/>
        <v/>
      </c>
      <c r="H710" s="26" t="str">
        <f t="shared" si="95"/>
        <v/>
      </c>
      <c r="I710" s="26" t="str">
        <f t="shared" si="89"/>
        <v/>
      </c>
      <c r="J710" t="str">
        <f t="shared" si="90"/>
        <v/>
      </c>
      <c r="K710" s="26" t="str">
        <f t="shared" si="91"/>
        <v/>
      </c>
      <c r="L710" s="26" t="str">
        <f t="shared" si="92"/>
        <v/>
      </c>
      <c r="P710" t="e">
        <f t="shared" si="93"/>
        <v>#N/A</v>
      </c>
      <c r="Q710" t="e">
        <f t="shared" si="94"/>
        <v>#N/A</v>
      </c>
    </row>
    <row r="711" spans="1:17">
      <c r="A711" s="28"/>
      <c r="B711" s="28"/>
      <c r="C711" s="28"/>
      <c r="D711" s="28"/>
      <c r="E711" s="28"/>
      <c r="F711" s="28"/>
      <c r="G711" s="26" t="str">
        <f t="shared" si="88"/>
        <v/>
      </c>
      <c r="H711" s="26" t="str">
        <f t="shared" si="95"/>
        <v/>
      </c>
      <c r="I711" s="26" t="str">
        <f t="shared" si="89"/>
        <v/>
      </c>
      <c r="J711" t="str">
        <f t="shared" si="90"/>
        <v/>
      </c>
      <c r="K711" s="26" t="str">
        <f t="shared" si="91"/>
        <v/>
      </c>
      <c r="L711" s="26" t="str">
        <f t="shared" si="92"/>
        <v/>
      </c>
      <c r="P711" t="e">
        <f t="shared" si="93"/>
        <v>#N/A</v>
      </c>
      <c r="Q711" t="e">
        <f t="shared" si="94"/>
        <v>#N/A</v>
      </c>
    </row>
    <row r="712" spans="1:17">
      <c r="A712" s="28"/>
      <c r="B712" s="28"/>
      <c r="C712" s="28"/>
      <c r="D712" s="28"/>
      <c r="E712" s="28"/>
      <c r="F712" s="28"/>
      <c r="G712" s="26" t="str">
        <f t="shared" si="88"/>
        <v/>
      </c>
      <c r="H712" s="26" t="str">
        <f t="shared" si="95"/>
        <v/>
      </c>
      <c r="I712" s="26" t="str">
        <f t="shared" si="89"/>
        <v/>
      </c>
      <c r="J712" t="str">
        <f t="shared" si="90"/>
        <v/>
      </c>
      <c r="K712" s="26" t="str">
        <f t="shared" si="91"/>
        <v/>
      </c>
      <c r="L712" s="26" t="str">
        <f t="shared" si="92"/>
        <v/>
      </c>
      <c r="P712" t="e">
        <f t="shared" si="93"/>
        <v>#N/A</v>
      </c>
      <c r="Q712" t="e">
        <f t="shared" si="94"/>
        <v>#N/A</v>
      </c>
    </row>
    <row r="713" spans="1:17">
      <c r="A713" s="28"/>
      <c r="B713" s="28"/>
      <c r="C713" s="28"/>
      <c r="D713" s="28"/>
      <c r="E713" s="28"/>
      <c r="F713" s="28"/>
      <c r="G713" s="26" t="str">
        <f t="shared" si="88"/>
        <v/>
      </c>
      <c r="H713" s="26" t="str">
        <f t="shared" si="95"/>
        <v/>
      </c>
      <c r="I713" s="26" t="str">
        <f t="shared" si="89"/>
        <v/>
      </c>
      <c r="J713" t="str">
        <f t="shared" si="90"/>
        <v/>
      </c>
      <c r="K713" s="26" t="str">
        <f t="shared" si="91"/>
        <v/>
      </c>
      <c r="L713" s="26" t="str">
        <f t="shared" si="92"/>
        <v/>
      </c>
      <c r="P713" t="e">
        <f t="shared" si="93"/>
        <v>#N/A</v>
      </c>
      <c r="Q713" t="e">
        <f t="shared" si="94"/>
        <v>#N/A</v>
      </c>
    </row>
    <row r="714" spans="1:17">
      <c r="A714" s="28"/>
      <c r="B714" s="28"/>
      <c r="C714" s="28"/>
      <c r="D714" s="28"/>
      <c r="E714" s="28"/>
      <c r="F714" s="28"/>
      <c r="G714" s="26" t="str">
        <f t="shared" si="88"/>
        <v/>
      </c>
      <c r="H714" s="26" t="str">
        <f t="shared" si="95"/>
        <v/>
      </c>
      <c r="I714" s="26" t="str">
        <f t="shared" si="89"/>
        <v/>
      </c>
      <c r="J714" t="str">
        <f t="shared" si="90"/>
        <v/>
      </c>
      <c r="K714" s="26" t="str">
        <f t="shared" si="91"/>
        <v/>
      </c>
      <c r="L714" s="26" t="str">
        <f t="shared" si="92"/>
        <v/>
      </c>
      <c r="P714" t="e">
        <f t="shared" si="93"/>
        <v>#N/A</v>
      </c>
      <c r="Q714" t="e">
        <f t="shared" si="94"/>
        <v>#N/A</v>
      </c>
    </row>
    <row r="715" spans="1:17">
      <c r="A715" s="28"/>
      <c r="B715" s="28"/>
      <c r="C715" s="28"/>
      <c r="D715" s="28"/>
      <c r="E715" s="28"/>
      <c r="F715" s="28"/>
      <c r="G715" s="26" t="str">
        <f t="shared" si="88"/>
        <v/>
      </c>
      <c r="H715" s="26" t="str">
        <f t="shared" si="95"/>
        <v/>
      </c>
      <c r="I715" s="26" t="str">
        <f t="shared" si="89"/>
        <v/>
      </c>
      <c r="J715" t="str">
        <f t="shared" si="90"/>
        <v/>
      </c>
      <c r="K715" s="26" t="str">
        <f t="shared" si="91"/>
        <v/>
      </c>
      <c r="L715" s="26" t="str">
        <f t="shared" si="92"/>
        <v/>
      </c>
      <c r="P715" t="e">
        <f t="shared" si="93"/>
        <v>#N/A</v>
      </c>
      <c r="Q715" t="e">
        <f t="shared" si="94"/>
        <v>#N/A</v>
      </c>
    </row>
    <row r="716" spans="1:17">
      <c r="A716" s="28"/>
      <c r="B716" s="28"/>
      <c r="C716" s="28"/>
      <c r="D716" s="28"/>
      <c r="E716" s="28"/>
      <c r="F716" s="28"/>
      <c r="G716" s="26" t="str">
        <f t="shared" si="88"/>
        <v/>
      </c>
      <c r="H716" s="26" t="str">
        <f t="shared" si="95"/>
        <v/>
      </c>
      <c r="I716" s="26" t="str">
        <f t="shared" si="89"/>
        <v/>
      </c>
      <c r="J716" t="str">
        <f t="shared" si="90"/>
        <v/>
      </c>
      <c r="K716" s="26" t="str">
        <f t="shared" si="91"/>
        <v/>
      </c>
      <c r="L716" s="26" t="str">
        <f t="shared" si="92"/>
        <v/>
      </c>
      <c r="P716" t="e">
        <f t="shared" si="93"/>
        <v>#N/A</v>
      </c>
      <c r="Q716" t="e">
        <f t="shared" si="94"/>
        <v>#N/A</v>
      </c>
    </row>
    <row r="717" spans="1:17">
      <c r="A717" s="28"/>
      <c r="B717" s="28"/>
      <c r="C717" s="28"/>
      <c r="D717" s="28"/>
      <c r="E717" s="28"/>
      <c r="F717" s="28"/>
      <c r="G717" s="26" t="str">
        <f t="shared" si="88"/>
        <v/>
      </c>
      <c r="H717" s="26" t="str">
        <f t="shared" si="95"/>
        <v/>
      </c>
      <c r="I717" s="26" t="str">
        <f t="shared" si="89"/>
        <v/>
      </c>
      <c r="J717" t="str">
        <f t="shared" si="90"/>
        <v/>
      </c>
      <c r="K717" s="26" t="str">
        <f t="shared" si="91"/>
        <v/>
      </c>
      <c r="L717" s="26" t="str">
        <f t="shared" si="92"/>
        <v/>
      </c>
      <c r="P717" t="e">
        <f t="shared" si="93"/>
        <v>#N/A</v>
      </c>
      <c r="Q717" t="e">
        <f t="shared" si="94"/>
        <v>#N/A</v>
      </c>
    </row>
    <row r="718" spans="1:17">
      <c r="A718" s="28"/>
      <c r="B718" s="28"/>
      <c r="C718" s="28"/>
      <c r="D718" s="28"/>
      <c r="E718" s="28"/>
      <c r="F718" s="28"/>
      <c r="G718" s="26" t="str">
        <f t="shared" si="88"/>
        <v/>
      </c>
      <c r="H718" s="26" t="str">
        <f t="shared" si="95"/>
        <v/>
      </c>
      <c r="I718" s="26" t="str">
        <f t="shared" si="89"/>
        <v/>
      </c>
      <c r="J718" t="str">
        <f t="shared" si="90"/>
        <v/>
      </c>
      <c r="K718" s="26" t="str">
        <f t="shared" si="91"/>
        <v/>
      </c>
      <c r="L718" s="26" t="str">
        <f t="shared" si="92"/>
        <v/>
      </c>
      <c r="P718" t="e">
        <f t="shared" si="93"/>
        <v>#N/A</v>
      </c>
      <c r="Q718" t="e">
        <f t="shared" si="94"/>
        <v>#N/A</v>
      </c>
    </row>
    <row r="719" spans="1:17">
      <c r="A719" s="28"/>
      <c r="B719" s="28"/>
      <c r="C719" s="28"/>
      <c r="D719" s="28"/>
      <c r="E719" s="28"/>
      <c r="F719" s="28"/>
      <c r="G719" s="26" t="str">
        <f t="shared" si="88"/>
        <v/>
      </c>
      <c r="H719" s="26" t="str">
        <f t="shared" si="95"/>
        <v/>
      </c>
      <c r="I719" s="26" t="str">
        <f t="shared" si="89"/>
        <v/>
      </c>
      <c r="J719" t="str">
        <f t="shared" si="90"/>
        <v/>
      </c>
      <c r="K719" s="26" t="str">
        <f t="shared" si="91"/>
        <v/>
      </c>
      <c r="L719" s="26" t="str">
        <f t="shared" si="92"/>
        <v/>
      </c>
      <c r="P719" t="e">
        <f t="shared" si="93"/>
        <v>#N/A</v>
      </c>
      <c r="Q719" t="e">
        <f t="shared" si="94"/>
        <v>#N/A</v>
      </c>
    </row>
    <row r="720" spans="1:17">
      <c r="A720" s="28"/>
      <c r="B720" s="28"/>
      <c r="C720" s="28"/>
      <c r="D720" s="28"/>
      <c r="E720" s="28"/>
      <c r="F720" s="28"/>
      <c r="G720" s="26" t="str">
        <f t="shared" si="88"/>
        <v/>
      </c>
      <c r="H720" s="26" t="str">
        <f t="shared" si="95"/>
        <v/>
      </c>
      <c r="I720" s="26" t="str">
        <f t="shared" si="89"/>
        <v/>
      </c>
      <c r="J720" t="str">
        <f t="shared" si="90"/>
        <v/>
      </c>
      <c r="K720" s="26" t="str">
        <f t="shared" si="91"/>
        <v/>
      </c>
      <c r="L720" s="26" t="str">
        <f t="shared" si="92"/>
        <v/>
      </c>
      <c r="P720" t="e">
        <f t="shared" si="93"/>
        <v>#N/A</v>
      </c>
      <c r="Q720" t="e">
        <f t="shared" si="94"/>
        <v>#N/A</v>
      </c>
    </row>
    <row r="721" spans="1:17">
      <c r="A721" s="28"/>
      <c r="B721" s="28"/>
      <c r="C721" s="28"/>
      <c r="D721" s="28"/>
      <c r="E721" s="28"/>
      <c r="F721" s="28"/>
      <c r="G721" s="26" t="str">
        <f t="shared" si="88"/>
        <v/>
      </c>
      <c r="H721" s="26" t="str">
        <f t="shared" si="95"/>
        <v/>
      </c>
      <c r="I721" s="26" t="str">
        <f t="shared" si="89"/>
        <v/>
      </c>
      <c r="J721" t="str">
        <f t="shared" si="90"/>
        <v/>
      </c>
      <c r="K721" s="26" t="str">
        <f t="shared" si="91"/>
        <v/>
      </c>
      <c r="L721" s="26" t="str">
        <f t="shared" si="92"/>
        <v/>
      </c>
      <c r="P721" t="e">
        <f t="shared" si="93"/>
        <v>#N/A</v>
      </c>
      <c r="Q721" t="e">
        <f t="shared" si="94"/>
        <v>#N/A</v>
      </c>
    </row>
    <row r="722" spans="1:17">
      <c r="A722" s="28"/>
      <c r="B722" s="28"/>
      <c r="C722" s="28"/>
      <c r="D722" s="28"/>
      <c r="E722" s="28"/>
      <c r="F722" s="28"/>
      <c r="G722" s="26" t="str">
        <f t="shared" si="88"/>
        <v/>
      </c>
      <c r="H722" s="26" t="str">
        <f t="shared" si="95"/>
        <v/>
      </c>
      <c r="I722" s="26" t="str">
        <f t="shared" si="89"/>
        <v/>
      </c>
      <c r="J722" t="str">
        <f t="shared" si="90"/>
        <v/>
      </c>
      <c r="K722" s="26" t="str">
        <f t="shared" si="91"/>
        <v/>
      </c>
      <c r="L722" s="26" t="str">
        <f t="shared" si="92"/>
        <v/>
      </c>
      <c r="P722" t="e">
        <f t="shared" si="93"/>
        <v>#N/A</v>
      </c>
      <c r="Q722" t="e">
        <f t="shared" si="94"/>
        <v>#N/A</v>
      </c>
    </row>
    <row r="723" spans="1:17">
      <c r="A723" s="28"/>
      <c r="B723" s="28"/>
      <c r="C723" s="28"/>
      <c r="D723" s="28"/>
      <c r="E723" s="28"/>
      <c r="F723" s="28"/>
      <c r="G723" s="26" t="str">
        <f t="shared" si="88"/>
        <v/>
      </c>
      <c r="H723" s="26" t="str">
        <f t="shared" si="95"/>
        <v/>
      </c>
      <c r="I723" s="26" t="str">
        <f t="shared" si="89"/>
        <v/>
      </c>
      <c r="J723" t="str">
        <f t="shared" si="90"/>
        <v/>
      </c>
      <c r="K723" s="26" t="str">
        <f t="shared" si="91"/>
        <v/>
      </c>
      <c r="L723" s="26" t="str">
        <f t="shared" si="92"/>
        <v/>
      </c>
      <c r="P723" t="e">
        <f t="shared" si="93"/>
        <v>#N/A</v>
      </c>
      <c r="Q723" t="e">
        <f t="shared" si="94"/>
        <v>#N/A</v>
      </c>
    </row>
    <row r="724" spans="1:17">
      <c r="A724" s="28"/>
      <c r="B724" s="28"/>
      <c r="C724" s="28"/>
      <c r="D724" s="28"/>
      <c r="E724" s="28"/>
      <c r="F724" s="28"/>
      <c r="G724" s="26" t="str">
        <f t="shared" si="88"/>
        <v/>
      </c>
      <c r="H724" s="26" t="str">
        <f t="shared" si="95"/>
        <v/>
      </c>
      <c r="I724" s="26" t="str">
        <f t="shared" si="89"/>
        <v/>
      </c>
      <c r="J724" t="str">
        <f t="shared" si="90"/>
        <v/>
      </c>
      <c r="K724" s="26" t="str">
        <f t="shared" si="91"/>
        <v/>
      </c>
      <c r="L724" s="26" t="str">
        <f t="shared" si="92"/>
        <v/>
      </c>
      <c r="P724" t="e">
        <f t="shared" si="93"/>
        <v>#N/A</v>
      </c>
      <c r="Q724" t="e">
        <f t="shared" si="94"/>
        <v>#N/A</v>
      </c>
    </row>
    <row r="725" spans="1:17">
      <c r="A725" s="28"/>
      <c r="B725" s="28"/>
      <c r="C725" s="28"/>
      <c r="D725" s="28"/>
      <c r="E725" s="28"/>
      <c r="F725" s="28"/>
      <c r="G725" s="26" t="str">
        <f t="shared" si="88"/>
        <v/>
      </c>
      <c r="H725" s="26" t="str">
        <f t="shared" si="95"/>
        <v/>
      </c>
      <c r="I725" s="26" t="str">
        <f t="shared" si="89"/>
        <v/>
      </c>
      <c r="J725" t="str">
        <f t="shared" si="90"/>
        <v/>
      </c>
      <c r="K725" s="26" t="str">
        <f t="shared" si="91"/>
        <v/>
      </c>
      <c r="L725" s="26" t="str">
        <f t="shared" si="92"/>
        <v/>
      </c>
      <c r="P725" t="e">
        <f t="shared" si="93"/>
        <v>#N/A</v>
      </c>
      <c r="Q725" t="e">
        <f t="shared" si="94"/>
        <v>#N/A</v>
      </c>
    </row>
    <row r="726" spans="1:17">
      <c r="A726" s="28"/>
      <c r="B726" s="28"/>
      <c r="C726" s="28"/>
      <c r="D726" s="28"/>
      <c r="E726" s="28"/>
      <c r="F726" s="28"/>
      <c r="G726" s="26" t="str">
        <f t="shared" si="88"/>
        <v/>
      </c>
      <c r="H726" s="26" t="str">
        <f t="shared" si="95"/>
        <v/>
      </c>
      <c r="I726" s="26" t="str">
        <f t="shared" si="89"/>
        <v/>
      </c>
      <c r="J726" t="str">
        <f t="shared" si="90"/>
        <v/>
      </c>
      <c r="K726" s="26" t="str">
        <f t="shared" si="91"/>
        <v/>
      </c>
      <c r="L726" s="26" t="str">
        <f t="shared" si="92"/>
        <v/>
      </c>
      <c r="P726" t="e">
        <f t="shared" si="93"/>
        <v>#N/A</v>
      </c>
      <c r="Q726" t="e">
        <f t="shared" si="94"/>
        <v>#N/A</v>
      </c>
    </row>
    <row r="727" spans="1:17">
      <c r="A727" s="28"/>
      <c r="B727" s="28"/>
      <c r="C727" s="28"/>
      <c r="D727" s="28"/>
      <c r="E727" s="28"/>
      <c r="F727" s="28"/>
      <c r="G727" s="26" t="str">
        <f t="shared" si="88"/>
        <v/>
      </c>
      <c r="H727" s="26" t="str">
        <f t="shared" si="95"/>
        <v/>
      </c>
      <c r="I727" s="26" t="str">
        <f t="shared" si="89"/>
        <v/>
      </c>
      <c r="J727" t="str">
        <f t="shared" si="90"/>
        <v/>
      </c>
      <c r="K727" s="26" t="str">
        <f t="shared" si="91"/>
        <v/>
      </c>
      <c r="L727" s="26" t="str">
        <f t="shared" si="92"/>
        <v/>
      </c>
      <c r="P727" t="e">
        <f t="shared" si="93"/>
        <v>#N/A</v>
      </c>
      <c r="Q727" t="e">
        <f t="shared" si="94"/>
        <v>#N/A</v>
      </c>
    </row>
    <row r="728" spans="1:17">
      <c r="A728" s="28"/>
      <c r="B728" s="28"/>
      <c r="C728" s="28"/>
      <c r="D728" s="28"/>
      <c r="E728" s="28"/>
      <c r="F728" s="28"/>
      <c r="G728" s="26" t="str">
        <f t="shared" si="88"/>
        <v/>
      </c>
      <c r="H728" s="26" t="str">
        <f t="shared" si="95"/>
        <v/>
      </c>
      <c r="I728" s="26" t="str">
        <f t="shared" si="89"/>
        <v/>
      </c>
      <c r="J728" t="str">
        <f t="shared" si="90"/>
        <v/>
      </c>
      <c r="K728" s="26" t="str">
        <f t="shared" si="91"/>
        <v/>
      </c>
      <c r="L728" s="26" t="str">
        <f t="shared" si="92"/>
        <v/>
      </c>
      <c r="P728" t="e">
        <f t="shared" si="93"/>
        <v>#N/A</v>
      </c>
      <c r="Q728" t="e">
        <f t="shared" si="94"/>
        <v>#N/A</v>
      </c>
    </row>
    <row r="729" spans="1:17">
      <c r="A729" s="28"/>
      <c r="B729" s="28"/>
      <c r="C729" s="28"/>
      <c r="D729" s="28"/>
      <c r="E729" s="28"/>
      <c r="F729" s="28"/>
      <c r="G729" s="26" t="str">
        <f t="shared" si="88"/>
        <v/>
      </c>
      <c r="H729" s="26" t="str">
        <f t="shared" si="95"/>
        <v/>
      </c>
      <c r="I729" s="26" t="str">
        <f t="shared" si="89"/>
        <v/>
      </c>
      <c r="J729" t="str">
        <f t="shared" si="90"/>
        <v/>
      </c>
      <c r="K729" s="26" t="str">
        <f t="shared" si="91"/>
        <v/>
      </c>
      <c r="L729" s="26" t="str">
        <f t="shared" si="92"/>
        <v/>
      </c>
      <c r="P729" t="e">
        <f t="shared" si="93"/>
        <v>#N/A</v>
      </c>
      <c r="Q729" t="e">
        <f t="shared" si="94"/>
        <v>#N/A</v>
      </c>
    </row>
    <row r="730" spans="1:17">
      <c r="A730" s="28"/>
      <c r="B730" s="28"/>
      <c r="C730" s="28"/>
      <c r="D730" s="28"/>
      <c r="E730" s="28"/>
      <c r="F730" s="28"/>
      <c r="G730" s="26" t="str">
        <f t="shared" si="88"/>
        <v/>
      </c>
      <c r="H730" s="26" t="str">
        <f t="shared" si="95"/>
        <v/>
      </c>
      <c r="I730" s="26" t="str">
        <f t="shared" si="89"/>
        <v/>
      </c>
      <c r="J730" t="str">
        <f t="shared" si="90"/>
        <v/>
      </c>
      <c r="K730" s="26" t="str">
        <f t="shared" si="91"/>
        <v/>
      </c>
      <c r="L730" s="26" t="str">
        <f t="shared" si="92"/>
        <v/>
      </c>
      <c r="P730" t="e">
        <f t="shared" si="93"/>
        <v>#N/A</v>
      </c>
      <c r="Q730" t="e">
        <f t="shared" si="94"/>
        <v>#N/A</v>
      </c>
    </row>
    <row r="731" spans="1:17">
      <c r="A731" s="28"/>
      <c r="B731" s="28"/>
      <c r="C731" s="28"/>
      <c r="D731" s="28"/>
      <c r="E731" s="28"/>
      <c r="F731" s="28"/>
      <c r="G731" s="26" t="str">
        <f t="shared" si="88"/>
        <v/>
      </c>
      <c r="H731" s="26" t="str">
        <f t="shared" si="95"/>
        <v/>
      </c>
      <c r="I731" s="26" t="str">
        <f t="shared" si="89"/>
        <v/>
      </c>
      <c r="J731" t="str">
        <f t="shared" si="90"/>
        <v/>
      </c>
      <c r="K731" s="26" t="str">
        <f t="shared" si="91"/>
        <v/>
      </c>
      <c r="L731" s="26" t="str">
        <f t="shared" si="92"/>
        <v/>
      </c>
      <c r="P731" t="e">
        <f t="shared" si="93"/>
        <v>#N/A</v>
      </c>
      <c r="Q731" t="e">
        <f t="shared" si="94"/>
        <v>#N/A</v>
      </c>
    </row>
    <row r="732" spans="1:17">
      <c r="A732" s="28"/>
      <c r="B732" s="28"/>
      <c r="C732" s="28"/>
      <c r="D732" s="28"/>
      <c r="E732" s="28"/>
      <c r="F732" s="28"/>
      <c r="G732" s="26" t="str">
        <f t="shared" si="88"/>
        <v/>
      </c>
      <c r="H732" s="26" t="str">
        <f t="shared" si="95"/>
        <v/>
      </c>
      <c r="I732" s="26" t="str">
        <f t="shared" si="89"/>
        <v/>
      </c>
      <c r="J732" t="str">
        <f t="shared" si="90"/>
        <v/>
      </c>
      <c r="K732" s="26" t="str">
        <f t="shared" si="91"/>
        <v/>
      </c>
      <c r="L732" s="26" t="str">
        <f t="shared" si="92"/>
        <v/>
      </c>
      <c r="P732" t="e">
        <f t="shared" si="93"/>
        <v>#N/A</v>
      </c>
      <c r="Q732" t="e">
        <f t="shared" si="94"/>
        <v>#N/A</v>
      </c>
    </row>
    <row r="733" spans="1:17">
      <c r="A733" s="28"/>
      <c r="B733" s="28"/>
      <c r="C733" s="28"/>
      <c r="D733" s="28"/>
      <c r="E733" s="28"/>
      <c r="F733" s="28"/>
      <c r="G733" s="26" t="str">
        <f t="shared" si="88"/>
        <v/>
      </c>
      <c r="H733" s="26" t="str">
        <f t="shared" si="95"/>
        <v/>
      </c>
      <c r="I733" s="26" t="str">
        <f t="shared" si="89"/>
        <v/>
      </c>
      <c r="J733" t="str">
        <f t="shared" si="90"/>
        <v/>
      </c>
      <c r="K733" s="26" t="str">
        <f t="shared" si="91"/>
        <v/>
      </c>
      <c r="L733" s="26" t="str">
        <f t="shared" si="92"/>
        <v/>
      </c>
      <c r="P733" t="e">
        <f t="shared" si="93"/>
        <v>#N/A</v>
      </c>
      <c r="Q733" t="e">
        <f t="shared" si="94"/>
        <v>#N/A</v>
      </c>
    </row>
    <row r="734" spans="1:17">
      <c r="A734" s="28"/>
      <c r="B734" s="28"/>
      <c r="C734" s="28"/>
      <c r="D734" s="28"/>
      <c r="E734" s="28"/>
      <c r="F734" s="28"/>
      <c r="G734" s="26" t="str">
        <f t="shared" si="88"/>
        <v/>
      </c>
      <c r="H734" s="26" t="str">
        <f t="shared" si="95"/>
        <v/>
      </c>
      <c r="I734" s="26" t="str">
        <f t="shared" si="89"/>
        <v/>
      </c>
      <c r="J734" t="str">
        <f t="shared" si="90"/>
        <v/>
      </c>
      <c r="K734" s="26" t="str">
        <f t="shared" si="91"/>
        <v/>
      </c>
      <c r="L734" s="26" t="str">
        <f t="shared" si="92"/>
        <v/>
      </c>
      <c r="P734" t="e">
        <f t="shared" si="93"/>
        <v>#N/A</v>
      </c>
      <c r="Q734" t="e">
        <f t="shared" si="94"/>
        <v>#N/A</v>
      </c>
    </row>
    <row r="735" spans="1:17">
      <c r="A735" s="28"/>
      <c r="B735" s="28"/>
      <c r="C735" s="28"/>
      <c r="D735" s="28"/>
      <c r="E735" s="28"/>
      <c r="F735" s="28"/>
      <c r="G735" s="26" t="str">
        <f t="shared" si="88"/>
        <v/>
      </c>
      <c r="H735" s="26" t="str">
        <f t="shared" si="95"/>
        <v/>
      </c>
      <c r="I735" s="26" t="str">
        <f t="shared" si="89"/>
        <v/>
      </c>
      <c r="J735" t="str">
        <f t="shared" si="90"/>
        <v/>
      </c>
      <c r="K735" s="26" t="str">
        <f t="shared" si="91"/>
        <v/>
      </c>
      <c r="L735" s="26" t="str">
        <f t="shared" si="92"/>
        <v/>
      </c>
      <c r="P735" t="e">
        <f t="shared" si="93"/>
        <v>#N/A</v>
      </c>
      <c r="Q735" t="e">
        <f t="shared" si="94"/>
        <v>#N/A</v>
      </c>
    </row>
    <row r="736" spans="1:17">
      <c r="A736" s="28"/>
      <c r="B736" s="28"/>
      <c r="C736" s="28"/>
      <c r="D736" s="28"/>
      <c r="E736" s="28"/>
      <c r="F736" s="28"/>
      <c r="G736" s="26" t="str">
        <f t="shared" si="88"/>
        <v/>
      </c>
      <c r="H736" s="26" t="str">
        <f t="shared" si="95"/>
        <v/>
      </c>
      <c r="I736" s="26" t="str">
        <f t="shared" si="89"/>
        <v/>
      </c>
      <c r="J736" t="str">
        <f t="shared" si="90"/>
        <v/>
      </c>
      <c r="K736" s="26" t="str">
        <f t="shared" si="91"/>
        <v/>
      </c>
      <c r="L736" s="26" t="str">
        <f t="shared" si="92"/>
        <v/>
      </c>
      <c r="P736" t="e">
        <f t="shared" si="93"/>
        <v>#N/A</v>
      </c>
      <c r="Q736" t="e">
        <f t="shared" si="94"/>
        <v>#N/A</v>
      </c>
    </row>
    <row r="737" spans="1:17">
      <c r="A737" s="28"/>
      <c r="B737" s="28"/>
      <c r="C737" s="28"/>
      <c r="D737" s="28"/>
      <c r="E737" s="28"/>
      <c r="F737" s="28"/>
      <c r="G737" s="26" t="str">
        <f t="shared" si="88"/>
        <v/>
      </c>
      <c r="H737" s="26" t="str">
        <f t="shared" si="95"/>
        <v/>
      </c>
      <c r="I737" s="26" t="str">
        <f t="shared" si="89"/>
        <v/>
      </c>
      <c r="J737" t="str">
        <f t="shared" si="90"/>
        <v/>
      </c>
      <c r="K737" s="26" t="str">
        <f t="shared" si="91"/>
        <v/>
      </c>
      <c r="L737" s="26" t="str">
        <f t="shared" si="92"/>
        <v/>
      </c>
      <c r="P737" t="e">
        <f t="shared" si="93"/>
        <v>#N/A</v>
      </c>
      <c r="Q737" t="e">
        <f t="shared" si="94"/>
        <v>#N/A</v>
      </c>
    </row>
    <row r="738" spans="1:17">
      <c r="A738" s="28"/>
      <c r="B738" s="28"/>
      <c r="C738" s="28"/>
      <c r="D738" s="28"/>
      <c r="E738" s="28"/>
      <c r="F738" s="28"/>
      <c r="G738" s="26" t="str">
        <f t="shared" si="88"/>
        <v/>
      </c>
      <c r="H738" s="26" t="str">
        <f t="shared" si="95"/>
        <v/>
      </c>
      <c r="I738" s="26" t="str">
        <f t="shared" si="89"/>
        <v/>
      </c>
      <c r="J738" t="str">
        <f t="shared" si="90"/>
        <v/>
      </c>
      <c r="K738" s="26" t="str">
        <f t="shared" si="91"/>
        <v/>
      </c>
      <c r="L738" s="26" t="str">
        <f t="shared" si="92"/>
        <v/>
      </c>
      <c r="P738" t="e">
        <f t="shared" si="93"/>
        <v>#N/A</v>
      </c>
      <c r="Q738" t="e">
        <f t="shared" si="94"/>
        <v>#N/A</v>
      </c>
    </row>
    <row r="739" spans="1:17">
      <c r="A739" s="28"/>
      <c r="B739" s="28"/>
      <c r="C739" s="28"/>
      <c r="D739" s="28"/>
      <c r="E739" s="28"/>
      <c r="F739" s="28"/>
      <c r="G739" s="26" t="str">
        <f t="shared" si="88"/>
        <v/>
      </c>
      <c r="H739" s="26" t="str">
        <f t="shared" si="95"/>
        <v/>
      </c>
      <c r="I739" s="26" t="str">
        <f t="shared" si="89"/>
        <v/>
      </c>
      <c r="J739" t="str">
        <f t="shared" si="90"/>
        <v/>
      </c>
      <c r="K739" s="26" t="str">
        <f t="shared" si="91"/>
        <v/>
      </c>
      <c r="L739" s="26" t="str">
        <f t="shared" si="92"/>
        <v/>
      </c>
      <c r="P739" t="e">
        <f t="shared" si="93"/>
        <v>#N/A</v>
      </c>
      <c r="Q739" t="e">
        <f t="shared" si="94"/>
        <v>#N/A</v>
      </c>
    </row>
    <row r="740" spans="1:17">
      <c r="A740" s="28"/>
      <c r="B740" s="28"/>
      <c r="C740" s="28"/>
      <c r="D740" s="28"/>
      <c r="E740" s="28"/>
      <c r="F740" s="28"/>
      <c r="G740" s="26" t="str">
        <f t="shared" si="88"/>
        <v/>
      </c>
      <c r="H740" s="26" t="str">
        <f t="shared" si="95"/>
        <v/>
      </c>
      <c r="I740" s="26" t="str">
        <f t="shared" si="89"/>
        <v/>
      </c>
      <c r="J740" t="str">
        <f t="shared" si="90"/>
        <v/>
      </c>
      <c r="K740" s="26" t="str">
        <f t="shared" si="91"/>
        <v/>
      </c>
      <c r="L740" s="26" t="str">
        <f t="shared" si="92"/>
        <v/>
      </c>
      <c r="P740" t="e">
        <f t="shared" si="93"/>
        <v>#N/A</v>
      </c>
      <c r="Q740" t="e">
        <f t="shared" si="94"/>
        <v>#N/A</v>
      </c>
    </row>
    <row r="741" spans="1:17">
      <c r="A741" s="28"/>
      <c r="B741" s="28"/>
      <c r="C741" s="28"/>
      <c r="D741" s="28"/>
      <c r="E741" s="28"/>
      <c r="F741" s="28"/>
      <c r="G741" s="26" t="str">
        <f t="shared" si="88"/>
        <v/>
      </c>
      <c r="H741" s="26" t="str">
        <f t="shared" si="95"/>
        <v/>
      </c>
      <c r="I741" s="26" t="str">
        <f t="shared" si="89"/>
        <v/>
      </c>
      <c r="J741" t="str">
        <f t="shared" si="90"/>
        <v/>
      </c>
      <c r="K741" s="26" t="str">
        <f t="shared" si="91"/>
        <v/>
      </c>
      <c r="L741" s="26" t="str">
        <f t="shared" si="92"/>
        <v/>
      </c>
      <c r="P741" t="e">
        <f t="shared" si="93"/>
        <v>#N/A</v>
      </c>
      <c r="Q741" t="e">
        <f t="shared" si="94"/>
        <v>#N/A</v>
      </c>
    </row>
    <row r="742" spans="1:17">
      <c r="A742" s="28"/>
      <c r="B742" s="28"/>
      <c r="C742" s="28"/>
      <c r="D742" s="28"/>
      <c r="E742" s="28"/>
      <c r="F742" s="28"/>
      <c r="G742" s="26" t="str">
        <f t="shared" si="88"/>
        <v/>
      </c>
      <c r="H742" s="26" t="str">
        <f t="shared" si="95"/>
        <v/>
      </c>
      <c r="I742" s="26" t="str">
        <f t="shared" si="89"/>
        <v/>
      </c>
      <c r="J742" t="str">
        <f t="shared" si="90"/>
        <v/>
      </c>
      <c r="K742" s="26" t="str">
        <f t="shared" si="91"/>
        <v/>
      </c>
      <c r="L742" s="26" t="str">
        <f t="shared" si="92"/>
        <v/>
      </c>
      <c r="P742" t="e">
        <f t="shared" si="93"/>
        <v>#N/A</v>
      </c>
      <c r="Q742" t="e">
        <f t="shared" si="94"/>
        <v>#N/A</v>
      </c>
    </row>
    <row r="743" spans="1:17">
      <c r="A743" s="28"/>
      <c r="B743" s="28"/>
      <c r="C743" s="28"/>
      <c r="D743" s="28"/>
      <c r="E743" s="28"/>
      <c r="F743" s="28"/>
      <c r="G743" s="26" t="str">
        <f t="shared" si="88"/>
        <v/>
      </c>
      <c r="H743" s="26" t="str">
        <f t="shared" si="95"/>
        <v/>
      </c>
      <c r="I743" s="26" t="str">
        <f t="shared" si="89"/>
        <v/>
      </c>
      <c r="J743" t="str">
        <f t="shared" si="90"/>
        <v/>
      </c>
      <c r="K743" s="26" t="str">
        <f t="shared" si="91"/>
        <v/>
      </c>
      <c r="L743" s="26" t="str">
        <f t="shared" si="92"/>
        <v/>
      </c>
      <c r="P743" t="e">
        <f t="shared" si="93"/>
        <v>#N/A</v>
      </c>
      <c r="Q743" t="e">
        <f t="shared" si="94"/>
        <v>#N/A</v>
      </c>
    </row>
    <row r="744" spans="1:17">
      <c r="A744" s="28"/>
      <c r="B744" s="28"/>
      <c r="C744" s="28"/>
      <c r="D744" s="28"/>
      <c r="E744" s="28"/>
      <c r="F744" s="28"/>
      <c r="G744" s="26" t="str">
        <f t="shared" si="88"/>
        <v/>
      </c>
      <c r="H744" s="26" t="str">
        <f t="shared" si="95"/>
        <v/>
      </c>
      <c r="I744" s="26" t="str">
        <f t="shared" si="89"/>
        <v/>
      </c>
      <c r="J744" t="str">
        <f t="shared" si="90"/>
        <v/>
      </c>
      <c r="K744" s="26" t="str">
        <f t="shared" si="91"/>
        <v/>
      </c>
      <c r="L744" s="26" t="str">
        <f t="shared" si="92"/>
        <v/>
      </c>
      <c r="P744" t="e">
        <f t="shared" si="93"/>
        <v>#N/A</v>
      </c>
      <c r="Q744" t="e">
        <f t="shared" si="94"/>
        <v>#N/A</v>
      </c>
    </row>
    <row r="745" spans="1:17">
      <c r="A745" s="28"/>
      <c r="B745" s="28"/>
      <c r="C745" s="28"/>
      <c r="D745" s="28"/>
      <c r="E745" s="28"/>
      <c r="F745" s="28"/>
      <c r="G745" s="26" t="str">
        <f t="shared" si="88"/>
        <v/>
      </c>
      <c r="H745" s="26" t="str">
        <f t="shared" si="95"/>
        <v/>
      </c>
      <c r="I745" s="26" t="str">
        <f t="shared" si="89"/>
        <v/>
      </c>
      <c r="J745" t="str">
        <f t="shared" si="90"/>
        <v/>
      </c>
      <c r="K745" s="26" t="str">
        <f t="shared" si="91"/>
        <v/>
      </c>
      <c r="L745" s="26" t="str">
        <f t="shared" si="92"/>
        <v/>
      </c>
      <c r="P745" t="e">
        <f t="shared" si="93"/>
        <v>#N/A</v>
      </c>
      <c r="Q745" t="e">
        <f t="shared" si="94"/>
        <v>#N/A</v>
      </c>
    </row>
    <row r="746" spans="1:17">
      <c r="A746" s="28"/>
      <c r="B746" s="28"/>
      <c r="C746" s="28"/>
      <c r="D746" s="28"/>
      <c r="E746" s="28"/>
      <c r="F746" s="28"/>
      <c r="G746" s="26" t="str">
        <f t="shared" si="88"/>
        <v/>
      </c>
      <c r="H746" s="26" t="str">
        <f t="shared" si="95"/>
        <v/>
      </c>
      <c r="I746" s="26" t="str">
        <f t="shared" si="89"/>
        <v/>
      </c>
      <c r="J746" t="str">
        <f t="shared" si="90"/>
        <v/>
      </c>
      <c r="K746" s="26" t="str">
        <f t="shared" si="91"/>
        <v/>
      </c>
      <c r="L746" s="26" t="str">
        <f t="shared" si="92"/>
        <v/>
      </c>
      <c r="P746" t="e">
        <f t="shared" si="93"/>
        <v>#N/A</v>
      </c>
      <c r="Q746" t="e">
        <f t="shared" si="94"/>
        <v>#N/A</v>
      </c>
    </row>
    <row r="747" spans="1:17">
      <c r="A747" s="28"/>
      <c r="B747" s="28"/>
      <c r="C747" s="28"/>
      <c r="D747" s="28"/>
      <c r="E747" s="28"/>
      <c r="F747" s="28"/>
      <c r="G747" s="26" t="str">
        <f t="shared" si="88"/>
        <v/>
      </c>
      <c r="H747" s="26" t="str">
        <f t="shared" si="95"/>
        <v/>
      </c>
      <c r="I747" s="26" t="str">
        <f t="shared" si="89"/>
        <v/>
      </c>
      <c r="J747" t="str">
        <f t="shared" si="90"/>
        <v/>
      </c>
      <c r="K747" s="26" t="str">
        <f t="shared" si="91"/>
        <v/>
      </c>
      <c r="L747" s="26" t="str">
        <f t="shared" si="92"/>
        <v/>
      </c>
      <c r="P747" t="e">
        <f t="shared" si="93"/>
        <v>#N/A</v>
      </c>
      <c r="Q747" t="e">
        <f t="shared" si="94"/>
        <v>#N/A</v>
      </c>
    </row>
    <row r="748" spans="1:17">
      <c r="A748" s="28"/>
      <c r="B748" s="28"/>
      <c r="C748" s="28"/>
      <c r="D748" s="28"/>
      <c r="E748" s="28"/>
      <c r="F748" s="28"/>
      <c r="G748" s="26" t="str">
        <f t="shared" si="88"/>
        <v/>
      </c>
      <c r="H748" s="26" t="str">
        <f t="shared" si="95"/>
        <v/>
      </c>
      <c r="I748" s="26" t="str">
        <f t="shared" si="89"/>
        <v/>
      </c>
      <c r="J748" t="str">
        <f t="shared" si="90"/>
        <v/>
      </c>
      <c r="K748" s="26" t="str">
        <f t="shared" si="91"/>
        <v/>
      </c>
      <c r="L748" s="26" t="str">
        <f t="shared" si="92"/>
        <v/>
      </c>
      <c r="P748" t="e">
        <f t="shared" si="93"/>
        <v>#N/A</v>
      </c>
      <c r="Q748" t="e">
        <f t="shared" si="94"/>
        <v>#N/A</v>
      </c>
    </row>
    <row r="749" spans="1:17">
      <c r="A749" s="28"/>
      <c r="B749" s="28"/>
      <c r="C749" s="28"/>
      <c r="D749" s="28"/>
      <c r="E749" s="28"/>
      <c r="F749" s="28"/>
      <c r="G749" s="26" t="str">
        <f t="shared" si="88"/>
        <v/>
      </c>
      <c r="H749" s="26" t="str">
        <f t="shared" si="95"/>
        <v/>
      </c>
      <c r="I749" s="26" t="str">
        <f t="shared" si="89"/>
        <v/>
      </c>
      <c r="J749" t="str">
        <f t="shared" si="90"/>
        <v/>
      </c>
      <c r="K749" s="26" t="str">
        <f t="shared" si="91"/>
        <v/>
      </c>
      <c r="L749" s="26" t="str">
        <f t="shared" si="92"/>
        <v/>
      </c>
      <c r="P749" t="e">
        <f t="shared" si="93"/>
        <v>#N/A</v>
      </c>
      <c r="Q749" t="e">
        <f t="shared" si="94"/>
        <v>#N/A</v>
      </c>
    </row>
    <row r="750" spans="1:17">
      <c r="A750" s="28"/>
      <c r="B750" s="28"/>
      <c r="C750" s="28"/>
      <c r="D750" s="28"/>
      <c r="E750" s="28"/>
      <c r="F750" s="28"/>
      <c r="G750" s="26" t="str">
        <f t="shared" si="88"/>
        <v/>
      </c>
      <c r="H750" s="26" t="str">
        <f t="shared" si="95"/>
        <v/>
      </c>
      <c r="I750" s="26" t="str">
        <f t="shared" si="89"/>
        <v/>
      </c>
      <c r="J750" t="str">
        <f t="shared" si="90"/>
        <v/>
      </c>
      <c r="K750" s="26" t="str">
        <f t="shared" si="91"/>
        <v/>
      </c>
      <c r="L750" s="26" t="str">
        <f t="shared" si="92"/>
        <v/>
      </c>
      <c r="P750" t="e">
        <f t="shared" si="93"/>
        <v>#N/A</v>
      </c>
      <c r="Q750" t="e">
        <f t="shared" si="94"/>
        <v>#N/A</v>
      </c>
    </row>
    <row r="751" spans="1:17">
      <c r="A751" s="28"/>
      <c r="B751" s="28"/>
      <c r="C751" s="28"/>
      <c r="D751" s="28"/>
      <c r="E751" s="28"/>
      <c r="F751" s="28"/>
      <c r="G751" s="26" t="str">
        <f t="shared" si="88"/>
        <v/>
      </c>
      <c r="H751" s="26" t="str">
        <f t="shared" si="95"/>
        <v/>
      </c>
      <c r="I751" s="26" t="str">
        <f t="shared" si="89"/>
        <v/>
      </c>
      <c r="J751" t="str">
        <f t="shared" si="90"/>
        <v/>
      </c>
      <c r="K751" s="26" t="str">
        <f t="shared" si="91"/>
        <v/>
      </c>
      <c r="L751" s="26" t="str">
        <f t="shared" si="92"/>
        <v/>
      </c>
      <c r="P751" t="e">
        <f t="shared" si="93"/>
        <v>#N/A</v>
      </c>
      <c r="Q751" t="e">
        <f t="shared" si="94"/>
        <v>#N/A</v>
      </c>
    </row>
    <row r="752" spans="1:17">
      <c r="A752" s="28"/>
      <c r="B752" s="28"/>
      <c r="C752" s="28"/>
      <c r="D752" s="28"/>
      <c r="E752" s="28"/>
      <c r="F752" s="28"/>
      <c r="G752" s="26" t="str">
        <f t="shared" si="88"/>
        <v/>
      </c>
      <c r="H752" s="26" t="str">
        <f t="shared" si="95"/>
        <v/>
      </c>
      <c r="I752" s="26" t="str">
        <f t="shared" si="89"/>
        <v/>
      </c>
      <c r="J752" t="str">
        <f t="shared" si="90"/>
        <v/>
      </c>
      <c r="K752" s="26" t="str">
        <f t="shared" si="91"/>
        <v/>
      </c>
      <c r="L752" s="26" t="str">
        <f t="shared" si="92"/>
        <v/>
      </c>
      <c r="P752" t="e">
        <f t="shared" si="93"/>
        <v>#N/A</v>
      </c>
      <c r="Q752" t="e">
        <f t="shared" si="94"/>
        <v>#N/A</v>
      </c>
    </row>
    <row r="753" spans="1:17">
      <c r="A753" s="28"/>
      <c r="B753" s="28"/>
      <c r="C753" s="28"/>
      <c r="D753" s="28"/>
      <c r="E753" s="28"/>
      <c r="F753" s="28"/>
      <c r="G753" s="26" t="str">
        <f t="shared" si="88"/>
        <v/>
      </c>
      <c r="H753" s="26" t="str">
        <f t="shared" si="95"/>
        <v/>
      </c>
      <c r="I753" s="26" t="str">
        <f t="shared" si="89"/>
        <v/>
      </c>
      <c r="J753" t="str">
        <f t="shared" si="90"/>
        <v/>
      </c>
      <c r="K753" s="26" t="str">
        <f t="shared" si="91"/>
        <v/>
      </c>
      <c r="L753" s="26" t="str">
        <f t="shared" si="92"/>
        <v/>
      </c>
      <c r="P753" t="e">
        <f t="shared" si="93"/>
        <v>#N/A</v>
      </c>
      <c r="Q753" t="e">
        <f t="shared" si="94"/>
        <v>#N/A</v>
      </c>
    </row>
    <row r="754" spans="1:17">
      <c r="A754" s="28"/>
      <c r="B754" s="28"/>
      <c r="C754" s="28"/>
      <c r="D754" s="28"/>
      <c r="E754" s="28"/>
      <c r="F754" s="28"/>
      <c r="G754" s="26" t="str">
        <f t="shared" si="88"/>
        <v/>
      </c>
      <c r="H754" s="26" t="str">
        <f t="shared" si="95"/>
        <v/>
      </c>
      <c r="I754" s="26" t="str">
        <f t="shared" si="89"/>
        <v/>
      </c>
      <c r="J754" t="str">
        <f t="shared" si="90"/>
        <v/>
      </c>
      <c r="K754" s="26" t="str">
        <f t="shared" si="91"/>
        <v/>
      </c>
      <c r="L754" s="26" t="str">
        <f t="shared" si="92"/>
        <v/>
      </c>
      <c r="P754" t="e">
        <f t="shared" si="93"/>
        <v>#N/A</v>
      </c>
      <c r="Q754" t="e">
        <f t="shared" si="94"/>
        <v>#N/A</v>
      </c>
    </row>
    <row r="755" spans="1:17">
      <c r="A755" s="28"/>
      <c r="B755" s="28"/>
      <c r="C755" s="28"/>
      <c r="D755" s="28"/>
      <c r="E755" s="28"/>
      <c r="F755" s="28"/>
      <c r="G755" s="26" t="str">
        <f t="shared" si="88"/>
        <v/>
      </c>
      <c r="H755" s="26" t="str">
        <f t="shared" si="95"/>
        <v/>
      </c>
      <c r="I755" s="26" t="str">
        <f t="shared" si="89"/>
        <v/>
      </c>
      <c r="J755" t="str">
        <f t="shared" si="90"/>
        <v/>
      </c>
      <c r="K755" s="26" t="str">
        <f t="shared" si="91"/>
        <v/>
      </c>
      <c r="L755" s="26" t="str">
        <f t="shared" si="92"/>
        <v/>
      </c>
      <c r="P755" t="e">
        <f t="shared" si="93"/>
        <v>#N/A</v>
      </c>
      <c r="Q755" t="e">
        <f t="shared" si="94"/>
        <v>#N/A</v>
      </c>
    </row>
    <row r="756" spans="1:17">
      <c r="A756" s="28"/>
      <c r="B756" s="28"/>
      <c r="C756" s="28"/>
      <c r="D756" s="28"/>
      <c r="E756" s="28"/>
      <c r="F756" s="28"/>
      <c r="G756" s="26" t="str">
        <f t="shared" si="88"/>
        <v/>
      </c>
      <c r="H756" s="26" t="str">
        <f t="shared" si="95"/>
        <v/>
      </c>
      <c r="I756" s="26" t="str">
        <f t="shared" si="89"/>
        <v/>
      </c>
      <c r="J756" t="str">
        <f t="shared" si="90"/>
        <v/>
      </c>
      <c r="K756" s="26" t="str">
        <f t="shared" si="91"/>
        <v/>
      </c>
      <c r="L756" s="26" t="str">
        <f t="shared" si="92"/>
        <v/>
      </c>
      <c r="P756" t="e">
        <f t="shared" si="93"/>
        <v>#N/A</v>
      </c>
      <c r="Q756" t="e">
        <f t="shared" si="94"/>
        <v>#N/A</v>
      </c>
    </row>
    <row r="757" spans="1:17">
      <c r="A757" s="28"/>
      <c r="B757" s="28"/>
      <c r="C757" s="28"/>
      <c r="D757" s="28"/>
      <c r="E757" s="28"/>
      <c r="F757" s="28"/>
      <c r="G757" s="26" t="str">
        <f t="shared" si="88"/>
        <v/>
      </c>
      <c r="H757" s="26" t="str">
        <f t="shared" si="95"/>
        <v/>
      </c>
      <c r="I757" s="26" t="str">
        <f t="shared" si="89"/>
        <v/>
      </c>
      <c r="J757" t="str">
        <f t="shared" si="90"/>
        <v/>
      </c>
      <c r="K757" s="26" t="str">
        <f t="shared" si="91"/>
        <v/>
      </c>
      <c r="L757" s="26" t="str">
        <f t="shared" si="92"/>
        <v/>
      </c>
      <c r="P757" t="e">
        <f t="shared" si="93"/>
        <v>#N/A</v>
      </c>
      <c r="Q757" t="e">
        <f t="shared" si="94"/>
        <v>#N/A</v>
      </c>
    </row>
    <row r="758" spans="1:17">
      <c r="A758" s="28"/>
      <c r="B758" s="28"/>
      <c r="C758" s="28"/>
      <c r="D758" s="28"/>
      <c r="E758" s="28"/>
      <c r="F758" s="28"/>
      <c r="G758" s="26" t="str">
        <f t="shared" si="88"/>
        <v/>
      </c>
      <c r="H758" s="26" t="str">
        <f t="shared" si="95"/>
        <v/>
      </c>
      <c r="I758" s="26" t="str">
        <f t="shared" si="89"/>
        <v/>
      </c>
      <c r="J758" t="str">
        <f t="shared" si="90"/>
        <v/>
      </c>
      <c r="K758" s="26" t="str">
        <f t="shared" si="91"/>
        <v/>
      </c>
      <c r="L758" s="26" t="str">
        <f t="shared" si="92"/>
        <v/>
      </c>
      <c r="P758" t="e">
        <f t="shared" si="93"/>
        <v>#N/A</v>
      </c>
      <c r="Q758" t="e">
        <f t="shared" si="94"/>
        <v>#N/A</v>
      </c>
    </row>
    <row r="759" spans="1:17">
      <c r="A759" s="28"/>
      <c r="B759" s="28"/>
      <c r="C759" s="28"/>
      <c r="D759" s="28"/>
      <c r="E759" s="28"/>
      <c r="F759" s="28"/>
      <c r="G759" s="26" t="str">
        <f t="shared" si="88"/>
        <v/>
      </c>
      <c r="H759" s="26" t="str">
        <f t="shared" si="95"/>
        <v/>
      </c>
      <c r="I759" s="26" t="str">
        <f t="shared" si="89"/>
        <v/>
      </c>
      <c r="J759" t="str">
        <f t="shared" si="90"/>
        <v/>
      </c>
      <c r="K759" s="26" t="str">
        <f t="shared" si="91"/>
        <v/>
      </c>
      <c r="L759" s="26" t="str">
        <f t="shared" si="92"/>
        <v/>
      </c>
      <c r="P759" t="e">
        <f t="shared" si="93"/>
        <v>#N/A</v>
      </c>
      <c r="Q759" t="e">
        <f t="shared" si="94"/>
        <v>#N/A</v>
      </c>
    </row>
    <row r="760" spans="1:17">
      <c r="A760" s="28"/>
      <c r="B760" s="28"/>
      <c r="C760" s="28"/>
      <c r="D760" s="28"/>
      <c r="E760" s="28"/>
      <c r="F760" s="28"/>
      <c r="G760" s="26" t="str">
        <f t="shared" si="88"/>
        <v/>
      </c>
      <c r="H760" s="26" t="str">
        <f t="shared" si="95"/>
        <v/>
      </c>
      <c r="I760" s="26" t="str">
        <f t="shared" si="89"/>
        <v/>
      </c>
      <c r="J760" t="str">
        <f t="shared" si="90"/>
        <v/>
      </c>
      <c r="K760" s="26" t="str">
        <f t="shared" si="91"/>
        <v/>
      </c>
      <c r="L760" s="26" t="str">
        <f t="shared" si="92"/>
        <v/>
      </c>
      <c r="P760" t="e">
        <f t="shared" si="93"/>
        <v>#N/A</v>
      </c>
      <c r="Q760" t="e">
        <f t="shared" si="94"/>
        <v>#N/A</v>
      </c>
    </row>
    <row r="761" spans="1:17">
      <c r="A761" s="28"/>
      <c r="B761" s="28"/>
      <c r="C761" s="28"/>
      <c r="D761" s="28"/>
      <c r="E761" s="28"/>
      <c r="F761" s="28"/>
      <c r="G761" s="26" t="str">
        <f t="shared" si="88"/>
        <v/>
      </c>
      <c r="H761" s="26" t="str">
        <f t="shared" si="95"/>
        <v/>
      </c>
      <c r="I761" s="26" t="str">
        <f t="shared" si="89"/>
        <v/>
      </c>
      <c r="J761" t="str">
        <f t="shared" si="90"/>
        <v/>
      </c>
      <c r="K761" s="26" t="str">
        <f t="shared" si="91"/>
        <v/>
      </c>
      <c r="L761" s="26" t="str">
        <f t="shared" si="92"/>
        <v/>
      </c>
      <c r="P761" t="e">
        <f t="shared" si="93"/>
        <v>#N/A</v>
      </c>
      <c r="Q761" t="e">
        <f t="shared" si="94"/>
        <v>#N/A</v>
      </c>
    </row>
    <row r="762" spans="1:17">
      <c r="A762" s="28"/>
      <c r="B762" s="28"/>
      <c r="C762" s="28"/>
      <c r="D762" s="28"/>
      <c r="E762" s="28"/>
      <c r="F762" s="28"/>
      <c r="G762" s="26" t="str">
        <f t="shared" si="88"/>
        <v/>
      </c>
      <c r="H762" s="26" t="str">
        <f t="shared" si="95"/>
        <v/>
      </c>
      <c r="I762" s="26" t="str">
        <f t="shared" si="89"/>
        <v/>
      </c>
      <c r="J762" t="str">
        <f t="shared" si="90"/>
        <v/>
      </c>
      <c r="K762" s="26" t="str">
        <f t="shared" si="91"/>
        <v/>
      </c>
      <c r="L762" s="26" t="str">
        <f t="shared" si="92"/>
        <v/>
      </c>
      <c r="P762" t="e">
        <f t="shared" si="93"/>
        <v>#N/A</v>
      </c>
      <c r="Q762" t="e">
        <f t="shared" si="94"/>
        <v>#N/A</v>
      </c>
    </row>
    <row r="763" spans="1:17">
      <c r="A763" s="28"/>
      <c r="B763" s="28"/>
      <c r="C763" s="28"/>
      <c r="D763" s="28"/>
      <c r="E763" s="28"/>
      <c r="F763" s="28"/>
      <c r="G763" s="26" t="str">
        <f t="shared" si="88"/>
        <v/>
      </c>
      <c r="H763" s="26" t="str">
        <f t="shared" si="95"/>
        <v/>
      </c>
      <c r="I763" s="26" t="str">
        <f t="shared" si="89"/>
        <v/>
      </c>
      <c r="J763" t="str">
        <f t="shared" si="90"/>
        <v/>
      </c>
      <c r="K763" s="26" t="str">
        <f t="shared" si="91"/>
        <v/>
      </c>
      <c r="L763" s="26" t="str">
        <f t="shared" si="92"/>
        <v/>
      </c>
      <c r="P763" t="e">
        <f t="shared" si="93"/>
        <v>#N/A</v>
      </c>
      <c r="Q763" t="e">
        <f t="shared" si="94"/>
        <v>#N/A</v>
      </c>
    </row>
    <row r="764" spans="1:17">
      <c r="A764" s="28"/>
      <c r="B764" s="28"/>
      <c r="C764" s="28"/>
      <c r="D764" s="28"/>
      <c r="E764" s="28"/>
      <c r="F764" s="28"/>
      <c r="G764" s="26" t="str">
        <f t="shared" si="88"/>
        <v/>
      </c>
      <c r="H764" s="26" t="str">
        <f t="shared" si="95"/>
        <v/>
      </c>
      <c r="I764" s="26" t="str">
        <f t="shared" si="89"/>
        <v/>
      </c>
      <c r="J764" t="str">
        <f t="shared" si="90"/>
        <v/>
      </c>
      <c r="K764" s="26" t="str">
        <f t="shared" si="91"/>
        <v/>
      </c>
      <c r="L764" s="26" t="str">
        <f t="shared" si="92"/>
        <v/>
      </c>
      <c r="P764" t="e">
        <f t="shared" si="93"/>
        <v>#N/A</v>
      </c>
      <c r="Q764" t="e">
        <f t="shared" si="94"/>
        <v>#N/A</v>
      </c>
    </row>
    <row r="765" spans="1:17">
      <c r="A765" s="28"/>
      <c r="B765" s="28"/>
      <c r="C765" s="28"/>
      <c r="D765" s="28"/>
      <c r="E765" s="28"/>
      <c r="F765" s="28"/>
      <c r="G765" s="26" t="str">
        <f t="shared" si="88"/>
        <v/>
      </c>
      <c r="H765" s="26" t="str">
        <f t="shared" si="95"/>
        <v/>
      </c>
      <c r="I765" s="26" t="str">
        <f t="shared" si="89"/>
        <v/>
      </c>
      <c r="J765" t="str">
        <f t="shared" si="90"/>
        <v/>
      </c>
      <c r="K765" s="26" t="str">
        <f t="shared" si="91"/>
        <v/>
      </c>
      <c r="L765" s="26" t="str">
        <f t="shared" si="92"/>
        <v/>
      </c>
      <c r="P765" t="e">
        <f t="shared" si="93"/>
        <v>#N/A</v>
      </c>
      <c r="Q765" t="e">
        <f t="shared" si="94"/>
        <v>#N/A</v>
      </c>
    </row>
    <row r="766" spans="1:17">
      <c r="A766" s="28"/>
      <c r="B766" s="28"/>
      <c r="C766" s="28"/>
      <c r="D766" s="28"/>
      <c r="E766" s="28"/>
      <c r="F766" s="28"/>
      <c r="G766" s="26" t="str">
        <f t="shared" si="88"/>
        <v/>
      </c>
      <c r="H766" s="26" t="str">
        <f t="shared" si="95"/>
        <v/>
      </c>
      <c r="I766" s="26" t="str">
        <f t="shared" si="89"/>
        <v/>
      </c>
      <c r="J766" t="str">
        <f t="shared" si="90"/>
        <v/>
      </c>
      <c r="K766" s="26" t="str">
        <f t="shared" si="91"/>
        <v/>
      </c>
      <c r="L766" s="26" t="str">
        <f t="shared" si="92"/>
        <v/>
      </c>
      <c r="P766" t="e">
        <f t="shared" si="93"/>
        <v>#N/A</v>
      </c>
      <c r="Q766" t="e">
        <f t="shared" si="94"/>
        <v>#N/A</v>
      </c>
    </row>
    <row r="767" spans="1:17">
      <c r="A767" s="28"/>
      <c r="B767" s="28"/>
      <c r="C767" s="28"/>
      <c r="D767" s="28"/>
      <c r="E767" s="28"/>
      <c r="F767" s="28"/>
      <c r="G767" s="26" t="str">
        <f t="shared" si="88"/>
        <v/>
      </c>
      <c r="H767" s="26" t="str">
        <f t="shared" si="95"/>
        <v/>
      </c>
      <c r="I767" s="26" t="str">
        <f t="shared" si="89"/>
        <v/>
      </c>
      <c r="J767" t="str">
        <f t="shared" si="90"/>
        <v/>
      </c>
      <c r="K767" s="26" t="str">
        <f t="shared" si="91"/>
        <v/>
      </c>
      <c r="L767" s="26" t="str">
        <f t="shared" si="92"/>
        <v/>
      </c>
      <c r="P767" t="e">
        <f t="shared" si="93"/>
        <v>#N/A</v>
      </c>
      <c r="Q767" t="e">
        <f t="shared" si="94"/>
        <v>#N/A</v>
      </c>
    </row>
    <row r="768" spans="1:17">
      <c r="A768" s="28"/>
      <c r="B768" s="28"/>
      <c r="C768" s="28"/>
      <c r="D768" s="28"/>
      <c r="E768" s="28"/>
      <c r="F768" s="28"/>
      <c r="G768" s="26" t="str">
        <f t="shared" si="88"/>
        <v/>
      </c>
      <c r="H768" s="26" t="str">
        <f t="shared" si="95"/>
        <v/>
      </c>
      <c r="I768" s="26" t="str">
        <f t="shared" si="89"/>
        <v/>
      </c>
      <c r="J768" t="str">
        <f t="shared" si="90"/>
        <v/>
      </c>
      <c r="K768" s="26" t="str">
        <f t="shared" si="91"/>
        <v/>
      </c>
      <c r="L768" s="26" t="str">
        <f t="shared" si="92"/>
        <v/>
      </c>
      <c r="P768" t="e">
        <f t="shared" si="93"/>
        <v>#N/A</v>
      </c>
      <c r="Q768" t="e">
        <f t="shared" si="94"/>
        <v>#N/A</v>
      </c>
    </row>
    <row r="769" spans="1:17">
      <c r="A769" s="28"/>
      <c r="B769" s="28"/>
      <c r="C769" s="28"/>
      <c r="D769" s="28"/>
      <c r="E769" s="28"/>
      <c r="F769" s="28"/>
      <c r="G769" s="26" t="str">
        <f t="shared" si="88"/>
        <v/>
      </c>
      <c r="H769" s="26" t="str">
        <f t="shared" si="95"/>
        <v/>
      </c>
      <c r="I769" s="26" t="str">
        <f t="shared" si="89"/>
        <v/>
      </c>
      <c r="J769" t="str">
        <f t="shared" si="90"/>
        <v/>
      </c>
      <c r="K769" s="26" t="str">
        <f t="shared" si="91"/>
        <v/>
      </c>
      <c r="L769" s="26" t="str">
        <f t="shared" si="92"/>
        <v/>
      </c>
      <c r="P769" t="e">
        <f t="shared" si="93"/>
        <v>#N/A</v>
      </c>
      <c r="Q769" t="e">
        <f t="shared" si="94"/>
        <v>#N/A</v>
      </c>
    </row>
    <row r="770" spans="1:17">
      <c r="A770" s="28"/>
      <c r="B770" s="28"/>
      <c r="C770" s="28"/>
      <c r="D770" s="28"/>
      <c r="E770" s="28"/>
      <c r="F770" s="28"/>
      <c r="G770" s="26" t="str">
        <f t="shared" ref="G770:G833" si="96">IF(B770="","",243.04*(LN(C770/100)+17.625*B770/(243.04+B770))/(17.625-LN(C770/100)-17.625*B770/(243.04+B770)))</f>
        <v/>
      </c>
      <c r="H770" s="26" t="str">
        <f t="shared" si="95"/>
        <v/>
      </c>
      <c r="I770" s="26" t="str">
        <f t="shared" ref="I770:I833" si="97">IF(B770="","",B770-E770)</f>
        <v/>
      </c>
      <c r="J770" t="str">
        <f t="shared" ref="J770:J833" si="98">IF(H770="","",IF(H770&gt;0.6,"Heating",IF(H770&lt;-0.2,"Cooling","Steady")))</f>
        <v/>
      </c>
      <c r="K770" s="26" t="str">
        <f t="shared" ref="K770:K833" si="99">IF(J770="Cooling",I770,"")</f>
        <v/>
      </c>
      <c r="L770" s="26" t="str">
        <f t="shared" ref="L770:L833" si="100">IF(J770="Cooling",H770,"")</f>
        <v/>
      </c>
      <c r="P770" t="e">
        <f t="shared" ref="P770:P833" si="101">IF(K770="",NA(),K770)</f>
        <v>#N/A</v>
      </c>
      <c r="Q770" t="e">
        <f t="shared" ref="Q770:Q833" si="102">IF(L770="",NA(),L770)</f>
        <v>#N/A</v>
      </c>
    </row>
    <row r="771" spans="1:17">
      <c r="A771" s="28"/>
      <c r="B771" s="28"/>
      <c r="C771" s="28"/>
      <c r="D771" s="28"/>
      <c r="E771" s="28"/>
      <c r="F771" s="28"/>
      <c r="G771" s="26" t="str">
        <f t="shared" si="96"/>
        <v/>
      </c>
      <c r="H771" s="26" t="str">
        <f t="shared" si="95"/>
        <v/>
      </c>
      <c r="I771" s="26" t="str">
        <f t="shared" si="97"/>
        <v/>
      </c>
      <c r="J771" t="str">
        <f t="shared" si="98"/>
        <v/>
      </c>
      <c r="K771" s="26" t="str">
        <f t="shared" si="99"/>
        <v/>
      </c>
      <c r="L771" s="26" t="str">
        <f t="shared" si="100"/>
        <v/>
      </c>
      <c r="P771" t="e">
        <f t="shared" si="101"/>
        <v>#N/A</v>
      </c>
      <c r="Q771" t="e">
        <f t="shared" si="102"/>
        <v>#N/A</v>
      </c>
    </row>
    <row r="772" spans="1:17">
      <c r="A772" s="28"/>
      <c r="B772" s="28"/>
      <c r="C772" s="28"/>
      <c r="D772" s="28"/>
      <c r="E772" s="28"/>
      <c r="F772" s="28"/>
      <c r="G772" s="26" t="str">
        <f t="shared" si="96"/>
        <v/>
      </c>
      <c r="H772" s="26" t="str">
        <f t="shared" ref="H772:H835" si="103">IFERROR(IF(OR(B770="",B774=""),"",(B774-B770)/4*60),"")</f>
        <v/>
      </c>
      <c r="I772" s="26" t="str">
        <f t="shared" si="97"/>
        <v/>
      </c>
      <c r="J772" t="str">
        <f t="shared" si="98"/>
        <v/>
      </c>
      <c r="K772" s="26" t="str">
        <f t="shared" si="99"/>
        <v/>
      </c>
      <c r="L772" s="26" t="str">
        <f t="shared" si="100"/>
        <v/>
      </c>
      <c r="P772" t="e">
        <f t="shared" si="101"/>
        <v>#N/A</v>
      </c>
      <c r="Q772" t="e">
        <f t="shared" si="102"/>
        <v>#N/A</v>
      </c>
    </row>
    <row r="773" spans="1:17">
      <c r="A773" s="28"/>
      <c r="B773" s="28"/>
      <c r="C773" s="28"/>
      <c r="D773" s="28"/>
      <c r="E773" s="28"/>
      <c r="F773" s="28"/>
      <c r="G773" s="26" t="str">
        <f t="shared" si="96"/>
        <v/>
      </c>
      <c r="H773" s="26" t="str">
        <f t="shared" si="103"/>
        <v/>
      </c>
      <c r="I773" s="26" t="str">
        <f t="shared" si="97"/>
        <v/>
      </c>
      <c r="J773" t="str">
        <f t="shared" si="98"/>
        <v/>
      </c>
      <c r="K773" s="26" t="str">
        <f t="shared" si="99"/>
        <v/>
      </c>
      <c r="L773" s="26" t="str">
        <f t="shared" si="100"/>
        <v/>
      </c>
      <c r="P773" t="e">
        <f t="shared" si="101"/>
        <v>#N/A</v>
      </c>
      <c r="Q773" t="e">
        <f t="shared" si="102"/>
        <v>#N/A</v>
      </c>
    </row>
    <row r="774" spans="1:17">
      <c r="A774" s="28"/>
      <c r="B774" s="28"/>
      <c r="C774" s="28"/>
      <c r="D774" s="28"/>
      <c r="E774" s="28"/>
      <c r="F774" s="28"/>
      <c r="G774" s="26" t="str">
        <f t="shared" si="96"/>
        <v/>
      </c>
      <c r="H774" s="26" t="str">
        <f t="shared" si="103"/>
        <v/>
      </c>
      <c r="I774" s="26" t="str">
        <f t="shared" si="97"/>
        <v/>
      </c>
      <c r="J774" t="str">
        <f t="shared" si="98"/>
        <v/>
      </c>
      <c r="K774" s="26" t="str">
        <f t="shared" si="99"/>
        <v/>
      </c>
      <c r="L774" s="26" t="str">
        <f t="shared" si="100"/>
        <v/>
      </c>
      <c r="P774" t="e">
        <f t="shared" si="101"/>
        <v>#N/A</v>
      </c>
      <c r="Q774" t="e">
        <f t="shared" si="102"/>
        <v>#N/A</v>
      </c>
    </row>
    <row r="775" spans="1:17">
      <c r="A775" s="28"/>
      <c r="B775" s="28"/>
      <c r="C775" s="28"/>
      <c r="D775" s="28"/>
      <c r="E775" s="28"/>
      <c r="F775" s="28"/>
      <c r="G775" s="26" t="str">
        <f t="shared" si="96"/>
        <v/>
      </c>
      <c r="H775" s="26" t="str">
        <f t="shared" si="103"/>
        <v/>
      </c>
      <c r="I775" s="26" t="str">
        <f t="shared" si="97"/>
        <v/>
      </c>
      <c r="J775" t="str">
        <f t="shared" si="98"/>
        <v/>
      </c>
      <c r="K775" s="26" t="str">
        <f t="shared" si="99"/>
        <v/>
      </c>
      <c r="L775" s="26" t="str">
        <f t="shared" si="100"/>
        <v/>
      </c>
      <c r="P775" t="e">
        <f t="shared" si="101"/>
        <v>#N/A</v>
      </c>
      <c r="Q775" t="e">
        <f t="shared" si="102"/>
        <v>#N/A</v>
      </c>
    </row>
    <row r="776" spans="1:17">
      <c r="A776" s="28"/>
      <c r="B776" s="28"/>
      <c r="C776" s="28"/>
      <c r="D776" s="28"/>
      <c r="E776" s="28"/>
      <c r="F776" s="28"/>
      <c r="G776" s="26" t="str">
        <f t="shared" si="96"/>
        <v/>
      </c>
      <c r="H776" s="26" t="str">
        <f t="shared" si="103"/>
        <v/>
      </c>
      <c r="I776" s="26" t="str">
        <f t="shared" si="97"/>
        <v/>
      </c>
      <c r="J776" t="str">
        <f t="shared" si="98"/>
        <v/>
      </c>
      <c r="K776" s="26" t="str">
        <f t="shared" si="99"/>
        <v/>
      </c>
      <c r="L776" s="26" t="str">
        <f t="shared" si="100"/>
        <v/>
      </c>
      <c r="P776" t="e">
        <f t="shared" si="101"/>
        <v>#N/A</v>
      </c>
      <c r="Q776" t="e">
        <f t="shared" si="102"/>
        <v>#N/A</v>
      </c>
    </row>
    <row r="777" spans="1:17">
      <c r="A777" s="28"/>
      <c r="B777" s="28"/>
      <c r="C777" s="28"/>
      <c r="D777" s="28"/>
      <c r="E777" s="28"/>
      <c r="F777" s="28"/>
      <c r="G777" s="26" t="str">
        <f t="shared" si="96"/>
        <v/>
      </c>
      <c r="H777" s="26" t="str">
        <f t="shared" si="103"/>
        <v/>
      </c>
      <c r="I777" s="26" t="str">
        <f t="shared" si="97"/>
        <v/>
      </c>
      <c r="J777" t="str">
        <f t="shared" si="98"/>
        <v/>
      </c>
      <c r="K777" s="26" t="str">
        <f t="shared" si="99"/>
        <v/>
      </c>
      <c r="L777" s="26" t="str">
        <f t="shared" si="100"/>
        <v/>
      </c>
      <c r="P777" t="e">
        <f t="shared" si="101"/>
        <v>#N/A</v>
      </c>
      <c r="Q777" t="e">
        <f t="shared" si="102"/>
        <v>#N/A</v>
      </c>
    </row>
    <row r="778" spans="1:17">
      <c r="A778" s="28"/>
      <c r="B778" s="28"/>
      <c r="C778" s="28"/>
      <c r="D778" s="28"/>
      <c r="E778" s="28"/>
      <c r="F778" s="28"/>
      <c r="G778" s="26" t="str">
        <f t="shared" si="96"/>
        <v/>
      </c>
      <c r="H778" s="26" t="str">
        <f t="shared" si="103"/>
        <v/>
      </c>
      <c r="I778" s="26" t="str">
        <f t="shared" si="97"/>
        <v/>
      </c>
      <c r="J778" t="str">
        <f t="shared" si="98"/>
        <v/>
      </c>
      <c r="K778" s="26" t="str">
        <f t="shared" si="99"/>
        <v/>
      </c>
      <c r="L778" s="26" t="str">
        <f t="shared" si="100"/>
        <v/>
      </c>
      <c r="P778" t="e">
        <f t="shared" si="101"/>
        <v>#N/A</v>
      </c>
      <c r="Q778" t="e">
        <f t="shared" si="102"/>
        <v>#N/A</v>
      </c>
    </row>
    <row r="779" spans="1:17">
      <c r="A779" s="28"/>
      <c r="B779" s="28"/>
      <c r="C779" s="28"/>
      <c r="D779" s="28"/>
      <c r="E779" s="28"/>
      <c r="F779" s="28"/>
      <c r="G779" s="26" t="str">
        <f t="shared" si="96"/>
        <v/>
      </c>
      <c r="H779" s="26" t="str">
        <f t="shared" si="103"/>
        <v/>
      </c>
      <c r="I779" s="26" t="str">
        <f t="shared" si="97"/>
        <v/>
      </c>
      <c r="J779" t="str">
        <f t="shared" si="98"/>
        <v/>
      </c>
      <c r="K779" s="26" t="str">
        <f t="shared" si="99"/>
        <v/>
      </c>
      <c r="L779" s="26" t="str">
        <f t="shared" si="100"/>
        <v/>
      </c>
      <c r="P779" t="e">
        <f t="shared" si="101"/>
        <v>#N/A</v>
      </c>
      <c r="Q779" t="e">
        <f t="shared" si="102"/>
        <v>#N/A</v>
      </c>
    </row>
    <row r="780" spans="1:17">
      <c r="A780" s="28"/>
      <c r="B780" s="28"/>
      <c r="C780" s="28"/>
      <c r="D780" s="28"/>
      <c r="E780" s="28"/>
      <c r="F780" s="28"/>
      <c r="G780" s="26" t="str">
        <f t="shared" si="96"/>
        <v/>
      </c>
      <c r="H780" s="26" t="str">
        <f t="shared" si="103"/>
        <v/>
      </c>
      <c r="I780" s="26" t="str">
        <f t="shared" si="97"/>
        <v/>
      </c>
      <c r="J780" t="str">
        <f t="shared" si="98"/>
        <v/>
      </c>
      <c r="K780" s="26" t="str">
        <f t="shared" si="99"/>
        <v/>
      </c>
      <c r="L780" s="26" t="str">
        <f t="shared" si="100"/>
        <v/>
      </c>
      <c r="P780" t="e">
        <f t="shared" si="101"/>
        <v>#N/A</v>
      </c>
      <c r="Q780" t="e">
        <f t="shared" si="102"/>
        <v>#N/A</v>
      </c>
    </row>
    <row r="781" spans="1:17">
      <c r="A781" s="28"/>
      <c r="B781" s="28"/>
      <c r="C781" s="28"/>
      <c r="D781" s="28"/>
      <c r="E781" s="28"/>
      <c r="F781" s="28"/>
      <c r="G781" s="26" t="str">
        <f t="shared" si="96"/>
        <v/>
      </c>
      <c r="H781" s="26" t="str">
        <f t="shared" si="103"/>
        <v/>
      </c>
      <c r="I781" s="26" t="str">
        <f t="shared" si="97"/>
        <v/>
      </c>
      <c r="J781" t="str">
        <f t="shared" si="98"/>
        <v/>
      </c>
      <c r="K781" s="26" t="str">
        <f t="shared" si="99"/>
        <v/>
      </c>
      <c r="L781" s="26" t="str">
        <f t="shared" si="100"/>
        <v/>
      </c>
      <c r="P781" t="e">
        <f t="shared" si="101"/>
        <v>#N/A</v>
      </c>
      <c r="Q781" t="e">
        <f t="shared" si="102"/>
        <v>#N/A</v>
      </c>
    </row>
    <row r="782" spans="1:17">
      <c r="A782" s="28"/>
      <c r="B782" s="28"/>
      <c r="C782" s="28"/>
      <c r="D782" s="28"/>
      <c r="E782" s="28"/>
      <c r="F782" s="28"/>
      <c r="G782" s="26" t="str">
        <f t="shared" si="96"/>
        <v/>
      </c>
      <c r="H782" s="26" t="str">
        <f t="shared" si="103"/>
        <v/>
      </c>
      <c r="I782" s="26" t="str">
        <f t="shared" si="97"/>
        <v/>
      </c>
      <c r="J782" t="str">
        <f t="shared" si="98"/>
        <v/>
      </c>
      <c r="K782" s="26" t="str">
        <f t="shared" si="99"/>
        <v/>
      </c>
      <c r="L782" s="26" t="str">
        <f t="shared" si="100"/>
        <v/>
      </c>
      <c r="P782" t="e">
        <f t="shared" si="101"/>
        <v>#N/A</v>
      </c>
      <c r="Q782" t="e">
        <f t="shared" si="102"/>
        <v>#N/A</v>
      </c>
    </row>
    <row r="783" spans="1:17">
      <c r="A783" s="28"/>
      <c r="B783" s="28"/>
      <c r="C783" s="28"/>
      <c r="D783" s="28"/>
      <c r="E783" s="28"/>
      <c r="F783" s="28"/>
      <c r="G783" s="26" t="str">
        <f t="shared" si="96"/>
        <v/>
      </c>
      <c r="H783" s="26" t="str">
        <f t="shared" si="103"/>
        <v/>
      </c>
      <c r="I783" s="26" t="str">
        <f t="shared" si="97"/>
        <v/>
      </c>
      <c r="J783" t="str">
        <f t="shared" si="98"/>
        <v/>
      </c>
      <c r="K783" s="26" t="str">
        <f t="shared" si="99"/>
        <v/>
      </c>
      <c r="L783" s="26" t="str">
        <f t="shared" si="100"/>
        <v/>
      </c>
      <c r="P783" t="e">
        <f t="shared" si="101"/>
        <v>#N/A</v>
      </c>
      <c r="Q783" t="e">
        <f t="shared" si="102"/>
        <v>#N/A</v>
      </c>
    </row>
    <row r="784" spans="1:17">
      <c r="A784" s="28"/>
      <c r="B784" s="28"/>
      <c r="C784" s="28"/>
      <c r="D784" s="28"/>
      <c r="E784" s="28"/>
      <c r="F784" s="28"/>
      <c r="G784" s="26" t="str">
        <f t="shared" si="96"/>
        <v/>
      </c>
      <c r="H784" s="26" t="str">
        <f t="shared" si="103"/>
        <v/>
      </c>
      <c r="I784" s="26" t="str">
        <f t="shared" si="97"/>
        <v/>
      </c>
      <c r="J784" t="str">
        <f t="shared" si="98"/>
        <v/>
      </c>
      <c r="K784" s="26" t="str">
        <f t="shared" si="99"/>
        <v/>
      </c>
      <c r="L784" s="26" t="str">
        <f t="shared" si="100"/>
        <v/>
      </c>
      <c r="P784" t="e">
        <f t="shared" si="101"/>
        <v>#N/A</v>
      </c>
      <c r="Q784" t="e">
        <f t="shared" si="102"/>
        <v>#N/A</v>
      </c>
    </row>
    <row r="785" spans="1:17">
      <c r="A785" s="28"/>
      <c r="B785" s="28"/>
      <c r="C785" s="28"/>
      <c r="D785" s="28"/>
      <c r="E785" s="28"/>
      <c r="F785" s="28"/>
      <c r="G785" s="26" t="str">
        <f t="shared" si="96"/>
        <v/>
      </c>
      <c r="H785" s="26" t="str">
        <f t="shared" si="103"/>
        <v/>
      </c>
      <c r="I785" s="26" t="str">
        <f t="shared" si="97"/>
        <v/>
      </c>
      <c r="J785" t="str">
        <f t="shared" si="98"/>
        <v/>
      </c>
      <c r="K785" s="26" t="str">
        <f t="shared" si="99"/>
        <v/>
      </c>
      <c r="L785" s="26" t="str">
        <f t="shared" si="100"/>
        <v/>
      </c>
      <c r="P785" t="e">
        <f t="shared" si="101"/>
        <v>#N/A</v>
      </c>
      <c r="Q785" t="e">
        <f t="shared" si="102"/>
        <v>#N/A</v>
      </c>
    </row>
    <row r="786" spans="1:17">
      <c r="A786" s="28"/>
      <c r="B786" s="28"/>
      <c r="C786" s="28"/>
      <c r="D786" s="28"/>
      <c r="E786" s="28"/>
      <c r="F786" s="28"/>
      <c r="G786" s="26" t="str">
        <f t="shared" si="96"/>
        <v/>
      </c>
      <c r="H786" s="26" t="str">
        <f t="shared" si="103"/>
        <v/>
      </c>
      <c r="I786" s="26" t="str">
        <f t="shared" si="97"/>
        <v/>
      </c>
      <c r="J786" t="str">
        <f t="shared" si="98"/>
        <v/>
      </c>
      <c r="K786" s="26" t="str">
        <f t="shared" si="99"/>
        <v/>
      </c>
      <c r="L786" s="26" t="str">
        <f t="shared" si="100"/>
        <v/>
      </c>
      <c r="P786" t="e">
        <f t="shared" si="101"/>
        <v>#N/A</v>
      </c>
      <c r="Q786" t="e">
        <f t="shared" si="102"/>
        <v>#N/A</v>
      </c>
    </row>
    <row r="787" spans="1:17">
      <c r="A787" s="28"/>
      <c r="B787" s="28"/>
      <c r="C787" s="28"/>
      <c r="D787" s="28"/>
      <c r="E787" s="28"/>
      <c r="F787" s="28"/>
      <c r="G787" s="26" t="str">
        <f t="shared" si="96"/>
        <v/>
      </c>
      <c r="H787" s="26" t="str">
        <f t="shared" si="103"/>
        <v/>
      </c>
      <c r="I787" s="26" t="str">
        <f t="shared" si="97"/>
        <v/>
      </c>
      <c r="J787" t="str">
        <f t="shared" si="98"/>
        <v/>
      </c>
      <c r="K787" s="26" t="str">
        <f t="shared" si="99"/>
        <v/>
      </c>
      <c r="L787" s="26" t="str">
        <f t="shared" si="100"/>
        <v/>
      </c>
      <c r="P787" t="e">
        <f t="shared" si="101"/>
        <v>#N/A</v>
      </c>
      <c r="Q787" t="e">
        <f t="shared" si="102"/>
        <v>#N/A</v>
      </c>
    </row>
    <row r="788" spans="1:17">
      <c r="A788" s="28"/>
      <c r="B788" s="28"/>
      <c r="C788" s="28"/>
      <c r="D788" s="28"/>
      <c r="E788" s="28"/>
      <c r="F788" s="28"/>
      <c r="G788" s="26" t="str">
        <f t="shared" si="96"/>
        <v/>
      </c>
      <c r="H788" s="26" t="str">
        <f t="shared" si="103"/>
        <v/>
      </c>
      <c r="I788" s="26" t="str">
        <f t="shared" si="97"/>
        <v/>
      </c>
      <c r="J788" t="str">
        <f t="shared" si="98"/>
        <v/>
      </c>
      <c r="K788" s="26" t="str">
        <f t="shared" si="99"/>
        <v/>
      </c>
      <c r="L788" s="26" t="str">
        <f t="shared" si="100"/>
        <v/>
      </c>
      <c r="P788" t="e">
        <f t="shared" si="101"/>
        <v>#N/A</v>
      </c>
      <c r="Q788" t="e">
        <f t="shared" si="102"/>
        <v>#N/A</v>
      </c>
    </row>
    <row r="789" spans="1:17">
      <c r="A789" s="28"/>
      <c r="B789" s="28"/>
      <c r="C789" s="28"/>
      <c r="D789" s="28"/>
      <c r="E789" s="28"/>
      <c r="F789" s="28"/>
      <c r="G789" s="26" t="str">
        <f t="shared" si="96"/>
        <v/>
      </c>
      <c r="H789" s="26" t="str">
        <f t="shared" si="103"/>
        <v/>
      </c>
      <c r="I789" s="26" t="str">
        <f t="shared" si="97"/>
        <v/>
      </c>
      <c r="J789" t="str">
        <f t="shared" si="98"/>
        <v/>
      </c>
      <c r="K789" s="26" t="str">
        <f t="shared" si="99"/>
        <v/>
      </c>
      <c r="L789" s="26" t="str">
        <f t="shared" si="100"/>
        <v/>
      </c>
      <c r="P789" t="e">
        <f t="shared" si="101"/>
        <v>#N/A</v>
      </c>
      <c r="Q789" t="e">
        <f t="shared" si="102"/>
        <v>#N/A</v>
      </c>
    </row>
    <row r="790" spans="1:17">
      <c r="A790" s="28"/>
      <c r="B790" s="28"/>
      <c r="C790" s="28"/>
      <c r="D790" s="28"/>
      <c r="E790" s="28"/>
      <c r="F790" s="28"/>
      <c r="G790" s="26" t="str">
        <f t="shared" si="96"/>
        <v/>
      </c>
      <c r="H790" s="26" t="str">
        <f t="shared" si="103"/>
        <v/>
      </c>
      <c r="I790" s="26" t="str">
        <f t="shared" si="97"/>
        <v/>
      </c>
      <c r="J790" t="str">
        <f t="shared" si="98"/>
        <v/>
      </c>
      <c r="K790" s="26" t="str">
        <f t="shared" si="99"/>
        <v/>
      </c>
      <c r="L790" s="26" t="str">
        <f t="shared" si="100"/>
        <v/>
      </c>
      <c r="P790" t="e">
        <f t="shared" si="101"/>
        <v>#N/A</v>
      </c>
      <c r="Q790" t="e">
        <f t="shared" si="102"/>
        <v>#N/A</v>
      </c>
    </row>
    <row r="791" spans="1:17">
      <c r="A791" s="28"/>
      <c r="B791" s="28"/>
      <c r="C791" s="28"/>
      <c r="D791" s="28"/>
      <c r="E791" s="28"/>
      <c r="F791" s="28"/>
      <c r="G791" s="26" t="str">
        <f t="shared" si="96"/>
        <v/>
      </c>
      <c r="H791" s="26" t="str">
        <f t="shared" si="103"/>
        <v/>
      </c>
      <c r="I791" s="26" t="str">
        <f t="shared" si="97"/>
        <v/>
      </c>
      <c r="J791" t="str">
        <f t="shared" si="98"/>
        <v/>
      </c>
      <c r="K791" s="26" t="str">
        <f t="shared" si="99"/>
        <v/>
      </c>
      <c r="L791" s="26" t="str">
        <f t="shared" si="100"/>
        <v/>
      </c>
      <c r="P791" t="e">
        <f t="shared" si="101"/>
        <v>#N/A</v>
      </c>
      <c r="Q791" t="e">
        <f t="shared" si="102"/>
        <v>#N/A</v>
      </c>
    </row>
    <row r="792" spans="1:17">
      <c r="A792" s="28"/>
      <c r="B792" s="28"/>
      <c r="C792" s="28"/>
      <c r="D792" s="28"/>
      <c r="E792" s="28"/>
      <c r="F792" s="28"/>
      <c r="G792" s="26" t="str">
        <f t="shared" si="96"/>
        <v/>
      </c>
      <c r="H792" s="26" t="str">
        <f t="shared" si="103"/>
        <v/>
      </c>
      <c r="I792" s="26" t="str">
        <f t="shared" si="97"/>
        <v/>
      </c>
      <c r="J792" t="str">
        <f t="shared" si="98"/>
        <v/>
      </c>
      <c r="K792" s="26" t="str">
        <f t="shared" si="99"/>
        <v/>
      </c>
      <c r="L792" s="26" t="str">
        <f t="shared" si="100"/>
        <v/>
      </c>
      <c r="P792" t="e">
        <f t="shared" si="101"/>
        <v>#N/A</v>
      </c>
      <c r="Q792" t="e">
        <f t="shared" si="102"/>
        <v>#N/A</v>
      </c>
    </row>
    <row r="793" spans="1:17">
      <c r="A793" s="28"/>
      <c r="B793" s="28"/>
      <c r="C793" s="28"/>
      <c r="D793" s="28"/>
      <c r="E793" s="28"/>
      <c r="F793" s="28"/>
      <c r="G793" s="26" t="str">
        <f t="shared" si="96"/>
        <v/>
      </c>
      <c r="H793" s="26" t="str">
        <f t="shared" si="103"/>
        <v/>
      </c>
      <c r="I793" s="26" t="str">
        <f t="shared" si="97"/>
        <v/>
      </c>
      <c r="J793" t="str">
        <f t="shared" si="98"/>
        <v/>
      </c>
      <c r="K793" s="26" t="str">
        <f t="shared" si="99"/>
        <v/>
      </c>
      <c r="L793" s="26" t="str">
        <f t="shared" si="100"/>
        <v/>
      </c>
      <c r="P793" t="e">
        <f t="shared" si="101"/>
        <v>#N/A</v>
      </c>
      <c r="Q793" t="e">
        <f t="shared" si="102"/>
        <v>#N/A</v>
      </c>
    </row>
    <row r="794" spans="1:17">
      <c r="A794" s="28"/>
      <c r="B794" s="28"/>
      <c r="C794" s="28"/>
      <c r="D794" s="28"/>
      <c r="E794" s="28"/>
      <c r="F794" s="28"/>
      <c r="G794" s="26" t="str">
        <f t="shared" si="96"/>
        <v/>
      </c>
      <c r="H794" s="26" t="str">
        <f t="shared" si="103"/>
        <v/>
      </c>
      <c r="I794" s="26" t="str">
        <f t="shared" si="97"/>
        <v/>
      </c>
      <c r="J794" t="str">
        <f t="shared" si="98"/>
        <v/>
      </c>
      <c r="K794" s="26" t="str">
        <f t="shared" si="99"/>
        <v/>
      </c>
      <c r="L794" s="26" t="str">
        <f t="shared" si="100"/>
        <v/>
      </c>
      <c r="P794" t="e">
        <f t="shared" si="101"/>
        <v>#N/A</v>
      </c>
      <c r="Q794" t="e">
        <f t="shared" si="102"/>
        <v>#N/A</v>
      </c>
    </row>
    <row r="795" spans="1:17">
      <c r="A795" s="28"/>
      <c r="B795" s="28"/>
      <c r="C795" s="28"/>
      <c r="D795" s="28"/>
      <c r="E795" s="28"/>
      <c r="F795" s="28"/>
      <c r="G795" s="26" t="str">
        <f t="shared" si="96"/>
        <v/>
      </c>
      <c r="H795" s="26" t="str">
        <f t="shared" si="103"/>
        <v/>
      </c>
      <c r="I795" s="26" t="str">
        <f t="shared" si="97"/>
        <v/>
      </c>
      <c r="J795" t="str">
        <f t="shared" si="98"/>
        <v/>
      </c>
      <c r="K795" s="26" t="str">
        <f t="shared" si="99"/>
        <v/>
      </c>
      <c r="L795" s="26" t="str">
        <f t="shared" si="100"/>
        <v/>
      </c>
      <c r="P795" t="e">
        <f t="shared" si="101"/>
        <v>#N/A</v>
      </c>
      <c r="Q795" t="e">
        <f t="shared" si="102"/>
        <v>#N/A</v>
      </c>
    </row>
    <row r="796" spans="1:17">
      <c r="A796" s="28"/>
      <c r="B796" s="28"/>
      <c r="C796" s="28"/>
      <c r="D796" s="28"/>
      <c r="E796" s="28"/>
      <c r="F796" s="28"/>
      <c r="G796" s="26" t="str">
        <f t="shared" si="96"/>
        <v/>
      </c>
      <c r="H796" s="26" t="str">
        <f t="shared" si="103"/>
        <v/>
      </c>
      <c r="I796" s="26" t="str">
        <f t="shared" si="97"/>
        <v/>
      </c>
      <c r="J796" t="str">
        <f t="shared" si="98"/>
        <v/>
      </c>
      <c r="K796" s="26" t="str">
        <f t="shared" si="99"/>
        <v/>
      </c>
      <c r="L796" s="26" t="str">
        <f t="shared" si="100"/>
        <v/>
      </c>
      <c r="P796" t="e">
        <f t="shared" si="101"/>
        <v>#N/A</v>
      </c>
      <c r="Q796" t="e">
        <f t="shared" si="102"/>
        <v>#N/A</v>
      </c>
    </row>
    <row r="797" spans="1:17">
      <c r="A797" s="28"/>
      <c r="B797" s="28"/>
      <c r="C797" s="28"/>
      <c r="D797" s="28"/>
      <c r="E797" s="28"/>
      <c r="F797" s="28"/>
      <c r="G797" s="26" t="str">
        <f t="shared" si="96"/>
        <v/>
      </c>
      <c r="H797" s="26" t="str">
        <f t="shared" si="103"/>
        <v/>
      </c>
      <c r="I797" s="26" t="str">
        <f t="shared" si="97"/>
        <v/>
      </c>
      <c r="J797" t="str">
        <f t="shared" si="98"/>
        <v/>
      </c>
      <c r="K797" s="26" t="str">
        <f t="shared" si="99"/>
        <v/>
      </c>
      <c r="L797" s="26" t="str">
        <f t="shared" si="100"/>
        <v/>
      </c>
      <c r="P797" t="e">
        <f t="shared" si="101"/>
        <v>#N/A</v>
      </c>
      <c r="Q797" t="e">
        <f t="shared" si="102"/>
        <v>#N/A</v>
      </c>
    </row>
    <row r="798" spans="1:17">
      <c r="A798" s="28"/>
      <c r="B798" s="28"/>
      <c r="C798" s="28"/>
      <c r="D798" s="28"/>
      <c r="E798" s="28"/>
      <c r="F798" s="28"/>
      <c r="G798" s="26" t="str">
        <f t="shared" si="96"/>
        <v/>
      </c>
      <c r="H798" s="26" t="str">
        <f t="shared" si="103"/>
        <v/>
      </c>
      <c r="I798" s="26" t="str">
        <f t="shared" si="97"/>
        <v/>
      </c>
      <c r="J798" t="str">
        <f t="shared" si="98"/>
        <v/>
      </c>
      <c r="K798" s="26" t="str">
        <f t="shared" si="99"/>
        <v/>
      </c>
      <c r="L798" s="26" t="str">
        <f t="shared" si="100"/>
        <v/>
      </c>
      <c r="P798" t="e">
        <f t="shared" si="101"/>
        <v>#N/A</v>
      </c>
      <c r="Q798" t="e">
        <f t="shared" si="102"/>
        <v>#N/A</v>
      </c>
    </row>
    <row r="799" spans="1:17">
      <c r="A799" s="28"/>
      <c r="B799" s="28"/>
      <c r="C799" s="28"/>
      <c r="D799" s="28"/>
      <c r="E799" s="28"/>
      <c r="F799" s="28"/>
      <c r="G799" s="26" t="str">
        <f t="shared" si="96"/>
        <v/>
      </c>
      <c r="H799" s="26" t="str">
        <f t="shared" si="103"/>
        <v/>
      </c>
      <c r="I799" s="26" t="str">
        <f t="shared" si="97"/>
        <v/>
      </c>
      <c r="J799" t="str">
        <f t="shared" si="98"/>
        <v/>
      </c>
      <c r="K799" s="26" t="str">
        <f t="shared" si="99"/>
        <v/>
      </c>
      <c r="L799" s="26" t="str">
        <f t="shared" si="100"/>
        <v/>
      </c>
      <c r="P799" t="e">
        <f t="shared" si="101"/>
        <v>#N/A</v>
      </c>
      <c r="Q799" t="e">
        <f t="shared" si="102"/>
        <v>#N/A</v>
      </c>
    </row>
    <row r="800" spans="1:17">
      <c r="A800" s="28"/>
      <c r="B800" s="28"/>
      <c r="C800" s="28"/>
      <c r="D800" s="28"/>
      <c r="E800" s="28"/>
      <c r="F800" s="28"/>
      <c r="G800" s="26" t="str">
        <f t="shared" si="96"/>
        <v/>
      </c>
      <c r="H800" s="26" t="str">
        <f t="shared" si="103"/>
        <v/>
      </c>
      <c r="I800" s="26" t="str">
        <f t="shared" si="97"/>
        <v/>
      </c>
      <c r="J800" t="str">
        <f t="shared" si="98"/>
        <v/>
      </c>
      <c r="K800" s="26" t="str">
        <f t="shared" si="99"/>
        <v/>
      </c>
      <c r="L800" s="26" t="str">
        <f t="shared" si="100"/>
        <v/>
      </c>
      <c r="P800" t="e">
        <f t="shared" si="101"/>
        <v>#N/A</v>
      </c>
      <c r="Q800" t="e">
        <f t="shared" si="102"/>
        <v>#N/A</v>
      </c>
    </row>
    <row r="801" spans="1:17">
      <c r="A801" s="28"/>
      <c r="B801" s="28"/>
      <c r="C801" s="28"/>
      <c r="D801" s="28"/>
      <c r="E801" s="28"/>
      <c r="F801" s="28"/>
      <c r="G801" s="26" t="str">
        <f t="shared" si="96"/>
        <v/>
      </c>
      <c r="H801" s="26" t="str">
        <f t="shared" si="103"/>
        <v/>
      </c>
      <c r="I801" s="26" t="str">
        <f t="shared" si="97"/>
        <v/>
      </c>
      <c r="J801" t="str">
        <f t="shared" si="98"/>
        <v/>
      </c>
      <c r="K801" s="26" t="str">
        <f t="shared" si="99"/>
        <v/>
      </c>
      <c r="L801" s="26" t="str">
        <f t="shared" si="100"/>
        <v/>
      </c>
      <c r="P801" t="e">
        <f t="shared" si="101"/>
        <v>#N/A</v>
      </c>
      <c r="Q801" t="e">
        <f t="shared" si="102"/>
        <v>#N/A</v>
      </c>
    </row>
    <row r="802" spans="1:17">
      <c r="A802" s="28"/>
      <c r="B802" s="28"/>
      <c r="C802" s="28"/>
      <c r="D802" s="28"/>
      <c r="E802" s="28"/>
      <c r="F802" s="28"/>
      <c r="G802" s="26" t="str">
        <f t="shared" si="96"/>
        <v/>
      </c>
      <c r="H802" s="26" t="str">
        <f t="shared" si="103"/>
        <v/>
      </c>
      <c r="I802" s="26" t="str">
        <f t="shared" si="97"/>
        <v/>
      </c>
      <c r="J802" t="str">
        <f t="shared" si="98"/>
        <v/>
      </c>
      <c r="K802" s="26" t="str">
        <f t="shared" si="99"/>
        <v/>
      </c>
      <c r="L802" s="26" t="str">
        <f t="shared" si="100"/>
        <v/>
      </c>
      <c r="P802" t="e">
        <f t="shared" si="101"/>
        <v>#N/A</v>
      </c>
      <c r="Q802" t="e">
        <f t="shared" si="102"/>
        <v>#N/A</v>
      </c>
    </row>
    <row r="803" spans="1:17">
      <c r="A803" s="28"/>
      <c r="B803" s="28"/>
      <c r="C803" s="28"/>
      <c r="D803" s="28"/>
      <c r="E803" s="28"/>
      <c r="F803" s="28"/>
      <c r="G803" s="26" t="str">
        <f t="shared" si="96"/>
        <v/>
      </c>
      <c r="H803" s="26" t="str">
        <f t="shared" si="103"/>
        <v/>
      </c>
      <c r="I803" s="26" t="str">
        <f t="shared" si="97"/>
        <v/>
      </c>
      <c r="J803" t="str">
        <f t="shared" si="98"/>
        <v/>
      </c>
      <c r="K803" s="26" t="str">
        <f t="shared" si="99"/>
        <v/>
      </c>
      <c r="L803" s="26" t="str">
        <f t="shared" si="100"/>
        <v/>
      </c>
      <c r="P803" t="e">
        <f t="shared" si="101"/>
        <v>#N/A</v>
      </c>
      <c r="Q803" t="e">
        <f t="shared" si="102"/>
        <v>#N/A</v>
      </c>
    </row>
    <row r="804" spans="1:17">
      <c r="A804" s="28"/>
      <c r="B804" s="28"/>
      <c r="C804" s="28"/>
      <c r="D804" s="28"/>
      <c r="E804" s="28"/>
      <c r="F804" s="28"/>
      <c r="G804" s="26" t="str">
        <f t="shared" si="96"/>
        <v/>
      </c>
      <c r="H804" s="26" t="str">
        <f t="shared" si="103"/>
        <v/>
      </c>
      <c r="I804" s="26" t="str">
        <f t="shared" si="97"/>
        <v/>
      </c>
      <c r="J804" t="str">
        <f t="shared" si="98"/>
        <v/>
      </c>
      <c r="K804" s="26" t="str">
        <f t="shared" si="99"/>
        <v/>
      </c>
      <c r="L804" s="26" t="str">
        <f t="shared" si="100"/>
        <v/>
      </c>
      <c r="P804" t="e">
        <f t="shared" si="101"/>
        <v>#N/A</v>
      </c>
      <c r="Q804" t="e">
        <f t="shared" si="102"/>
        <v>#N/A</v>
      </c>
    </row>
    <row r="805" spans="1:17">
      <c r="A805" s="28"/>
      <c r="B805" s="28"/>
      <c r="C805" s="28"/>
      <c r="D805" s="28"/>
      <c r="E805" s="28"/>
      <c r="F805" s="28"/>
      <c r="G805" s="26" t="str">
        <f t="shared" si="96"/>
        <v/>
      </c>
      <c r="H805" s="26" t="str">
        <f t="shared" si="103"/>
        <v/>
      </c>
      <c r="I805" s="26" t="str">
        <f t="shared" si="97"/>
        <v/>
      </c>
      <c r="J805" t="str">
        <f t="shared" si="98"/>
        <v/>
      </c>
      <c r="K805" s="26" t="str">
        <f t="shared" si="99"/>
        <v/>
      </c>
      <c r="L805" s="26" t="str">
        <f t="shared" si="100"/>
        <v/>
      </c>
      <c r="P805" t="e">
        <f t="shared" si="101"/>
        <v>#N/A</v>
      </c>
      <c r="Q805" t="e">
        <f t="shared" si="102"/>
        <v>#N/A</v>
      </c>
    </row>
    <row r="806" spans="1:17">
      <c r="A806" s="28"/>
      <c r="B806" s="28"/>
      <c r="C806" s="28"/>
      <c r="D806" s="28"/>
      <c r="E806" s="28"/>
      <c r="F806" s="28"/>
      <c r="G806" s="26" t="str">
        <f t="shared" si="96"/>
        <v/>
      </c>
      <c r="H806" s="26" t="str">
        <f t="shared" si="103"/>
        <v/>
      </c>
      <c r="I806" s="26" t="str">
        <f t="shared" si="97"/>
        <v/>
      </c>
      <c r="J806" t="str">
        <f t="shared" si="98"/>
        <v/>
      </c>
      <c r="K806" s="26" t="str">
        <f t="shared" si="99"/>
        <v/>
      </c>
      <c r="L806" s="26" t="str">
        <f t="shared" si="100"/>
        <v/>
      </c>
      <c r="P806" t="e">
        <f t="shared" si="101"/>
        <v>#N/A</v>
      </c>
      <c r="Q806" t="e">
        <f t="shared" si="102"/>
        <v>#N/A</v>
      </c>
    </row>
    <row r="807" spans="1:17">
      <c r="A807" s="28"/>
      <c r="B807" s="28"/>
      <c r="C807" s="28"/>
      <c r="D807" s="28"/>
      <c r="E807" s="28"/>
      <c r="F807" s="28"/>
      <c r="G807" s="26" t="str">
        <f t="shared" si="96"/>
        <v/>
      </c>
      <c r="H807" s="26" t="str">
        <f t="shared" si="103"/>
        <v/>
      </c>
      <c r="I807" s="26" t="str">
        <f t="shared" si="97"/>
        <v/>
      </c>
      <c r="J807" t="str">
        <f t="shared" si="98"/>
        <v/>
      </c>
      <c r="K807" s="26" t="str">
        <f t="shared" si="99"/>
        <v/>
      </c>
      <c r="L807" s="26" t="str">
        <f t="shared" si="100"/>
        <v/>
      </c>
      <c r="P807" t="e">
        <f t="shared" si="101"/>
        <v>#N/A</v>
      </c>
      <c r="Q807" t="e">
        <f t="shared" si="102"/>
        <v>#N/A</v>
      </c>
    </row>
    <row r="808" spans="1:17">
      <c r="A808" s="28"/>
      <c r="B808" s="28"/>
      <c r="C808" s="28"/>
      <c r="D808" s="28"/>
      <c r="E808" s="28"/>
      <c r="F808" s="28"/>
      <c r="G808" s="26" t="str">
        <f t="shared" si="96"/>
        <v/>
      </c>
      <c r="H808" s="26" t="str">
        <f t="shared" si="103"/>
        <v/>
      </c>
      <c r="I808" s="26" t="str">
        <f t="shared" si="97"/>
        <v/>
      </c>
      <c r="J808" t="str">
        <f t="shared" si="98"/>
        <v/>
      </c>
      <c r="K808" s="26" t="str">
        <f t="shared" si="99"/>
        <v/>
      </c>
      <c r="L808" s="26" t="str">
        <f t="shared" si="100"/>
        <v/>
      </c>
      <c r="P808" t="e">
        <f t="shared" si="101"/>
        <v>#N/A</v>
      </c>
      <c r="Q808" t="e">
        <f t="shared" si="102"/>
        <v>#N/A</v>
      </c>
    </row>
    <row r="809" spans="1:17">
      <c r="A809" s="28"/>
      <c r="B809" s="28"/>
      <c r="C809" s="28"/>
      <c r="D809" s="28"/>
      <c r="E809" s="28"/>
      <c r="F809" s="28"/>
      <c r="G809" s="26" t="str">
        <f t="shared" si="96"/>
        <v/>
      </c>
      <c r="H809" s="26" t="str">
        <f t="shared" si="103"/>
        <v/>
      </c>
      <c r="I809" s="26" t="str">
        <f t="shared" si="97"/>
        <v/>
      </c>
      <c r="J809" t="str">
        <f t="shared" si="98"/>
        <v/>
      </c>
      <c r="K809" s="26" t="str">
        <f t="shared" si="99"/>
        <v/>
      </c>
      <c r="L809" s="26" t="str">
        <f t="shared" si="100"/>
        <v/>
      </c>
      <c r="P809" t="e">
        <f t="shared" si="101"/>
        <v>#N/A</v>
      </c>
      <c r="Q809" t="e">
        <f t="shared" si="102"/>
        <v>#N/A</v>
      </c>
    </row>
    <row r="810" spans="1:17">
      <c r="A810" s="28"/>
      <c r="B810" s="28"/>
      <c r="C810" s="28"/>
      <c r="D810" s="28"/>
      <c r="E810" s="28"/>
      <c r="F810" s="28"/>
      <c r="G810" s="26" t="str">
        <f t="shared" si="96"/>
        <v/>
      </c>
      <c r="H810" s="26" t="str">
        <f t="shared" si="103"/>
        <v/>
      </c>
      <c r="I810" s="26" t="str">
        <f t="shared" si="97"/>
        <v/>
      </c>
      <c r="J810" t="str">
        <f t="shared" si="98"/>
        <v/>
      </c>
      <c r="K810" s="26" t="str">
        <f t="shared" si="99"/>
        <v/>
      </c>
      <c r="L810" s="26" t="str">
        <f t="shared" si="100"/>
        <v/>
      </c>
      <c r="P810" t="e">
        <f t="shared" si="101"/>
        <v>#N/A</v>
      </c>
      <c r="Q810" t="e">
        <f t="shared" si="102"/>
        <v>#N/A</v>
      </c>
    </row>
    <row r="811" spans="1:17">
      <c r="A811" s="28"/>
      <c r="B811" s="28"/>
      <c r="C811" s="28"/>
      <c r="D811" s="28"/>
      <c r="E811" s="28"/>
      <c r="F811" s="28"/>
      <c r="G811" s="26" t="str">
        <f t="shared" si="96"/>
        <v/>
      </c>
      <c r="H811" s="26" t="str">
        <f t="shared" si="103"/>
        <v/>
      </c>
      <c r="I811" s="26" t="str">
        <f t="shared" si="97"/>
        <v/>
      </c>
      <c r="J811" t="str">
        <f t="shared" si="98"/>
        <v/>
      </c>
      <c r="K811" s="26" t="str">
        <f t="shared" si="99"/>
        <v/>
      </c>
      <c r="L811" s="26" t="str">
        <f t="shared" si="100"/>
        <v/>
      </c>
      <c r="P811" t="e">
        <f t="shared" si="101"/>
        <v>#N/A</v>
      </c>
      <c r="Q811" t="e">
        <f t="shared" si="102"/>
        <v>#N/A</v>
      </c>
    </row>
    <row r="812" spans="1:17">
      <c r="A812" s="28"/>
      <c r="B812" s="28"/>
      <c r="C812" s="28"/>
      <c r="D812" s="28"/>
      <c r="E812" s="28"/>
      <c r="F812" s="28"/>
      <c r="G812" s="26" t="str">
        <f t="shared" si="96"/>
        <v/>
      </c>
      <c r="H812" s="26" t="str">
        <f t="shared" si="103"/>
        <v/>
      </c>
      <c r="I812" s="26" t="str">
        <f t="shared" si="97"/>
        <v/>
      </c>
      <c r="J812" t="str">
        <f t="shared" si="98"/>
        <v/>
      </c>
      <c r="K812" s="26" t="str">
        <f t="shared" si="99"/>
        <v/>
      </c>
      <c r="L812" s="26" t="str">
        <f t="shared" si="100"/>
        <v/>
      </c>
      <c r="P812" t="e">
        <f t="shared" si="101"/>
        <v>#N/A</v>
      </c>
      <c r="Q812" t="e">
        <f t="shared" si="102"/>
        <v>#N/A</v>
      </c>
    </row>
    <row r="813" spans="1:17">
      <c r="A813" s="28"/>
      <c r="B813" s="28"/>
      <c r="C813" s="28"/>
      <c r="D813" s="28"/>
      <c r="E813" s="28"/>
      <c r="F813" s="28"/>
      <c r="G813" s="26" t="str">
        <f t="shared" si="96"/>
        <v/>
      </c>
      <c r="H813" s="26" t="str">
        <f t="shared" si="103"/>
        <v/>
      </c>
      <c r="I813" s="26" t="str">
        <f t="shared" si="97"/>
        <v/>
      </c>
      <c r="J813" t="str">
        <f t="shared" si="98"/>
        <v/>
      </c>
      <c r="K813" s="26" t="str">
        <f t="shared" si="99"/>
        <v/>
      </c>
      <c r="L813" s="26" t="str">
        <f t="shared" si="100"/>
        <v/>
      </c>
      <c r="P813" t="e">
        <f t="shared" si="101"/>
        <v>#N/A</v>
      </c>
      <c r="Q813" t="e">
        <f t="shared" si="102"/>
        <v>#N/A</v>
      </c>
    </row>
    <row r="814" spans="1:17">
      <c r="A814" s="28"/>
      <c r="B814" s="28"/>
      <c r="C814" s="28"/>
      <c r="D814" s="28"/>
      <c r="E814" s="28"/>
      <c r="F814" s="28"/>
      <c r="G814" s="26" t="str">
        <f t="shared" si="96"/>
        <v/>
      </c>
      <c r="H814" s="26" t="str">
        <f t="shared" si="103"/>
        <v/>
      </c>
      <c r="I814" s="26" t="str">
        <f t="shared" si="97"/>
        <v/>
      </c>
      <c r="J814" t="str">
        <f t="shared" si="98"/>
        <v/>
      </c>
      <c r="K814" s="26" t="str">
        <f t="shared" si="99"/>
        <v/>
      </c>
      <c r="L814" s="26" t="str">
        <f t="shared" si="100"/>
        <v/>
      </c>
      <c r="P814" t="e">
        <f t="shared" si="101"/>
        <v>#N/A</v>
      </c>
      <c r="Q814" t="e">
        <f t="shared" si="102"/>
        <v>#N/A</v>
      </c>
    </row>
    <row r="815" spans="1:17">
      <c r="A815" s="28"/>
      <c r="B815" s="28"/>
      <c r="C815" s="28"/>
      <c r="D815" s="28"/>
      <c r="E815" s="28"/>
      <c r="F815" s="28"/>
      <c r="G815" s="26" t="str">
        <f t="shared" si="96"/>
        <v/>
      </c>
      <c r="H815" s="26" t="str">
        <f t="shared" si="103"/>
        <v/>
      </c>
      <c r="I815" s="26" t="str">
        <f t="shared" si="97"/>
        <v/>
      </c>
      <c r="J815" t="str">
        <f t="shared" si="98"/>
        <v/>
      </c>
      <c r="K815" s="26" t="str">
        <f t="shared" si="99"/>
        <v/>
      </c>
      <c r="L815" s="26" t="str">
        <f t="shared" si="100"/>
        <v/>
      </c>
      <c r="P815" t="e">
        <f t="shared" si="101"/>
        <v>#N/A</v>
      </c>
      <c r="Q815" t="e">
        <f t="shared" si="102"/>
        <v>#N/A</v>
      </c>
    </row>
    <row r="816" spans="1:17">
      <c r="A816" s="28"/>
      <c r="B816" s="28"/>
      <c r="C816" s="28"/>
      <c r="D816" s="28"/>
      <c r="E816" s="28"/>
      <c r="F816" s="28"/>
      <c r="G816" s="26" t="str">
        <f t="shared" si="96"/>
        <v/>
      </c>
      <c r="H816" s="26" t="str">
        <f t="shared" si="103"/>
        <v/>
      </c>
      <c r="I816" s="26" t="str">
        <f t="shared" si="97"/>
        <v/>
      </c>
      <c r="J816" t="str">
        <f t="shared" si="98"/>
        <v/>
      </c>
      <c r="K816" s="26" t="str">
        <f t="shared" si="99"/>
        <v/>
      </c>
      <c r="L816" s="26" t="str">
        <f t="shared" si="100"/>
        <v/>
      </c>
      <c r="P816" t="e">
        <f t="shared" si="101"/>
        <v>#N/A</v>
      </c>
      <c r="Q816" t="e">
        <f t="shared" si="102"/>
        <v>#N/A</v>
      </c>
    </row>
    <row r="817" spans="1:17">
      <c r="A817" s="28"/>
      <c r="B817" s="28"/>
      <c r="C817" s="28"/>
      <c r="D817" s="28"/>
      <c r="E817" s="28"/>
      <c r="F817" s="28"/>
      <c r="G817" s="26" t="str">
        <f t="shared" si="96"/>
        <v/>
      </c>
      <c r="H817" s="26" t="str">
        <f t="shared" si="103"/>
        <v/>
      </c>
      <c r="I817" s="26" t="str">
        <f t="shared" si="97"/>
        <v/>
      </c>
      <c r="J817" t="str">
        <f t="shared" si="98"/>
        <v/>
      </c>
      <c r="K817" s="26" t="str">
        <f t="shared" si="99"/>
        <v/>
      </c>
      <c r="L817" s="26" t="str">
        <f t="shared" si="100"/>
        <v/>
      </c>
      <c r="P817" t="e">
        <f t="shared" si="101"/>
        <v>#N/A</v>
      </c>
      <c r="Q817" t="e">
        <f t="shared" si="102"/>
        <v>#N/A</v>
      </c>
    </row>
    <row r="818" spans="1:17">
      <c r="A818" s="28"/>
      <c r="B818" s="28"/>
      <c r="C818" s="28"/>
      <c r="D818" s="28"/>
      <c r="E818" s="28"/>
      <c r="F818" s="28"/>
      <c r="G818" s="26" t="str">
        <f t="shared" si="96"/>
        <v/>
      </c>
      <c r="H818" s="26" t="str">
        <f t="shared" si="103"/>
        <v/>
      </c>
      <c r="I818" s="26" t="str">
        <f t="shared" si="97"/>
        <v/>
      </c>
      <c r="J818" t="str">
        <f t="shared" si="98"/>
        <v/>
      </c>
      <c r="K818" s="26" t="str">
        <f t="shared" si="99"/>
        <v/>
      </c>
      <c r="L818" s="26" t="str">
        <f t="shared" si="100"/>
        <v/>
      </c>
      <c r="P818" t="e">
        <f t="shared" si="101"/>
        <v>#N/A</v>
      </c>
      <c r="Q818" t="e">
        <f t="shared" si="102"/>
        <v>#N/A</v>
      </c>
    </row>
    <row r="819" spans="1:17">
      <c r="A819" s="28"/>
      <c r="B819" s="28"/>
      <c r="C819" s="28"/>
      <c r="D819" s="28"/>
      <c r="E819" s="28"/>
      <c r="F819" s="28"/>
      <c r="G819" s="26" t="str">
        <f t="shared" si="96"/>
        <v/>
      </c>
      <c r="H819" s="26" t="str">
        <f t="shared" si="103"/>
        <v/>
      </c>
      <c r="I819" s="26" t="str">
        <f t="shared" si="97"/>
        <v/>
      </c>
      <c r="J819" t="str">
        <f t="shared" si="98"/>
        <v/>
      </c>
      <c r="K819" s="26" t="str">
        <f t="shared" si="99"/>
        <v/>
      </c>
      <c r="L819" s="26" t="str">
        <f t="shared" si="100"/>
        <v/>
      </c>
      <c r="P819" t="e">
        <f t="shared" si="101"/>
        <v>#N/A</v>
      </c>
      <c r="Q819" t="e">
        <f t="shared" si="102"/>
        <v>#N/A</v>
      </c>
    </row>
    <row r="820" spans="1:17">
      <c r="A820" s="28"/>
      <c r="B820" s="28"/>
      <c r="C820" s="28"/>
      <c r="D820" s="28"/>
      <c r="E820" s="28"/>
      <c r="F820" s="28"/>
      <c r="G820" s="26" t="str">
        <f t="shared" si="96"/>
        <v/>
      </c>
      <c r="H820" s="26" t="str">
        <f t="shared" si="103"/>
        <v/>
      </c>
      <c r="I820" s="26" t="str">
        <f t="shared" si="97"/>
        <v/>
      </c>
      <c r="J820" t="str">
        <f t="shared" si="98"/>
        <v/>
      </c>
      <c r="K820" s="26" t="str">
        <f t="shared" si="99"/>
        <v/>
      </c>
      <c r="L820" s="26" t="str">
        <f t="shared" si="100"/>
        <v/>
      </c>
      <c r="P820" t="e">
        <f t="shared" si="101"/>
        <v>#N/A</v>
      </c>
      <c r="Q820" t="e">
        <f t="shared" si="102"/>
        <v>#N/A</v>
      </c>
    </row>
    <row r="821" spans="1:17">
      <c r="A821" s="28"/>
      <c r="B821" s="28"/>
      <c r="C821" s="28"/>
      <c r="D821" s="28"/>
      <c r="E821" s="28"/>
      <c r="F821" s="28"/>
      <c r="G821" s="26" t="str">
        <f t="shared" si="96"/>
        <v/>
      </c>
      <c r="H821" s="26" t="str">
        <f t="shared" si="103"/>
        <v/>
      </c>
      <c r="I821" s="26" t="str">
        <f t="shared" si="97"/>
        <v/>
      </c>
      <c r="J821" t="str">
        <f t="shared" si="98"/>
        <v/>
      </c>
      <c r="K821" s="26" t="str">
        <f t="shared" si="99"/>
        <v/>
      </c>
      <c r="L821" s="26" t="str">
        <f t="shared" si="100"/>
        <v/>
      </c>
      <c r="P821" t="e">
        <f t="shared" si="101"/>
        <v>#N/A</v>
      </c>
      <c r="Q821" t="e">
        <f t="shared" si="102"/>
        <v>#N/A</v>
      </c>
    </row>
    <row r="822" spans="1:17">
      <c r="A822" s="28"/>
      <c r="B822" s="28"/>
      <c r="C822" s="28"/>
      <c r="D822" s="28"/>
      <c r="E822" s="28"/>
      <c r="F822" s="28"/>
      <c r="G822" s="26" t="str">
        <f t="shared" si="96"/>
        <v/>
      </c>
      <c r="H822" s="26" t="str">
        <f t="shared" si="103"/>
        <v/>
      </c>
      <c r="I822" s="26" t="str">
        <f t="shared" si="97"/>
        <v/>
      </c>
      <c r="J822" t="str">
        <f t="shared" si="98"/>
        <v/>
      </c>
      <c r="K822" s="26" t="str">
        <f t="shared" si="99"/>
        <v/>
      </c>
      <c r="L822" s="26" t="str">
        <f t="shared" si="100"/>
        <v/>
      </c>
      <c r="P822" t="e">
        <f t="shared" si="101"/>
        <v>#N/A</v>
      </c>
      <c r="Q822" t="e">
        <f t="shared" si="102"/>
        <v>#N/A</v>
      </c>
    </row>
    <row r="823" spans="1:17">
      <c r="A823" s="28"/>
      <c r="B823" s="28"/>
      <c r="C823" s="28"/>
      <c r="D823" s="28"/>
      <c r="E823" s="28"/>
      <c r="F823" s="28"/>
      <c r="G823" s="26" t="str">
        <f t="shared" si="96"/>
        <v/>
      </c>
      <c r="H823" s="26" t="str">
        <f t="shared" si="103"/>
        <v/>
      </c>
      <c r="I823" s="26" t="str">
        <f t="shared" si="97"/>
        <v/>
      </c>
      <c r="J823" t="str">
        <f t="shared" si="98"/>
        <v/>
      </c>
      <c r="K823" s="26" t="str">
        <f t="shared" si="99"/>
        <v/>
      </c>
      <c r="L823" s="26" t="str">
        <f t="shared" si="100"/>
        <v/>
      </c>
      <c r="P823" t="e">
        <f t="shared" si="101"/>
        <v>#N/A</v>
      </c>
      <c r="Q823" t="e">
        <f t="shared" si="102"/>
        <v>#N/A</v>
      </c>
    </row>
    <row r="824" spans="1:17">
      <c r="A824" s="28"/>
      <c r="B824" s="28"/>
      <c r="C824" s="28"/>
      <c r="D824" s="28"/>
      <c r="E824" s="28"/>
      <c r="F824" s="28"/>
      <c r="G824" s="26" t="str">
        <f t="shared" si="96"/>
        <v/>
      </c>
      <c r="H824" s="26" t="str">
        <f t="shared" si="103"/>
        <v/>
      </c>
      <c r="I824" s="26" t="str">
        <f t="shared" si="97"/>
        <v/>
      </c>
      <c r="J824" t="str">
        <f t="shared" si="98"/>
        <v/>
      </c>
      <c r="K824" s="26" t="str">
        <f t="shared" si="99"/>
        <v/>
      </c>
      <c r="L824" s="26" t="str">
        <f t="shared" si="100"/>
        <v/>
      </c>
      <c r="P824" t="e">
        <f t="shared" si="101"/>
        <v>#N/A</v>
      </c>
      <c r="Q824" t="e">
        <f t="shared" si="102"/>
        <v>#N/A</v>
      </c>
    </row>
    <row r="825" spans="1:17">
      <c r="A825" s="28"/>
      <c r="B825" s="28"/>
      <c r="C825" s="28"/>
      <c r="D825" s="28"/>
      <c r="E825" s="28"/>
      <c r="F825" s="28"/>
      <c r="G825" s="26" t="str">
        <f t="shared" si="96"/>
        <v/>
      </c>
      <c r="H825" s="26" t="str">
        <f t="shared" si="103"/>
        <v/>
      </c>
      <c r="I825" s="26" t="str">
        <f t="shared" si="97"/>
        <v/>
      </c>
      <c r="J825" t="str">
        <f t="shared" si="98"/>
        <v/>
      </c>
      <c r="K825" s="26" t="str">
        <f t="shared" si="99"/>
        <v/>
      </c>
      <c r="L825" s="26" t="str">
        <f t="shared" si="100"/>
        <v/>
      </c>
      <c r="P825" t="e">
        <f t="shared" si="101"/>
        <v>#N/A</v>
      </c>
      <c r="Q825" t="e">
        <f t="shared" si="102"/>
        <v>#N/A</v>
      </c>
    </row>
    <row r="826" spans="1:17">
      <c r="A826" s="28"/>
      <c r="B826" s="28"/>
      <c r="C826" s="28"/>
      <c r="D826" s="28"/>
      <c r="E826" s="28"/>
      <c r="F826" s="28"/>
      <c r="G826" s="26" t="str">
        <f t="shared" si="96"/>
        <v/>
      </c>
      <c r="H826" s="26" t="str">
        <f t="shared" si="103"/>
        <v/>
      </c>
      <c r="I826" s="26" t="str">
        <f t="shared" si="97"/>
        <v/>
      </c>
      <c r="J826" t="str">
        <f t="shared" si="98"/>
        <v/>
      </c>
      <c r="K826" s="26" t="str">
        <f t="shared" si="99"/>
        <v/>
      </c>
      <c r="L826" s="26" t="str">
        <f t="shared" si="100"/>
        <v/>
      </c>
      <c r="P826" t="e">
        <f t="shared" si="101"/>
        <v>#N/A</v>
      </c>
      <c r="Q826" t="e">
        <f t="shared" si="102"/>
        <v>#N/A</v>
      </c>
    </row>
    <row r="827" spans="1:17">
      <c r="A827" s="28"/>
      <c r="B827" s="28"/>
      <c r="C827" s="28"/>
      <c r="D827" s="28"/>
      <c r="E827" s="28"/>
      <c r="F827" s="28"/>
      <c r="G827" s="26" t="str">
        <f t="shared" si="96"/>
        <v/>
      </c>
      <c r="H827" s="26" t="str">
        <f t="shared" si="103"/>
        <v/>
      </c>
      <c r="I827" s="26" t="str">
        <f t="shared" si="97"/>
        <v/>
      </c>
      <c r="J827" t="str">
        <f t="shared" si="98"/>
        <v/>
      </c>
      <c r="K827" s="26" t="str">
        <f t="shared" si="99"/>
        <v/>
      </c>
      <c r="L827" s="26" t="str">
        <f t="shared" si="100"/>
        <v/>
      </c>
      <c r="P827" t="e">
        <f t="shared" si="101"/>
        <v>#N/A</v>
      </c>
      <c r="Q827" t="e">
        <f t="shared" si="102"/>
        <v>#N/A</v>
      </c>
    </row>
    <row r="828" spans="1:17">
      <c r="A828" s="28"/>
      <c r="B828" s="28"/>
      <c r="C828" s="28"/>
      <c r="D828" s="28"/>
      <c r="E828" s="28"/>
      <c r="F828" s="28"/>
      <c r="G828" s="26" t="str">
        <f t="shared" si="96"/>
        <v/>
      </c>
      <c r="H828" s="26" t="str">
        <f t="shared" si="103"/>
        <v/>
      </c>
      <c r="I828" s="26" t="str">
        <f t="shared" si="97"/>
        <v/>
      </c>
      <c r="J828" t="str">
        <f t="shared" si="98"/>
        <v/>
      </c>
      <c r="K828" s="26" t="str">
        <f t="shared" si="99"/>
        <v/>
      </c>
      <c r="L828" s="26" t="str">
        <f t="shared" si="100"/>
        <v/>
      </c>
      <c r="P828" t="e">
        <f t="shared" si="101"/>
        <v>#N/A</v>
      </c>
      <c r="Q828" t="e">
        <f t="shared" si="102"/>
        <v>#N/A</v>
      </c>
    </row>
    <row r="829" spans="1:17">
      <c r="A829" s="28"/>
      <c r="B829" s="28"/>
      <c r="C829" s="28"/>
      <c r="D829" s="28"/>
      <c r="E829" s="28"/>
      <c r="F829" s="28"/>
      <c r="G829" s="26" t="str">
        <f t="shared" si="96"/>
        <v/>
      </c>
      <c r="H829" s="26" t="str">
        <f t="shared" si="103"/>
        <v/>
      </c>
      <c r="I829" s="26" t="str">
        <f t="shared" si="97"/>
        <v/>
      </c>
      <c r="J829" t="str">
        <f t="shared" si="98"/>
        <v/>
      </c>
      <c r="K829" s="26" t="str">
        <f t="shared" si="99"/>
        <v/>
      </c>
      <c r="L829" s="26" t="str">
        <f t="shared" si="100"/>
        <v/>
      </c>
      <c r="P829" t="e">
        <f t="shared" si="101"/>
        <v>#N/A</v>
      </c>
      <c r="Q829" t="e">
        <f t="shared" si="102"/>
        <v>#N/A</v>
      </c>
    </row>
    <row r="830" spans="1:17">
      <c r="A830" s="28"/>
      <c r="B830" s="28"/>
      <c r="C830" s="28"/>
      <c r="D830" s="28"/>
      <c r="E830" s="28"/>
      <c r="F830" s="28"/>
      <c r="G830" s="26" t="str">
        <f t="shared" si="96"/>
        <v/>
      </c>
      <c r="H830" s="26" t="str">
        <f t="shared" si="103"/>
        <v/>
      </c>
      <c r="I830" s="26" t="str">
        <f t="shared" si="97"/>
        <v/>
      </c>
      <c r="J830" t="str">
        <f t="shared" si="98"/>
        <v/>
      </c>
      <c r="K830" s="26" t="str">
        <f t="shared" si="99"/>
        <v/>
      </c>
      <c r="L830" s="26" t="str">
        <f t="shared" si="100"/>
        <v/>
      </c>
      <c r="P830" t="e">
        <f t="shared" si="101"/>
        <v>#N/A</v>
      </c>
      <c r="Q830" t="e">
        <f t="shared" si="102"/>
        <v>#N/A</v>
      </c>
    </row>
    <row r="831" spans="1:17">
      <c r="A831" s="28"/>
      <c r="B831" s="28"/>
      <c r="C831" s="28"/>
      <c r="D831" s="28"/>
      <c r="E831" s="28"/>
      <c r="F831" s="28"/>
      <c r="G831" s="26" t="str">
        <f t="shared" si="96"/>
        <v/>
      </c>
      <c r="H831" s="26" t="str">
        <f t="shared" si="103"/>
        <v/>
      </c>
      <c r="I831" s="26" t="str">
        <f t="shared" si="97"/>
        <v/>
      </c>
      <c r="J831" t="str">
        <f t="shared" si="98"/>
        <v/>
      </c>
      <c r="K831" s="26" t="str">
        <f t="shared" si="99"/>
        <v/>
      </c>
      <c r="L831" s="26" t="str">
        <f t="shared" si="100"/>
        <v/>
      </c>
      <c r="P831" t="e">
        <f t="shared" si="101"/>
        <v>#N/A</v>
      </c>
      <c r="Q831" t="e">
        <f t="shared" si="102"/>
        <v>#N/A</v>
      </c>
    </row>
    <row r="832" spans="1:17">
      <c r="A832" s="28"/>
      <c r="B832" s="28"/>
      <c r="C832" s="28"/>
      <c r="D832" s="28"/>
      <c r="E832" s="28"/>
      <c r="F832" s="28"/>
      <c r="G832" s="26" t="str">
        <f t="shared" si="96"/>
        <v/>
      </c>
      <c r="H832" s="26" t="str">
        <f t="shared" si="103"/>
        <v/>
      </c>
      <c r="I832" s="26" t="str">
        <f t="shared" si="97"/>
        <v/>
      </c>
      <c r="J832" t="str">
        <f t="shared" si="98"/>
        <v/>
      </c>
      <c r="K832" s="26" t="str">
        <f t="shared" si="99"/>
        <v/>
      </c>
      <c r="L832" s="26" t="str">
        <f t="shared" si="100"/>
        <v/>
      </c>
      <c r="P832" t="e">
        <f t="shared" si="101"/>
        <v>#N/A</v>
      </c>
      <c r="Q832" t="e">
        <f t="shared" si="102"/>
        <v>#N/A</v>
      </c>
    </row>
    <row r="833" spans="1:17">
      <c r="A833" s="28"/>
      <c r="B833" s="28"/>
      <c r="C833" s="28"/>
      <c r="D833" s="28"/>
      <c r="E833" s="28"/>
      <c r="F833" s="28"/>
      <c r="G833" s="26" t="str">
        <f t="shared" si="96"/>
        <v/>
      </c>
      <c r="H833" s="26" t="str">
        <f t="shared" si="103"/>
        <v/>
      </c>
      <c r="I833" s="26" t="str">
        <f t="shared" si="97"/>
        <v/>
      </c>
      <c r="J833" t="str">
        <f t="shared" si="98"/>
        <v/>
      </c>
      <c r="K833" s="26" t="str">
        <f t="shared" si="99"/>
        <v/>
      </c>
      <c r="L833" s="26" t="str">
        <f t="shared" si="100"/>
        <v/>
      </c>
      <c r="P833" t="e">
        <f t="shared" si="101"/>
        <v>#N/A</v>
      </c>
      <c r="Q833" t="e">
        <f t="shared" si="102"/>
        <v>#N/A</v>
      </c>
    </row>
    <row r="834" spans="1:17">
      <c r="A834" s="28"/>
      <c r="B834" s="28"/>
      <c r="C834" s="28"/>
      <c r="D834" s="28"/>
      <c r="E834" s="28"/>
      <c r="F834" s="28"/>
      <c r="G834" s="26" t="str">
        <f t="shared" ref="G834:G897" si="104">IF(B834="","",243.04*(LN(C834/100)+17.625*B834/(243.04+B834))/(17.625-LN(C834/100)-17.625*B834/(243.04+B834)))</f>
        <v/>
      </c>
      <c r="H834" s="26" t="str">
        <f t="shared" si="103"/>
        <v/>
      </c>
      <c r="I834" s="26" t="str">
        <f t="shared" ref="I834:I897" si="105">IF(B834="","",B834-E834)</f>
        <v/>
      </c>
      <c r="J834" t="str">
        <f t="shared" ref="J834:J897" si="106">IF(H834="","",IF(H834&gt;0.6,"Heating",IF(H834&lt;-0.2,"Cooling","Steady")))</f>
        <v/>
      </c>
      <c r="K834" s="26" t="str">
        <f t="shared" ref="K834:K897" si="107">IF(J834="Cooling",I834,"")</f>
        <v/>
      </c>
      <c r="L834" s="26" t="str">
        <f t="shared" ref="L834:L897" si="108">IF(J834="Cooling",H834,"")</f>
        <v/>
      </c>
      <c r="P834" t="e">
        <f t="shared" ref="P834:P897" si="109">IF(K834="",NA(),K834)</f>
        <v>#N/A</v>
      </c>
      <c r="Q834" t="e">
        <f t="shared" ref="Q834:Q897" si="110">IF(L834="",NA(),L834)</f>
        <v>#N/A</v>
      </c>
    </row>
    <row r="835" spans="1:17">
      <c r="A835" s="28"/>
      <c r="B835" s="28"/>
      <c r="C835" s="28"/>
      <c r="D835" s="28"/>
      <c r="E835" s="28"/>
      <c r="F835" s="28"/>
      <c r="G835" s="26" t="str">
        <f t="shared" si="104"/>
        <v/>
      </c>
      <c r="H835" s="26" t="str">
        <f t="shared" si="103"/>
        <v/>
      </c>
      <c r="I835" s="26" t="str">
        <f t="shared" si="105"/>
        <v/>
      </c>
      <c r="J835" t="str">
        <f t="shared" si="106"/>
        <v/>
      </c>
      <c r="K835" s="26" t="str">
        <f t="shared" si="107"/>
        <v/>
      </c>
      <c r="L835" s="26" t="str">
        <f t="shared" si="108"/>
        <v/>
      </c>
      <c r="P835" t="e">
        <f t="shared" si="109"/>
        <v>#N/A</v>
      </c>
      <c r="Q835" t="e">
        <f t="shared" si="110"/>
        <v>#N/A</v>
      </c>
    </row>
    <row r="836" spans="1:17">
      <c r="A836" s="28"/>
      <c r="B836" s="28"/>
      <c r="C836" s="28"/>
      <c r="D836" s="28"/>
      <c r="E836" s="28"/>
      <c r="F836" s="28"/>
      <c r="G836" s="26" t="str">
        <f t="shared" si="104"/>
        <v/>
      </c>
      <c r="H836" s="26" t="str">
        <f t="shared" ref="H836:H899" si="111">IFERROR(IF(OR(B834="",B838=""),"",(B838-B834)/4*60),"")</f>
        <v/>
      </c>
      <c r="I836" s="26" t="str">
        <f t="shared" si="105"/>
        <v/>
      </c>
      <c r="J836" t="str">
        <f t="shared" si="106"/>
        <v/>
      </c>
      <c r="K836" s="26" t="str">
        <f t="shared" si="107"/>
        <v/>
      </c>
      <c r="L836" s="26" t="str">
        <f t="shared" si="108"/>
        <v/>
      </c>
      <c r="P836" t="e">
        <f t="shared" si="109"/>
        <v>#N/A</v>
      </c>
      <c r="Q836" t="e">
        <f t="shared" si="110"/>
        <v>#N/A</v>
      </c>
    </row>
    <row r="837" spans="1:17">
      <c r="A837" s="28"/>
      <c r="B837" s="28"/>
      <c r="C837" s="28"/>
      <c r="D837" s="28"/>
      <c r="E837" s="28"/>
      <c r="F837" s="28"/>
      <c r="G837" s="26" t="str">
        <f t="shared" si="104"/>
        <v/>
      </c>
      <c r="H837" s="26" t="str">
        <f t="shared" si="111"/>
        <v/>
      </c>
      <c r="I837" s="26" t="str">
        <f t="shared" si="105"/>
        <v/>
      </c>
      <c r="J837" t="str">
        <f t="shared" si="106"/>
        <v/>
      </c>
      <c r="K837" s="26" t="str">
        <f t="shared" si="107"/>
        <v/>
      </c>
      <c r="L837" s="26" t="str">
        <f t="shared" si="108"/>
        <v/>
      </c>
      <c r="P837" t="e">
        <f t="shared" si="109"/>
        <v>#N/A</v>
      </c>
      <c r="Q837" t="e">
        <f t="shared" si="110"/>
        <v>#N/A</v>
      </c>
    </row>
    <row r="838" spans="1:17">
      <c r="A838" s="28"/>
      <c r="B838" s="28"/>
      <c r="C838" s="28"/>
      <c r="D838" s="28"/>
      <c r="E838" s="28"/>
      <c r="F838" s="28"/>
      <c r="G838" s="26" t="str">
        <f t="shared" si="104"/>
        <v/>
      </c>
      <c r="H838" s="26" t="str">
        <f t="shared" si="111"/>
        <v/>
      </c>
      <c r="I838" s="26" t="str">
        <f t="shared" si="105"/>
        <v/>
      </c>
      <c r="J838" t="str">
        <f t="shared" si="106"/>
        <v/>
      </c>
      <c r="K838" s="26" t="str">
        <f t="shared" si="107"/>
        <v/>
      </c>
      <c r="L838" s="26" t="str">
        <f t="shared" si="108"/>
        <v/>
      </c>
      <c r="P838" t="e">
        <f t="shared" si="109"/>
        <v>#N/A</v>
      </c>
      <c r="Q838" t="e">
        <f t="shared" si="110"/>
        <v>#N/A</v>
      </c>
    </row>
    <row r="839" spans="1:17">
      <c r="A839" s="28"/>
      <c r="B839" s="28"/>
      <c r="C839" s="28"/>
      <c r="D839" s="28"/>
      <c r="E839" s="28"/>
      <c r="F839" s="28"/>
      <c r="G839" s="26" t="str">
        <f t="shared" si="104"/>
        <v/>
      </c>
      <c r="H839" s="26" t="str">
        <f t="shared" si="111"/>
        <v/>
      </c>
      <c r="I839" s="26" t="str">
        <f t="shared" si="105"/>
        <v/>
      </c>
      <c r="J839" t="str">
        <f t="shared" si="106"/>
        <v/>
      </c>
      <c r="K839" s="26" t="str">
        <f t="shared" si="107"/>
        <v/>
      </c>
      <c r="L839" s="26" t="str">
        <f t="shared" si="108"/>
        <v/>
      </c>
      <c r="P839" t="e">
        <f t="shared" si="109"/>
        <v>#N/A</v>
      </c>
      <c r="Q839" t="e">
        <f t="shared" si="110"/>
        <v>#N/A</v>
      </c>
    </row>
    <row r="840" spans="1:17">
      <c r="A840" s="28"/>
      <c r="B840" s="28"/>
      <c r="C840" s="28"/>
      <c r="D840" s="28"/>
      <c r="E840" s="28"/>
      <c r="F840" s="28"/>
      <c r="G840" s="26" t="str">
        <f t="shared" si="104"/>
        <v/>
      </c>
      <c r="H840" s="26" t="str">
        <f t="shared" si="111"/>
        <v/>
      </c>
      <c r="I840" s="26" t="str">
        <f t="shared" si="105"/>
        <v/>
      </c>
      <c r="J840" t="str">
        <f t="shared" si="106"/>
        <v/>
      </c>
      <c r="K840" s="26" t="str">
        <f t="shared" si="107"/>
        <v/>
      </c>
      <c r="L840" s="26" t="str">
        <f t="shared" si="108"/>
        <v/>
      </c>
      <c r="P840" t="e">
        <f t="shared" si="109"/>
        <v>#N/A</v>
      </c>
      <c r="Q840" t="e">
        <f t="shared" si="110"/>
        <v>#N/A</v>
      </c>
    </row>
    <row r="841" spans="1:17">
      <c r="A841" s="28"/>
      <c r="B841" s="28"/>
      <c r="C841" s="28"/>
      <c r="D841" s="28"/>
      <c r="E841" s="28"/>
      <c r="F841" s="28"/>
      <c r="G841" s="26" t="str">
        <f t="shared" si="104"/>
        <v/>
      </c>
      <c r="H841" s="26" t="str">
        <f t="shared" si="111"/>
        <v/>
      </c>
      <c r="I841" s="26" t="str">
        <f t="shared" si="105"/>
        <v/>
      </c>
      <c r="J841" t="str">
        <f t="shared" si="106"/>
        <v/>
      </c>
      <c r="K841" s="26" t="str">
        <f t="shared" si="107"/>
        <v/>
      </c>
      <c r="L841" s="26" t="str">
        <f t="shared" si="108"/>
        <v/>
      </c>
      <c r="P841" t="e">
        <f t="shared" si="109"/>
        <v>#N/A</v>
      </c>
      <c r="Q841" t="e">
        <f t="shared" si="110"/>
        <v>#N/A</v>
      </c>
    </row>
    <row r="842" spans="1:17">
      <c r="A842" s="28"/>
      <c r="B842" s="28"/>
      <c r="C842" s="28"/>
      <c r="D842" s="28"/>
      <c r="E842" s="28"/>
      <c r="F842" s="28"/>
      <c r="G842" s="26" t="str">
        <f t="shared" si="104"/>
        <v/>
      </c>
      <c r="H842" s="26" t="str">
        <f t="shared" si="111"/>
        <v/>
      </c>
      <c r="I842" s="26" t="str">
        <f t="shared" si="105"/>
        <v/>
      </c>
      <c r="J842" t="str">
        <f t="shared" si="106"/>
        <v/>
      </c>
      <c r="K842" s="26" t="str">
        <f t="shared" si="107"/>
        <v/>
      </c>
      <c r="L842" s="26" t="str">
        <f t="shared" si="108"/>
        <v/>
      </c>
      <c r="P842" t="e">
        <f t="shared" si="109"/>
        <v>#N/A</v>
      </c>
      <c r="Q842" t="e">
        <f t="shared" si="110"/>
        <v>#N/A</v>
      </c>
    </row>
    <row r="843" spans="1:17">
      <c r="A843" s="28"/>
      <c r="B843" s="28"/>
      <c r="C843" s="28"/>
      <c r="D843" s="28"/>
      <c r="E843" s="28"/>
      <c r="F843" s="28"/>
      <c r="G843" s="26" t="str">
        <f t="shared" si="104"/>
        <v/>
      </c>
      <c r="H843" s="26" t="str">
        <f t="shared" si="111"/>
        <v/>
      </c>
      <c r="I843" s="26" t="str">
        <f t="shared" si="105"/>
        <v/>
      </c>
      <c r="J843" t="str">
        <f t="shared" si="106"/>
        <v/>
      </c>
      <c r="K843" s="26" t="str">
        <f t="shared" si="107"/>
        <v/>
      </c>
      <c r="L843" s="26" t="str">
        <f t="shared" si="108"/>
        <v/>
      </c>
      <c r="P843" t="e">
        <f t="shared" si="109"/>
        <v>#N/A</v>
      </c>
      <c r="Q843" t="e">
        <f t="shared" si="110"/>
        <v>#N/A</v>
      </c>
    </row>
    <row r="844" spans="1:17">
      <c r="A844" s="28"/>
      <c r="B844" s="28"/>
      <c r="C844" s="28"/>
      <c r="D844" s="28"/>
      <c r="E844" s="28"/>
      <c r="F844" s="28"/>
      <c r="G844" s="26" t="str">
        <f t="shared" si="104"/>
        <v/>
      </c>
      <c r="H844" s="26" t="str">
        <f t="shared" si="111"/>
        <v/>
      </c>
      <c r="I844" s="26" t="str">
        <f t="shared" si="105"/>
        <v/>
      </c>
      <c r="J844" t="str">
        <f t="shared" si="106"/>
        <v/>
      </c>
      <c r="K844" s="26" t="str">
        <f t="shared" si="107"/>
        <v/>
      </c>
      <c r="L844" s="26" t="str">
        <f t="shared" si="108"/>
        <v/>
      </c>
      <c r="P844" t="e">
        <f t="shared" si="109"/>
        <v>#N/A</v>
      </c>
      <c r="Q844" t="e">
        <f t="shared" si="110"/>
        <v>#N/A</v>
      </c>
    </row>
    <row r="845" spans="1:17">
      <c r="A845" s="28"/>
      <c r="B845" s="28"/>
      <c r="C845" s="28"/>
      <c r="D845" s="28"/>
      <c r="E845" s="28"/>
      <c r="F845" s="28"/>
      <c r="G845" s="26" t="str">
        <f t="shared" si="104"/>
        <v/>
      </c>
      <c r="H845" s="26" t="str">
        <f t="shared" si="111"/>
        <v/>
      </c>
      <c r="I845" s="26" t="str">
        <f t="shared" si="105"/>
        <v/>
      </c>
      <c r="J845" t="str">
        <f t="shared" si="106"/>
        <v/>
      </c>
      <c r="K845" s="26" t="str">
        <f t="shared" si="107"/>
        <v/>
      </c>
      <c r="L845" s="26" t="str">
        <f t="shared" si="108"/>
        <v/>
      </c>
      <c r="P845" t="e">
        <f t="shared" si="109"/>
        <v>#N/A</v>
      </c>
      <c r="Q845" t="e">
        <f t="shared" si="110"/>
        <v>#N/A</v>
      </c>
    </row>
    <row r="846" spans="1:17">
      <c r="A846" s="28"/>
      <c r="B846" s="28"/>
      <c r="C846" s="28"/>
      <c r="D846" s="28"/>
      <c r="E846" s="28"/>
      <c r="F846" s="28"/>
      <c r="G846" s="26" t="str">
        <f t="shared" si="104"/>
        <v/>
      </c>
      <c r="H846" s="26" t="str">
        <f t="shared" si="111"/>
        <v/>
      </c>
      <c r="I846" s="26" t="str">
        <f t="shared" si="105"/>
        <v/>
      </c>
      <c r="J846" t="str">
        <f t="shared" si="106"/>
        <v/>
      </c>
      <c r="K846" s="26" t="str">
        <f t="shared" si="107"/>
        <v/>
      </c>
      <c r="L846" s="26" t="str">
        <f t="shared" si="108"/>
        <v/>
      </c>
      <c r="P846" t="e">
        <f t="shared" si="109"/>
        <v>#N/A</v>
      </c>
      <c r="Q846" t="e">
        <f t="shared" si="110"/>
        <v>#N/A</v>
      </c>
    </row>
    <row r="847" spans="1:17">
      <c r="A847" s="28"/>
      <c r="B847" s="28"/>
      <c r="C847" s="28"/>
      <c r="D847" s="28"/>
      <c r="E847" s="28"/>
      <c r="F847" s="28"/>
      <c r="G847" s="26" t="str">
        <f t="shared" si="104"/>
        <v/>
      </c>
      <c r="H847" s="26" t="str">
        <f t="shared" si="111"/>
        <v/>
      </c>
      <c r="I847" s="26" t="str">
        <f t="shared" si="105"/>
        <v/>
      </c>
      <c r="J847" t="str">
        <f t="shared" si="106"/>
        <v/>
      </c>
      <c r="K847" s="26" t="str">
        <f t="shared" si="107"/>
        <v/>
      </c>
      <c r="L847" s="26" t="str">
        <f t="shared" si="108"/>
        <v/>
      </c>
      <c r="P847" t="e">
        <f t="shared" si="109"/>
        <v>#N/A</v>
      </c>
      <c r="Q847" t="e">
        <f t="shared" si="110"/>
        <v>#N/A</v>
      </c>
    </row>
    <row r="848" spans="1:17">
      <c r="A848" s="28"/>
      <c r="B848" s="28"/>
      <c r="C848" s="28"/>
      <c r="D848" s="28"/>
      <c r="E848" s="28"/>
      <c r="F848" s="28"/>
      <c r="G848" s="26" t="str">
        <f t="shared" si="104"/>
        <v/>
      </c>
      <c r="H848" s="26" t="str">
        <f t="shared" si="111"/>
        <v/>
      </c>
      <c r="I848" s="26" t="str">
        <f t="shared" si="105"/>
        <v/>
      </c>
      <c r="J848" t="str">
        <f t="shared" si="106"/>
        <v/>
      </c>
      <c r="K848" s="26" t="str">
        <f t="shared" si="107"/>
        <v/>
      </c>
      <c r="L848" s="26" t="str">
        <f t="shared" si="108"/>
        <v/>
      </c>
      <c r="P848" t="e">
        <f t="shared" si="109"/>
        <v>#N/A</v>
      </c>
      <c r="Q848" t="e">
        <f t="shared" si="110"/>
        <v>#N/A</v>
      </c>
    </row>
    <row r="849" spans="1:17">
      <c r="A849" s="28"/>
      <c r="B849" s="28"/>
      <c r="C849" s="28"/>
      <c r="D849" s="28"/>
      <c r="E849" s="28"/>
      <c r="F849" s="28"/>
      <c r="G849" s="26" t="str">
        <f t="shared" si="104"/>
        <v/>
      </c>
      <c r="H849" s="26" t="str">
        <f t="shared" si="111"/>
        <v/>
      </c>
      <c r="I849" s="26" t="str">
        <f t="shared" si="105"/>
        <v/>
      </c>
      <c r="J849" t="str">
        <f t="shared" si="106"/>
        <v/>
      </c>
      <c r="K849" s="26" t="str">
        <f t="shared" si="107"/>
        <v/>
      </c>
      <c r="L849" s="26" t="str">
        <f t="shared" si="108"/>
        <v/>
      </c>
      <c r="P849" t="e">
        <f t="shared" si="109"/>
        <v>#N/A</v>
      </c>
      <c r="Q849" t="e">
        <f t="shared" si="110"/>
        <v>#N/A</v>
      </c>
    </row>
    <row r="850" spans="1:17">
      <c r="A850" s="28"/>
      <c r="B850" s="28"/>
      <c r="C850" s="28"/>
      <c r="D850" s="28"/>
      <c r="E850" s="28"/>
      <c r="F850" s="28"/>
      <c r="G850" s="26" t="str">
        <f t="shared" si="104"/>
        <v/>
      </c>
      <c r="H850" s="26" t="str">
        <f t="shared" si="111"/>
        <v/>
      </c>
      <c r="I850" s="26" t="str">
        <f t="shared" si="105"/>
        <v/>
      </c>
      <c r="J850" t="str">
        <f t="shared" si="106"/>
        <v/>
      </c>
      <c r="K850" s="26" t="str">
        <f t="shared" si="107"/>
        <v/>
      </c>
      <c r="L850" s="26" t="str">
        <f t="shared" si="108"/>
        <v/>
      </c>
      <c r="P850" t="e">
        <f t="shared" si="109"/>
        <v>#N/A</v>
      </c>
      <c r="Q850" t="e">
        <f t="shared" si="110"/>
        <v>#N/A</v>
      </c>
    </row>
    <row r="851" spans="1:17">
      <c r="A851" s="28"/>
      <c r="B851" s="28"/>
      <c r="C851" s="28"/>
      <c r="D851" s="28"/>
      <c r="E851" s="28"/>
      <c r="F851" s="28"/>
      <c r="G851" s="26" t="str">
        <f t="shared" si="104"/>
        <v/>
      </c>
      <c r="H851" s="26" t="str">
        <f t="shared" si="111"/>
        <v/>
      </c>
      <c r="I851" s="26" t="str">
        <f t="shared" si="105"/>
        <v/>
      </c>
      <c r="J851" t="str">
        <f t="shared" si="106"/>
        <v/>
      </c>
      <c r="K851" s="26" t="str">
        <f t="shared" si="107"/>
        <v/>
      </c>
      <c r="L851" s="26" t="str">
        <f t="shared" si="108"/>
        <v/>
      </c>
      <c r="P851" t="e">
        <f t="shared" si="109"/>
        <v>#N/A</v>
      </c>
      <c r="Q851" t="e">
        <f t="shared" si="110"/>
        <v>#N/A</v>
      </c>
    </row>
    <row r="852" spans="1:17">
      <c r="A852" s="28"/>
      <c r="B852" s="28"/>
      <c r="C852" s="28"/>
      <c r="D852" s="28"/>
      <c r="E852" s="28"/>
      <c r="F852" s="28"/>
      <c r="G852" s="26" t="str">
        <f t="shared" si="104"/>
        <v/>
      </c>
      <c r="H852" s="26" t="str">
        <f t="shared" si="111"/>
        <v/>
      </c>
      <c r="I852" s="26" t="str">
        <f t="shared" si="105"/>
        <v/>
      </c>
      <c r="J852" t="str">
        <f t="shared" si="106"/>
        <v/>
      </c>
      <c r="K852" s="26" t="str">
        <f t="shared" si="107"/>
        <v/>
      </c>
      <c r="L852" s="26" t="str">
        <f t="shared" si="108"/>
        <v/>
      </c>
      <c r="P852" t="e">
        <f t="shared" si="109"/>
        <v>#N/A</v>
      </c>
      <c r="Q852" t="e">
        <f t="shared" si="110"/>
        <v>#N/A</v>
      </c>
    </row>
    <row r="853" spans="1:17">
      <c r="A853" s="28"/>
      <c r="B853" s="28"/>
      <c r="C853" s="28"/>
      <c r="D853" s="28"/>
      <c r="E853" s="28"/>
      <c r="F853" s="28"/>
      <c r="G853" s="26" t="str">
        <f t="shared" si="104"/>
        <v/>
      </c>
      <c r="H853" s="26" t="str">
        <f t="shared" si="111"/>
        <v/>
      </c>
      <c r="I853" s="26" t="str">
        <f t="shared" si="105"/>
        <v/>
      </c>
      <c r="J853" t="str">
        <f t="shared" si="106"/>
        <v/>
      </c>
      <c r="K853" s="26" t="str">
        <f t="shared" si="107"/>
        <v/>
      </c>
      <c r="L853" s="26" t="str">
        <f t="shared" si="108"/>
        <v/>
      </c>
      <c r="P853" t="e">
        <f t="shared" si="109"/>
        <v>#N/A</v>
      </c>
      <c r="Q853" t="e">
        <f t="shared" si="110"/>
        <v>#N/A</v>
      </c>
    </row>
    <row r="854" spans="1:17">
      <c r="A854" s="28"/>
      <c r="B854" s="28"/>
      <c r="C854" s="28"/>
      <c r="D854" s="28"/>
      <c r="E854" s="28"/>
      <c r="F854" s="28"/>
      <c r="G854" s="26" t="str">
        <f t="shared" si="104"/>
        <v/>
      </c>
      <c r="H854" s="26" t="str">
        <f t="shared" si="111"/>
        <v/>
      </c>
      <c r="I854" s="26" t="str">
        <f t="shared" si="105"/>
        <v/>
      </c>
      <c r="J854" t="str">
        <f t="shared" si="106"/>
        <v/>
      </c>
      <c r="K854" s="26" t="str">
        <f t="shared" si="107"/>
        <v/>
      </c>
      <c r="L854" s="26" t="str">
        <f t="shared" si="108"/>
        <v/>
      </c>
      <c r="P854" t="e">
        <f t="shared" si="109"/>
        <v>#N/A</v>
      </c>
      <c r="Q854" t="e">
        <f t="shared" si="110"/>
        <v>#N/A</v>
      </c>
    </row>
    <row r="855" spans="1:17">
      <c r="A855" s="28"/>
      <c r="B855" s="28"/>
      <c r="C855" s="28"/>
      <c r="D855" s="28"/>
      <c r="E855" s="28"/>
      <c r="F855" s="28"/>
      <c r="G855" s="26" t="str">
        <f t="shared" si="104"/>
        <v/>
      </c>
      <c r="H855" s="26" t="str">
        <f t="shared" si="111"/>
        <v/>
      </c>
      <c r="I855" s="26" t="str">
        <f t="shared" si="105"/>
        <v/>
      </c>
      <c r="J855" t="str">
        <f t="shared" si="106"/>
        <v/>
      </c>
      <c r="K855" s="26" t="str">
        <f t="shared" si="107"/>
        <v/>
      </c>
      <c r="L855" s="26" t="str">
        <f t="shared" si="108"/>
        <v/>
      </c>
      <c r="P855" t="e">
        <f t="shared" si="109"/>
        <v>#N/A</v>
      </c>
      <c r="Q855" t="e">
        <f t="shared" si="110"/>
        <v>#N/A</v>
      </c>
    </row>
    <row r="856" spans="1:17">
      <c r="A856" s="28"/>
      <c r="B856" s="28"/>
      <c r="C856" s="28"/>
      <c r="D856" s="28"/>
      <c r="E856" s="28"/>
      <c r="F856" s="28"/>
      <c r="G856" s="26" t="str">
        <f t="shared" si="104"/>
        <v/>
      </c>
      <c r="H856" s="26" t="str">
        <f t="shared" si="111"/>
        <v/>
      </c>
      <c r="I856" s="26" t="str">
        <f t="shared" si="105"/>
        <v/>
      </c>
      <c r="J856" t="str">
        <f t="shared" si="106"/>
        <v/>
      </c>
      <c r="K856" s="26" t="str">
        <f t="shared" si="107"/>
        <v/>
      </c>
      <c r="L856" s="26" t="str">
        <f t="shared" si="108"/>
        <v/>
      </c>
      <c r="P856" t="e">
        <f t="shared" si="109"/>
        <v>#N/A</v>
      </c>
      <c r="Q856" t="e">
        <f t="shared" si="110"/>
        <v>#N/A</v>
      </c>
    </row>
    <row r="857" spans="1:17">
      <c r="A857" s="28"/>
      <c r="B857" s="28"/>
      <c r="C857" s="28"/>
      <c r="D857" s="28"/>
      <c r="E857" s="28"/>
      <c r="F857" s="28"/>
      <c r="G857" s="26" t="str">
        <f t="shared" si="104"/>
        <v/>
      </c>
      <c r="H857" s="26" t="str">
        <f t="shared" si="111"/>
        <v/>
      </c>
      <c r="I857" s="26" t="str">
        <f t="shared" si="105"/>
        <v/>
      </c>
      <c r="J857" t="str">
        <f t="shared" si="106"/>
        <v/>
      </c>
      <c r="K857" s="26" t="str">
        <f t="shared" si="107"/>
        <v/>
      </c>
      <c r="L857" s="26" t="str">
        <f t="shared" si="108"/>
        <v/>
      </c>
      <c r="P857" t="e">
        <f t="shared" si="109"/>
        <v>#N/A</v>
      </c>
      <c r="Q857" t="e">
        <f t="shared" si="110"/>
        <v>#N/A</v>
      </c>
    </row>
    <row r="858" spans="1:17">
      <c r="A858" s="28"/>
      <c r="B858" s="28"/>
      <c r="C858" s="28"/>
      <c r="D858" s="28"/>
      <c r="E858" s="28"/>
      <c r="F858" s="28"/>
      <c r="G858" s="26" t="str">
        <f t="shared" si="104"/>
        <v/>
      </c>
      <c r="H858" s="26" t="str">
        <f t="shared" si="111"/>
        <v/>
      </c>
      <c r="I858" s="26" t="str">
        <f t="shared" si="105"/>
        <v/>
      </c>
      <c r="J858" t="str">
        <f t="shared" si="106"/>
        <v/>
      </c>
      <c r="K858" s="26" t="str">
        <f t="shared" si="107"/>
        <v/>
      </c>
      <c r="L858" s="26" t="str">
        <f t="shared" si="108"/>
        <v/>
      </c>
      <c r="P858" t="e">
        <f t="shared" si="109"/>
        <v>#N/A</v>
      </c>
      <c r="Q858" t="e">
        <f t="shared" si="110"/>
        <v>#N/A</v>
      </c>
    </row>
    <row r="859" spans="1:17">
      <c r="A859" s="28"/>
      <c r="B859" s="28"/>
      <c r="C859" s="28"/>
      <c r="D859" s="28"/>
      <c r="E859" s="28"/>
      <c r="F859" s="28"/>
      <c r="G859" s="26" t="str">
        <f t="shared" si="104"/>
        <v/>
      </c>
      <c r="H859" s="26" t="str">
        <f t="shared" si="111"/>
        <v/>
      </c>
      <c r="I859" s="26" t="str">
        <f t="shared" si="105"/>
        <v/>
      </c>
      <c r="J859" t="str">
        <f t="shared" si="106"/>
        <v/>
      </c>
      <c r="K859" s="26" t="str">
        <f t="shared" si="107"/>
        <v/>
      </c>
      <c r="L859" s="26" t="str">
        <f t="shared" si="108"/>
        <v/>
      </c>
      <c r="P859" t="e">
        <f t="shared" si="109"/>
        <v>#N/A</v>
      </c>
      <c r="Q859" t="e">
        <f t="shared" si="110"/>
        <v>#N/A</v>
      </c>
    </row>
    <row r="860" spans="1:17">
      <c r="A860" s="28"/>
      <c r="B860" s="28"/>
      <c r="C860" s="28"/>
      <c r="D860" s="28"/>
      <c r="E860" s="28"/>
      <c r="F860" s="28"/>
      <c r="G860" s="26" t="str">
        <f t="shared" si="104"/>
        <v/>
      </c>
      <c r="H860" s="26" t="str">
        <f t="shared" si="111"/>
        <v/>
      </c>
      <c r="I860" s="26" t="str">
        <f t="shared" si="105"/>
        <v/>
      </c>
      <c r="J860" t="str">
        <f t="shared" si="106"/>
        <v/>
      </c>
      <c r="K860" s="26" t="str">
        <f t="shared" si="107"/>
        <v/>
      </c>
      <c r="L860" s="26" t="str">
        <f t="shared" si="108"/>
        <v/>
      </c>
      <c r="P860" t="e">
        <f t="shared" si="109"/>
        <v>#N/A</v>
      </c>
      <c r="Q860" t="e">
        <f t="shared" si="110"/>
        <v>#N/A</v>
      </c>
    </row>
    <row r="861" spans="1:17">
      <c r="A861" s="28"/>
      <c r="B861" s="28"/>
      <c r="C861" s="28"/>
      <c r="D861" s="28"/>
      <c r="E861" s="28"/>
      <c r="F861" s="28"/>
      <c r="G861" s="26" t="str">
        <f t="shared" si="104"/>
        <v/>
      </c>
      <c r="H861" s="26" t="str">
        <f t="shared" si="111"/>
        <v/>
      </c>
      <c r="I861" s="26" t="str">
        <f t="shared" si="105"/>
        <v/>
      </c>
      <c r="J861" t="str">
        <f t="shared" si="106"/>
        <v/>
      </c>
      <c r="K861" s="26" t="str">
        <f t="shared" si="107"/>
        <v/>
      </c>
      <c r="L861" s="26" t="str">
        <f t="shared" si="108"/>
        <v/>
      </c>
      <c r="P861" t="e">
        <f t="shared" si="109"/>
        <v>#N/A</v>
      </c>
      <c r="Q861" t="e">
        <f t="shared" si="110"/>
        <v>#N/A</v>
      </c>
    </row>
    <row r="862" spans="1:17">
      <c r="A862" s="28"/>
      <c r="B862" s="28"/>
      <c r="C862" s="28"/>
      <c r="D862" s="28"/>
      <c r="E862" s="28"/>
      <c r="F862" s="28"/>
      <c r="G862" s="26" t="str">
        <f t="shared" si="104"/>
        <v/>
      </c>
      <c r="H862" s="26" t="str">
        <f t="shared" si="111"/>
        <v/>
      </c>
      <c r="I862" s="26" t="str">
        <f t="shared" si="105"/>
        <v/>
      </c>
      <c r="J862" t="str">
        <f t="shared" si="106"/>
        <v/>
      </c>
      <c r="K862" s="26" t="str">
        <f t="shared" si="107"/>
        <v/>
      </c>
      <c r="L862" s="26" t="str">
        <f t="shared" si="108"/>
        <v/>
      </c>
      <c r="P862" t="e">
        <f t="shared" si="109"/>
        <v>#N/A</v>
      </c>
      <c r="Q862" t="e">
        <f t="shared" si="110"/>
        <v>#N/A</v>
      </c>
    </row>
    <row r="863" spans="1:17">
      <c r="A863" s="28"/>
      <c r="B863" s="28"/>
      <c r="C863" s="28"/>
      <c r="D863" s="28"/>
      <c r="E863" s="28"/>
      <c r="F863" s="28"/>
      <c r="G863" s="26" t="str">
        <f t="shared" si="104"/>
        <v/>
      </c>
      <c r="H863" s="26" t="str">
        <f t="shared" si="111"/>
        <v/>
      </c>
      <c r="I863" s="26" t="str">
        <f t="shared" si="105"/>
        <v/>
      </c>
      <c r="J863" t="str">
        <f t="shared" si="106"/>
        <v/>
      </c>
      <c r="K863" s="26" t="str">
        <f t="shared" si="107"/>
        <v/>
      </c>
      <c r="L863" s="26" t="str">
        <f t="shared" si="108"/>
        <v/>
      </c>
      <c r="P863" t="e">
        <f t="shared" si="109"/>
        <v>#N/A</v>
      </c>
      <c r="Q863" t="e">
        <f t="shared" si="110"/>
        <v>#N/A</v>
      </c>
    </row>
    <row r="864" spans="1:17">
      <c r="A864" s="28"/>
      <c r="B864" s="28"/>
      <c r="C864" s="28"/>
      <c r="D864" s="28"/>
      <c r="E864" s="28"/>
      <c r="F864" s="28"/>
      <c r="G864" s="26" t="str">
        <f t="shared" si="104"/>
        <v/>
      </c>
      <c r="H864" s="26" t="str">
        <f t="shared" si="111"/>
        <v/>
      </c>
      <c r="I864" s="26" t="str">
        <f t="shared" si="105"/>
        <v/>
      </c>
      <c r="J864" t="str">
        <f t="shared" si="106"/>
        <v/>
      </c>
      <c r="K864" s="26" t="str">
        <f t="shared" si="107"/>
        <v/>
      </c>
      <c r="L864" s="26" t="str">
        <f t="shared" si="108"/>
        <v/>
      </c>
      <c r="P864" t="e">
        <f t="shared" si="109"/>
        <v>#N/A</v>
      </c>
      <c r="Q864" t="e">
        <f t="shared" si="110"/>
        <v>#N/A</v>
      </c>
    </row>
    <row r="865" spans="1:17">
      <c r="A865" s="28"/>
      <c r="B865" s="28"/>
      <c r="C865" s="28"/>
      <c r="D865" s="28"/>
      <c r="E865" s="28"/>
      <c r="F865" s="28"/>
      <c r="G865" s="26" t="str">
        <f t="shared" si="104"/>
        <v/>
      </c>
      <c r="H865" s="26" t="str">
        <f t="shared" si="111"/>
        <v/>
      </c>
      <c r="I865" s="26" t="str">
        <f t="shared" si="105"/>
        <v/>
      </c>
      <c r="J865" t="str">
        <f t="shared" si="106"/>
        <v/>
      </c>
      <c r="K865" s="26" t="str">
        <f t="shared" si="107"/>
        <v/>
      </c>
      <c r="L865" s="26" t="str">
        <f t="shared" si="108"/>
        <v/>
      </c>
      <c r="P865" t="e">
        <f t="shared" si="109"/>
        <v>#N/A</v>
      </c>
      <c r="Q865" t="e">
        <f t="shared" si="110"/>
        <v>#N/A</v>
      </c>
    </row>
    <row r="866" spans="1:17">
      <c r="A866" s="28"/>
      <c r="B866" s="28"/>
      <c r="C866" s="28"/>
      <c r="D866" s="28"/>
      <c r="E866" s="28"/>
      <c r="F866" s="28"/>
      <c r="G866" s="26" t="str">
        <f t="shared" si="104"/>
        <v/>
      </c>
      <c r="H866" s="26" t="str">
        <f t="shared" si="111"/>
        <v/>
      </c>
      <c r="I866" s="26" t="str">
        <f t="shared" si="105"/>
        <v/>
      </c>
      <c r="J866" t="str">
        <f t="shared" si="106"/>
        <v/>
      </c>
      <c r="K866" s="26" t="str">
        <f t="shared" si="107"/>
        <v/>
      </c>
      <c r="L866" s="26" t="str">
        <f t="shared" si="108"/>
        <v/>
      </c>
      <c r="P866" t="e">
        <f t="shared" si="109"/>
        <v>#N/A</v>
      </c>
      <c r="Q866" t="e">
        <f t="shared" si="110"/>
        <v>#N/A</v>
      </c>
    </row>
    <row r="867" spans="1:17">
      <c r="A867" s="28"/>
      <c r="B867" s="28"/>
      <c r="C867" s="28"/>
      <c r="D867" s="28"/>
      <c r="E867" s="28"/>
      <c r="F867" s="28"/>
      <c r="G867" s="26" t="str">
        <f t="shared" si="104"/>
        <v/>
      </c>
      <c r="H867" s="26" t="str">
        <f t="shared" si="111"/>
        <v/>
      </c>
      <c r="I867" s="26" t="str">
        <f t="shared" si="105"/>
        <v/>
      </c>
      <c r="J867" t="str">
        <f t="shared" si="106"/>
        <v/>
      </c>
      <c r="K867" s="26" t="str">
        <f t="shared" si="107"/>
        <v/>
      </c>
      <c r="L867" s="26" t="str">
        <f t="shared" si="108"/>
        <v/>
      </c>
      <c r="P867" t="e">
        <f t="shared" si="109"/>
        <v>#N/A</v>
      </c>
      <c r="Q867" t="e">
        <f t="shared" si="110"/>
        <v>#N/A</v>
      </c>
    </row>
    <row r="868" spans="1:17">
      <c r="A868" s="28"/>
      <c r="B868" s="28"/>
      <c r="C868" s="28"/>
      <c r="D868" s="28"/>
      <c r="E868" s="28"/>
      <c r="F868" s="28"/>
      <c r="G868" s="26" t="str">
        <f t="shared" si="104"/>
        <v/>
      </c>
      <c r="H868" s="26" t="str">
        <f t="shared" si="111"/>
        <v/>
      </c>
      <c r="I868" s="26" t="str">
        <f t="shared" si="105"/>
        <v/>
      </c>
      <c r="J868" t="str">
        <f t="shared" si="106"/>
        <v/>
      </c>
      <c r="K868" s="26" t="str">
        <f t="shared" si="107"/>
        <v/>
      </c>
      <c r="L868" s="26" t="str">
        <f t="shared" si="108"/>
        <v/>
      </c>
      <c r="P868" t="e">
        <f t="shared" si="109"/>
        <v>#N/A</v>
      </c>
      <c r="Q868" t="e">
        <f t="shared" si="110"/>
        <v>#N/A</v>
      </c>
    </row>
    <row r="869" spans="1:17">
      <c r="A869" s="28"/>
      <c r="B869" s="28"/>
      <c r="C869" s="28"/>
      <c r="D869" s="28"/>
      <c r="E869" s="28"/>
      <c r="F869" s="28"/>
      <c r="G869" s="26" t="str">
        <f t="shared" si="104"/>
        <v/>
      </c>
      <c r="H869" s="26" t="str">
        <f t="shared" si="111"/>
        <v/>
      </c>
      <c r="I869" s="26" t="str">
        <f t="shared" si="105"/>
        <v/>
      </c>
      <c r="J869" t="str">
        <f t="shared" si="106"/>
        <v/>
      </c>
      <c r="K869" s="26" t="str">
        <f t="shared" si="107"/>
        <v/>
      </c>
      <c r="L869" s="26" t="str">
        <f t="shared" si="108"/>
        <v/>
      </c>
      <c r="P869" t="e">
        <f t="shared" si="109"/>
        <v>#N/A</v>
      </c>
      <c r="Q869" t="e">
        <f t="shared" si="110"/>
        <v>#N/A</v>
      </c>
    </row>
    <row r="870" spans="1:17">
      <c r="A870" s="28"/>
      <c r="B870" s="28"/>
      <c r="C870" s="28"/>
      <c r="D870" s="28"/>
      <c r="E870" s="28"/>
      <c r="F870" s="28"/>
      <c r="G870" s="26" t="str">
        <f t="shared" si="104"/>
        <v/>
      </c>
      <c r="H870" s="26" t="str">
        <f t="shared" si="111"/>
        <v/>
      </c>
      <c r="I870" s="26" t="str">
        <f t="shared" si="105"/>
        <v/>
      </c>
      <c r="J870" t="str">
        <f t="shared" si="106"/>
        <v/>
      </c>
      <c r="K870" s="26" t="str">
        <f t="shared" si="107"/>
        <v/>
      </c>
      <c r="L870" s="26" t="str">
        <f t="shared" si="108"/>
        <v/>
      </c>
      <c r="P870" t="e">
        <f t="shared" si="109"/>
        <v>#N/A</v>
      </c>
      <c r="Q870" t="e">
        <f t="shared" si="110"/>
        <v>#N/A</v>
      </c>
    </row>
    <row r="871" spans="1:17">
      <c r="A871" s="28"/>
      <c r="B871" s="28"/>
      <c r="C871" s="28"/>
      <c r="D871" s="28"/>
      <c r="E871" s="28"/>
      <c r="F871" s="28"/>
      <c r="G871" s="26" t="str">
        <f t="shared" si="104"/>
        <v/>
      </c>
      <c r="H871" s="26" t="str">
        <f t="shared" si="111"/>
        <v/>
      </c>
      <c r="I871" s="26" t="str">
        <f t="shared" si="105"/>
        <v/>
      </c>
      <c r="J871" t="str">
        <f t="shared" si="106"/>
        <v/>
      </c>
      <c r="K871" s="26" t="str">
        <f t="shared" si="107"/>
        <v/>
      </c>
      <c r="L871" s="26" t="str">
        <f t="shared" si="108"/>
        <v/>
      </c>
      <c r="P871" t="e">
        <f t="shared" si="109"/>
        <v>#N/A</v>
      </c>
      <c r="Q871" t="e">
        <f t="shared" si="110"/>
        <v>#N/A</v>
      </c>
    </row>
    <row r="872" spans="1:17">
      <c r="A872" s="28"/>
      <c r="B872" s="28"/>
      <c r="C872" s="28"/>
      <c r="D872" s="28"/>
      <c r="E872" s="28"/>
      <c r="F872" s="28"/>
      <c r="G872" s="26" t="str">
        <f t="shared" si="104"/>
        <v/>
      </c>
      <c r="H872" s="26" t="str">
        <f t="shared" si="111"/>
        <v/>
      </c>
      <c r="I872" s="26" t="str">
        <f t="shared" si="105"/>
        <v/>
      </c>
      <c r="J872" t="str">
        <f t="shared" si="106"/>
        <v/>
      </c>
      <c r="K872" s="26" t="str">
        <f t="shared" si="107"/>
        <v/>
      </c>
      <c r="L872" s="26" t="str">
        <f t="shared" si="108"/>
        <v/>
      </c>
      <c r="P872" t="e">
        <f t="shared" si="109"/>
        <v>#N/A</v>
      </c>
      <c r="Q872" t="e">
        <f t="shared" si="110"/>
        <v>#N/A</v>
      </c>
    </row>
    <row r="873" spans="1:17">
      <c r="A873" s="28"/>
      <c r="B873" s="28"/>
      <c r="C873" s="28"/>
      <c r="D873" s="28"/>
      <c r="E873" s="28"/>
      <c r="F873" s="28"/>
      <c r="G873" s="26" t="str">
        <f t="shared" si="104"/>
        <v/>
      </c>
      <c r="H873" s="26" t="str">
        <f t="shared" si="111"/>
        <v/>
      </c>
      <c r="I873" s="26" t="str">
        <f t="shared" si="105"/>
        <v/>
      </c>
      <c r="J873" t="str">
        <f t="shared" si="106"/>
        <v/>
      </c>
      <c r="K873" s="26" t="str">
        <f t="shared" si="107"/>
        <v/>
      </c>
      <c r="L873" s="26" t="str">
        <f t="shared" si="108"/>
        <v/>
      </c>
      <c r="P873" t="e">
        <f t="shared" si="109"/>
        <v>#N/A</v>
      </c>
      <c r="Q873" t="e">
        <f t="shared" si="110"/>
        <v>#N/A</v>
      </c>
    </row>
    <row r="874" spans="1:17">
      <c r="A874" s="28"/>
      <c r="B874" s="28"/>
      <c r="C874" s="28"/>
      <c r="D874" s="28"/>
      <c r="E874" s="28"/>
      <c r="F874" s="28"/>
      <c r="G874" s="26" t="str">
        <f t="shared" si="104"/>
        <v/>
      </c>
      <c r="H874" s="26" t="str">
        <f t="shared" si="111"/>
        <v/>
      </c>
      <c r="I874" s="26" t="str">
        <f t="shared" si="105"/>
        <v/>
      </c>
      <c r="J874" t="str">
        <f t="shared" si="106"/>
        <v/>
      </c>
      <c r="K874" s="26" t="str">
        <f t="shared" si="107"/>
        <v/>
      </c>
      <c r="L874" s="26" t="str">
        <f t="shared" si="108"/>
        <v/>
      </c>
      <c r="P874" t="e">
        <f t="shared" si="109"/>
        <v>#N/A</v>
      </c>
      <c r="Q874" t="e">
        <f t="shared" si="110"/>
        <v>#N/A</v>
      </c>
    </row>
    <row r="875" spans="1:17">
      <c r="A875" s="28"/>
      <c r="B875" s="28"/>
      <c r="C875" s="28"/>
      <c r="D875" s="28"/>
      <c r="E875" s="28"/>
      <c r="F875" s="28"/>
      <c r="G875" s="26" t="str">
        <f t="shared" si="104"/>
        <v/>
      </c>
      <c r="H875" s="26" t="str">
        <f t="shared" si="111"/>
        <v/>
      </c>
      <c r="I875" s="26" t="str">
        <f t="shared" si="105"/>
        <v/>
      </c>
      <c r="J875" t="str">
        <f t="shared" si="106"/>
        <v/>
      </c>
      <c r="K875" s="26" t="str">
        <f t="shared" si="107"/>
        <v/>
      </c>
      <c r="L875" s="26" t="str">
        <f t="shared" si="108"/>
        <v/>
      </c>
      <c r="P875" t="e">
        <f t="shared" si="109"/>
        <v>#N/A</v>
      </c>
      <c r="Q875" t="e">
        <f t="shared" si="110"/>
        <v>#N/A</v>
      </c>
    </row>
    <row r="876" spans="1:17">
      <c r="A876" s="28"/>
      <c r="B876" s="28"/>
      <c r="C876" s="28"/>
      <c r="D876" s="28"/>
      <c r="E876" s="28"/>
      <c r="F876" s="28"/>
      <c r="G876" s="26" t="str">
        <f t="shared" si="104"/>
        <v/>
      </c>
      <c r="H876" s="26" t="str">
        <f t="shared" si="111"/>
        <v/>
      </c>
      <c r="I876" s="26" t="str">
        <f t="shared" si="105"/>
        <v/>
      </c>
      <c r="J876" t="str">
        <f t="shared" si="106"/>
        <v/>
      </c>
      <c r="K876" s="26" t="str">
        <f t="shared" si="107"/>
        <v/>
      </c>
      <c r="L876" s="26" t="str">
        <f t="shared" si="108"/>
        <v/>
      </c>
      <c r="P876" t="e">
        <f t="shared" si="109"/>
        <v>#N/A</v>
      </c>
      <c r="Q876" t="e">
        <f t="shared" si="110"/>
        <v>#N/A</v>
      </c>
    </row>
    <row r="877" spans="1:17">
      <c r="A877" s="28"/>
      <c r="B877" s="28"/>
      <c r="C877" s="28"/>
      <c r="D877" s="28"/>
      <c r="E877" s="28"/>
      <c r="F877" s="28"/>
      <c r="G877" s="26" t="str">
        <f t="shared" si="104"/>
        <v/>
      </c>
      <c r="H877" s="26" t="str">
        <f t="shared" si="111"/>
        <v/>
      </c>
      <c r="I877" s="26" t="str">
        <f t="shared" si="105"/>
        <v/>
      </c>
      <c r="J877" t="str">
        <f t="shared" si="106"/>
        <v/>
      </c>
      <c r="K877" s="26" t="str">
        <f t="shared" si="107"/>
        <v/>
      </c>
      <c r="L877" s="26" t="str">
        <f t="shared" si="108"/>
        <v/>
      </c>
      <c r="P877" t="e">
        <f t="shared" si="109"/>
        <v>#N/A</v>
      </c>
      <c r="Q877" t="e">
        <f t="shared" si="110"/>
        <v>#N/A</v>
      </c>
    </row>
    <row r="878" spans="1:17">
      <c r="A878" s="28"/>
      <c r="B878" s="28"/>
      <c r="C878" s="28"/>
      <c r="D878" s="28"/>
      <c r="E878" s="28"/>
      <c r="F878" s="28"/>
      <c r="G878" s="26" t="str">
        <f t="shared" si="104"/>
        <v/>
      </c>
      <c r="H878" s="26" t="str">
        <f t="shared" si="111"/>
        <v/>
      </c>
      <c r="I878" s="26" t="str">
        <f t="shared" si="105"/>
        <v/>
      </c>
      <c r="J878" t="str">
        <f t="shared" si="106"/>
        <v/>
      </c>
      <c r="K878" s="26" t="str">
        <f t="shared" si="107"/>
        <v/>
      </c>
      <c r="L878" s="26" t="str">
        <f t="shared" si="108"/>
        <v/>
      </c>
      <c r="P878" t="e">
        <f t="shared" si="109"/>
        <v>#N/A</v>
      </c>
      <c r="Q878" t="e">
        <f t="shared" si="110"/>
        <v>#N/A</v>
      </c>
    </row>
    <row r="879" spans="1:17">
      <c r="A879" s="28"/>
      <c r="B879" s="28"/>
      <c r="C879" s="28"/>
      <c r="D879" s="28"/>
      <c r="E879" s="28"/>
      <c r="F879" s="28"/>
      <c r="G879" s="26" t="str">
        <f t="shared" si="104"/>
        <v/>
      </c>
      <c r="H879" s="26" t="str">
        <f t="shared" si="111"/>
        <v/>
      </c>
      <c r="I879" s="26" t="str">
        <f t="shared" si="105"/>
        <v/>
      </c>
      <c r="J879" t="str">
        <f t="shared" si="106"/>
        <v/>
      </c>
      <c r="K879" s="26" t="str">
        <f t="shared" si="107"/>
        <v/>
      </c>
      <c r="L879" s="26" t="str">
        <f t="shared" si="108"/>
        <v/>
      </c>
      <c r="P879" t="e">
        <f t="shared" si="109"/>
        <v>#N/A</v>
      </c>
      <c r="Q879" t="e">
        <f t="shared" si="110"/>
        <v>#N/A</v>
      </c>
    </row>
    <row r="880" spans="1:17">
      <c r="A880" s="28"/>
      <c r="B880" s="28"/>
      <c r="C880" s="28"/>
      <c r="D880" s="28"/>
      <c r="E880" s="28"/>
      <c r="F880" s="28"/>
      <c r="G880" s="26" t="str">
        <f t="shared" si="104"/>
        <v/>
      </c>
      <c r="H880" s="26" t="str">
        <f t="shared" si="111"/>
        <v/>
      </c>
      <c r="I880" s="26" t="str">
        <f t="shared" si="105"/>
        <v/>
      </c>
      <c r="J880" t="str">
        <f t="shared" si="106"/>
        <v/>
      </c>
      <c r="K880" s="26" t="str">
        <f t="shared" si="107"/>
        <v/>
      </c>
      <c r="L880" s="26" t="str">
        <f t="shared" si="108"/>
        <v/>
      </c>
      <c r="P880" t="e">
        <f t="shared" si="109"/>
        <v>#N/A</v>
      </c>
      <c r="Q880" t="e">
        <f t="shared" si="110"/>
        <v>#N/A</v>
      </c>
    </row>
    <row r="881" spans="1:17">
      <c r="A881" s="28"/>
      <c r="B881" s="28"/>
      <c r="C881" s="28"/>
      <c r="D881" s="28"/>
      <c r="E881" s="28"/>
      <c r="F881" s="28"/>
      <c r="G881" s="26" t="str">
        <f t="shared" si="104"/>
        <v/>
      </c>
      <c r="H881" s="26" t="str">
        <f t="shared" si="111"/>
        <v/>
      </c>
      <c r="I881" s="26" t="str">
        <f t="shared" si="105"/>
        <v/>
      </c>
      <c r="J881" t="str">
        <f t="shared" si="106"/>
        <v/>
      </c>
      <c r="K881" s="26" t="str">
        <f t="shared" si="107"/>
        <v/>
      </c>
      <c r="L881" s="26" t="str">
        <f t="shared" si="108"/>
        <v/>
      </c>
      <c r="P881" t="e">
        <f t="shared" si="109"/>
        <v>#N/A</v>
      </c>
      <c r="Q881" t="e">
        <f t="shared" si="110"/>
        <v>#N/A</v>
      </c>
    </row>
    <row r="882" spans="1:17">
      <c r="A882" s="28"/>
      <c r="B882" s="28"/>
      <c r="C882" s="28"/>
      <c r="D882" s="28"/>
      <c r="E882" s="28"/>
      <c r="F882" s="28"/>
      <c r="G882" s="26" t="str">
        <f t="shared" si="104"/>
        <v/>
      </c>
      <c r="H882" s="26" t="str">
        <f t="shared" si="111"/>
        <v/>
      </c>
      <c r="I882" s="26" t="str">
        <f t="shared" si="105"/>
        <v/>
      </c>
      <c r="J882" t="str">
        <f t="shared" si="106"/>
        <v/>
      </c>
      <c r="K882" s="26" t="str">
        <f t="shared" si="107"/>
        <v/>
      </c>
      <c r="L882" s="26" t="str">
        <f t="shared" si="108"/>
        <v/>
      </c>
      <c r="P882" t="e">
        <f t="shared" si="109"/>
        <v>#N/A</v>
      </c>
      <c r="Q882" t="e">
        <f t="shared" si="110"/>
        <v>#N/A</v>
      </c>
    </row>
    <row r="883" spans="1:17">
      <c r="A883" s="28"/>
      <c r="B883" s="28"/>
      <c r="C883" s="28"/>
      <c r="D883" s="28"/>
      <c r="E883" s="28"/>
      <c r="F883" s="28"/>
      <c r="G883" s="26" t="str">
        <f t="shared" si="104"/>
        <v/>
      </c>
      <c r="H883" s="26" t="str">
        <f t="shared" si="111"/>
        <v/>
      </c>
      <c r="I883" s="26" t="str">
        <f t="shared" si="105"/>
        <v/>
      </c>
      <c r="J883" t="str">
        <f t="shared" si="106"/>
        <v/>
      </c>
      <c r="K883" s="26" t="str">
        <f t="shared" si="107"/>
        <v/>
      </c>
      <c r="L883" s="26" t="str">
        <f t="shared" si="108"/>
        <v/>
      </c>
      <c r="P883" t="e">
        <f t="shared" si="109"/>
        <v>#N/A</v>
      </c>
      <c r="Q883" t="e">
        <f t="shared" si="110"/>
        <v>#N/A</v>
      </c>
    </row>
    <row r="884" spans="1:17">
      <c r="A884" s="28"/>
      <c r="B884" s="28"/>
      <c r="C884" s="28"/>
      <c r="D884" s="28"/>
      <c r="E884" s="28"/>
      <c r="F884" s="28"/>
      <c r="G884" s="26" t="str">
        <f t="shared" si="104"/>
        <v/>
      </c>
      <c r="H884" s="26" t="str">
        <f t="shared" si="111"/>
        <v/>
      </c>
      <c r="I884" s="26" t="str">
        <f t="shared" si="105"/>
        <v/>
      </c>
      <c r="J884" t="str">
        <f t="shared" si="106"/>
        <v/>
      </c>
      <c r="K884" s="26" t="str">
        <f t="shared" si="107"/>
        <v/>
      </c>
      <c r="L884" s="26" t="str">
        <f t="shared" si="108"/>
        <v/>
      </c>
      <c r="P884" t="e">
        <f t="shared" si="109"/>
        <v>#N/A</v>
      </c>
      <c r="Q884" t="e">
        <f t="shared" si="110"/>
        <v>#N/A</v>
      </c>
    </row>
    <row r="885" spans="1:17">
      <c r="A885" s="28"/>
      <c r="B885" s="28"/>
      <c r="C885" s="28"/>
      <c r="D885" s="28"/>
      <c r="E885" s="28"/>
      <c r="F885" s="28"/>
      <c r="G885" s="26" t="str">
        <f t="shared" si="104"/>
        <v/>
      </c>
      <c r="H885" s="26" t="str">
        <f t="shared" si="111"/>
        <v/>
      </c>
      <c r="I885" s="26" t="str">
        <f t="shared" si="105"/>
        <v/>
      </c>
      <c r="J885" t="str">
        <f t="shared" si="106"/>
        <v/>
      </c>
      <c r="K885" s="26" t="str">
        <f t="shared" si="107"/>
        <v/>
      </c>
      <c r="L885" s="26" t="str">
        <f t="shared" si="108"/>
        <v/>
      </c>
      <c r="P885" t="e">
        <f t="shared" si="109"/>
        <v>#N/A</v>
      </c>
      <c r="Q885" t="e">
        <f t="shared" si="110"/>
        <v>#N/A</v>
      </c>
    </row>
    <row r="886" spans="1:17">
      <c r="A886" s="28"/>
      <c r="B886" s="28"/>
      <c r="C886" s="28"/>
      <c r="D886" s="28"/>
      <c r="E886" s="28"/>
      <c r="F886" s="28"/>
      <c r="G886" s="26" t="str">
        <f t="shared" si="104"/>
        <v/>
      </c>
      <c r="H886" s="26" t="str">
        <f t="shared" si="111"/>
        <v/>
      </c>
      <c r="I886" s="26" t="str">
        <f t="shared" si="105"/>
        <v/>
      </c>
      <c r="J886" t="str">
        <f t="shared" si="106"/>
        <v/>
      </c>
      <c r="K886" s="26" t="str">
        <f t="shared" si="107"/>
        <v/>
      </c>
      <c r="L886" s="26" t="str">
        <f t="shared" si="108"/>
        <v/>
      </c>
      <c r="P886" t="e">
        <f t="shared" si="109"/>
        <v>#N/A</v>
      </c>
      <c r="Q886" t="e">
        <f t="shared" si="110"/>
        <v>#N/A</v>
      </c>
    </row>
    <row r="887" spans="1:17">
      <c r="A887" s="28"/>
      <c r="B887" s="28"/>
      <c r="C887" s="28"/>
      <c r="D887" s="28"/>
      <c r="E887" s="28"/>
      <c r="F887" s="28"/>
      <c r="G887" s="26" t="str">
        <f t="shared" si="104"/>
        <v/>
      </c>
      <c r="H887" s="26" t="str">
        <f t="shared" si="111"/>
        <v/>
      </c>
      <c r="I887" s="26" t="str">
        <f t="shared" si="105"/>
        <v/>
      </c>
      <c r="J887" t="str">
        <f t="shared" si="106"/>
        <v/>
      </c>
      <c r="K887" s="26" t="str">
        <f t="shared" si="107"/>
        <v/>
      </c>
      <c r="L887" s="26" t="str">
        <f t="shared" si="108"/>
        <v/>
      </c>
      <c r="P887" t="e">
        <f t="shared" si="109"/>
        <v>#N/A</v>
      </c>
      <c r="Q887" t="e">
        <f t="shared" si="110"/>
        <v>#N/A</v>
      </c>
    </row>
    <row r="888" spans="1:17">
      <c r="A888" s="28"/>
      <c r="B888" s="28"/>
      <c r="C888" s="28"/>
      <c r="D888" s="28"/>
      <c r="E888" s="28"/>
      <c r="F888" s="28"/>
      <c r="G888" s="26" t="str">
        <f t="shared" si="104"/>
        <v/>
      </c>
      <c r="H888" s="26" t="str">
        <f t="shared" si="111"/>
        <v/>
      </c>
      <c r="I888" s="26" t="str">
        <f t="shared" si="105"/>
        <v/>
      </c>
      <c r="J888" t="str">
        <f t="shared" si="106"/>
        <v/>
      </c>
      <c r="K888" s="26" t="str">
        <f t="shared" si="107"/>
        <v/>
      </c>
      <c r="L888" s="26" t="str">
        <f t="shared" si="108"/>
        <v/>
      </c>
      <c r="P888" t="e">
        <f t="shared" si="109"/>
        <v>#N/A</v>
      </c>
      <c r="Q888" t="e">
        <f t="shared" si="110"/>
        <v>#N/A</v>
      </c>
    </row>
    <row r="889" spans="1:17">
      <c r="A889" s="28"/>
      <c r="B889" s="28"/>
      <c r="C889" s="28"/>
      <c r="D889" s="28"/>
      <c r="E889" s="28"/>
      <c r="F889" s="28"/>
      <c r="G889" s="26" t="str">
        <f t="shared" si="104"/>
        <v/>
      </c>
      <c r="H889" s="26" t="str">
        <f t="shared" si="111"/>
        <v/>
      </c>
      <c r="I889" s="26" t="str">
        <f t="shared" si="105"/>
        <v/>
      </c>
      <c r="J889" t="str">
        <f t="shared" si="106"/>
        <v/>
      </c>
      <c r="K889" s="26" t="str">
        <f t="shared" si="107"/>
        <v/>
      </c>
      <c r="L889" s="26" t="str">
        <f t="shared" si="108"/>
        <v/>
      </c>
      <c r="P889" t="e">
        <f t="shared" si="109"/>
        <v>#N/A</v>
      </c>
      <c r="Q889" t="e">
        <f t="shared" si="110"/>
        <v>#N/A</v>
      </c>
    </row>
    <row r="890" spans="1:17">
      <c r="A890" s="28"/>
      <c r="B890" s="28"/>
      <c r="C890" s="28"/>
      <c r="D890" s="28"/>
      <c r="E890" s="28"/>
      <c r="F890" s="28"/>
      <c r="G890" s="26" t="str">
        <f t="shared" si="104"/>
        <v/>
      </c>
      <c r="H890" s="26" t="str">
        <f t="shared" si="111"/>
        <v/>
      </c>
      <c r="I890" s="26" t="str">
        <f t="shared" si="105"/>
        <v/>
      </c>
      <c r="J890" t="str">
        <f t="shared" si="106"/>
        <v/>
      </c>
      <c r="K890" s="26" t="str">
        <f t="shared" si="107"/>
        <v/>
      </c>
      <c r="L890" s="26" t="str">
        <f t="shared" si="108"/>
        <v/>
      </c>
      <c r="P890" t="e">
        <f t="shared" si="109"/>
        <v>#N/A</v>
      </c>
      <c r="Q890" t="e">
        <f t="shared" si="110"/>
        <v>#N/A</v>
      </c>
    </row>
    <row r="891" spans="1:17">
      <c r="A891" s="28"/>
      <c r="B891" s="28"/>
      <c r="C891" s="28"/>
      <c r="D891" s="28"/>
      <c r="E891" s="28"/>
      <c r="F891" s="28"/>
      <c r="G891" s="26" t="str">
        <f t="shared" si="104"/>
        <v/>
      </c>
      <c r="H891" s="26" t="str">
        <f t="shared" si="111"/>
        <v/>
      </c>
      <c r="I891" s="26" t="str">
        <f t="shared" si="105"/>
        <v/>
      </c>
      <c r="J891" t="str">
        <f t="shared" si="106"/>
        <v/>
      </c>
      <c r="K891" s="26" t="str">
        <f t="shared" si="107"/>
        <v/>
      </c>
      <c r="L891" s="26" t="str">
        <f t="shared" si="108"/>
        <v/>
      </c>
      <c r="P891" t="e">
        <f t="shared" si="109"/>
        <v>#N/A</v>
      </c>
      <c r="Q891" t="e">
        <f t="shared" si="110"/>
        <v>#N/A</v>
      </c>
    </row>
    <row r="892" spans="1:17">
      <c r="A892" s="28"/>
      <c r="B892" s="28"/>
      <c r="C892" s="28"/>
      <c r="D892" s="28"/>
      <c r="E892" s="28"/>
      <c r="F892" s="28"/>
      <c r="G892" s="26" t="str">
        <f t="shared" si="104"/>
        <v/>
      </c>
      <c r="H892" s="26" t="str">
        <f t="shared" si="111"/>
        <v/>
      </c>
      <c r="I892" s="26" t="str">
        <f t="shared" si="105"/>
        <v/>
      </c>
      <c r="J892" t="str">
        <f t="shared" si="106"/>
        <v/>
      </c>
      <c r="K892" s="26" t="str">
        <f t="shared" si="107"/>
        <v/>
      </c>
      <c r="L892" s="26" t="str">
        <f t="shared" si="108"/>
        <v/>
      </c>
      <c r="P892" t="e">
        <f t="shared" si="109"/>
        <v>#N/A</v>
      </c>
      <c r="Q892" t="e">
        <f t="shared" si="110"/>
        <v>#N/A</v>
      </c>
    </row>
    <row r="893" spans="1:17">
      <c r="A893" s="28"/>
      <c r="B893" s="28"/>
      <c r="C893" s="28"/>
      <c r="D893" s="28"/>
      <c r="E893" s="28"/>
      <c r="F893" s="28"/>
      <c r="G893" s="26" t="str">
        <f t="shared" si="104"/>
        <v/>
      </c>
      <c r="H893" s="26" t="str">
        <f t="shared" si="111"/>
        <v/>
      </c>
      <c r="I893" s="26" t="str">
        <f t="shared" si="105"/>
        <v/>
      </c>
      <c r="J893" t="str">
        <f t="shared" si="106"/>
        <v/>
      </c>
      <c r="K893" s="26" t="str">
        <f t="shared" si="107"/>
        <v/>
      </c>
      <c r="L893" s="26" t="str">
        <f t="shared" si="108"/>
        <v/>
      </c>
      <c r="P893" t="e">
        <f t="shared" si="109"/>
        <v>#N/A</v>
      </c>
      <c r="Q893" t="e">
        <f t="shared" si="110"/>
        <v>#N/A</v>
      </c>
    </row>
    <row r="894" spans="1:17">
      <c r="A894" s="28"/>
      <c r="B894" s="28"/>
      <c r="C894" s="28"/>
      <c r="D894" s="28"/>
      <c r="E894" s="28"/>
      <c r="F894" s="28"/>
      <c r="G894" s="26" t="str">
        <f t="shared" si="104"/>
        <v/>
      </c>
      <c r="H894" s="26" t="str">
        <f t="shared" si="111"/>
        <v/>
      </c>
      <c r="I894" s="26" t="str">
        <f t="shared" si="105"/>
        <v/>
      </c>
      <c r="J894" t="str">
        <f t="shared" si="106"/>
        <v/>
      </c>
      <c r="K894" s="26" t="str">
        <f t="shared" si="107"/>
        <v/>
      </c>
      <c r="L894" s="26" t="str">
        <f t="shared" si="108"/>
        <v/>
      </c>
      <c r="P894" t="e">
        <f t="shared" si="109"/>
        <v>#N/A</v>
      </c>
      <c r="Q894" t="e">
        <f t="shared" si="110"/>
        <v>#N/A</v>
      </c>
    </row>
    <row r="895" spans="1:17">
      <c r="A895" s="28"/>
      <c r="B895" s="28"/>
      <c r="C895" s="28"/>
      <c r="D895" s="28"/>
      <c r="E895" s="28"/>
      <c r="F895" s="28"/>
      <c r="G895" s="26" t="str">
        <f t="shared" si="104"/>
        <v/>
      </c>
      <c r="H895" s="26" t="str">
        <f t="shared" si="111"/>
        <v/>
      </c>
      <c r="I895" s="26" t="str">
        <f t="shared" si="105"/>
        <v/>
      </c>
      <c r="J895" t="str">
        <f t="shared" si="106"/>
        <v/>
      </c>
      <c r="K895" s="26" t="str">
        <f t="shared" si="107"/>
        <v/>
      </c>
      <c r="L895" s="26" t="str">
        <f t="shared" si="108"/>
        <v/>
      </c>
      <c r="P895" t="e">
        <f t="shared" si="109"/>
        <v>#N/A</v>
      </c>
      <c r="Q895" t="e">
        <f t="shared" si="110"/>
        <v>#N/A</v>
      </c>
    </row>
    <row r="896" spans="1:17">
      <c r="A896" s="28"/>
      <c r="B896" s="28"/>
      <c r="C896" s="28"/>
      <c r="D896" s="28"/>
      <c r="E896" s="28"/>
      <c r="F896" s="28"/>
      <c r="G896" s="26" t="str">
        <f t="shared" si="104"/>
        <v/>
      </c>
      <c r="H896" s="26" t="str">
        <f t="shared" si="111"/>
        <v/>
      </c>
      <c r="I896" s="26" t="str">
        <f t="shared" si="105"/>
        <v/>
      </c>
      <c r="J896" t="str">
        <f t="shared" si="106"/>
        <v/>
      </c>
      <c r="K896" s="26" t="str">
        <f t="shared" si="107"/>
        <v/>
      </c>
      <c r="L896" s="26" t="str">
        <f t="shared" si="108"/>
        <v/>
      </c>
      <c r="P896" t="e">
        <f t="shared" si="109"/>
        <v>#N/A</v>
      </c>
      <c r="Q896" t="e">
        <f t="shared" si="110"/>
        <v>#N/A</v>
      </c>
    </row>
    <row r="897" spans="1:17">
      <c r="A897" s="28"/>
      <c r="B897" s="28"/>
      <c r="C897" s="28"/>
      <c r="D897" s="28"/>
      <c r="E897" s="28"/>
      <c r="F897" s="28"/>
      <c r="G897" s="26" t="str">
        <f t="shared" si="104"/>
        <v/>
      </c>
      <c r="H897" s="26" t="str">
        <f t="shared" si="111"/>
        <v/>
      </c>
      <c r="I897" s="26" t="str">
        <f t="shared" si="105"/>
        <v/>
      </c>
      <c r="J897" t="str">
        <f t="shared" si="106"/>
        <v/>
      </c>
      <c r="K897" s="26" t="str">
        <f t="shared" si="107"/>
        <v/>
      </c>
      <c r="L897" s="26" t="str">
        <f t="shared" si="108"/>
        <v/>
      </c>
      <c r="P897" t="e">
        <f t="shared" si="109"/>
        <v>#N/A</v>
      </c>
      <c r="Q897" t="e">
        <f t="shared" si="110"/>
        <v>#N/A</v>
      </c>
    </row>
    <row r="898" spans="1:17">
      <c r="A898" s="28"/>
      <c r="B898" s="28"/>
      <c r="C898" s="28"/>
      <c r="D898" s="28"/>
      <c r="E898" s="28"/>
      <c r="F898" s="28"/>
      <c r="G898" s="26" t="str">
        <f t="shared" ref="G898:G961" si="112">IF(B898="","",243.04*(LN(C898/100)+17.625*B898/(243.04+B898))/(17.625-LN(C898/100)-17.625*B898/(243.04+B898)))</f>
        <v/>
      </c>
      <c r="H898" s="26" t="str">
        <f t="shared" si="111"/>
        <v/>
      </c>
      <c r="I898" s="26" t="str">
        <f t="shared" ref="I898:I961" si="113">IF(B898="","",B898-E898)</f>
        <v/>
      </c>
      <c r="J898" t="str">
        <f t="shared" ref="J898:J961" si="114">IF(H898="","",IF(H898&gt;0.6,"Heating",IF(H898&lt;-0.2,"Cooling","Steady")))</f>
        <v/>
      </c>
      <c r="K898" s="26" t="str">
        <f t="shared" ref="K898:K961" si="115">IF(J898="Cooling",I898,"")</f>
        <v/>
      </c>
      <c r="L898" s="26" t="str">
        <f t="shared" ref="L898:L961" si="116">IF(J898="Cooling",H898,"")</f>
        <v/>
      </c>
      <c r="P898" t="e">
        <f t="shared" ref="P898:P961" si="117">IF(K898="",NA(),K898)</f>
        <v>#N/A</v>
      </c>
      <c r="Q898" t="e">
        <f t="shared" ref="Q898:Q961" si="118">IF(L898="",NA(),L898)</f>
        <v>#N/A</v>
      </c>
    </row>
    <row r="899" spans="1:17">
      <c r="A899" s="28"/>
      <c r="B899" s="28"/>
      <c r="C899" s="28"/>
      <c r="D899" s="28"/>
      <c r="E899" s="28"/>
      <c r="F899" s="28"/>
      <c r="G899" s="26" t="str">
        <f t="shared" si="112"/>
        <v/>
      </c>
      <c r="H899" s="26" t="str">
        <f t="shared" si="111"/>
        <v/>
      </c>
      <c r="I899" s="26" t="str">
        <f t="shared" si="113"/>
        <v/>
      </c>
      <c r="J899" t="str">
        <f t="shared" si="114"/>
        <v/>
      </c>
      <c r="K899" s="26" t="str">
        <f t="shared" si="115"/>
        <v/>
      </c>
      <c r="L899" s="26" t="str">
        <f t="shared" si="116"/>
        <v/>
      </c>
      <c r="P899" t="e">
        <f t="shared" si="117"/>
        <v>#N/A</v>
      </c>
      <c r="Q899" t="e">
        <f t="shared" si="118"/>
        <v>#N/A</v>
      </c>
    </row>
    <row r="900" spans="1:17">
      <c r="A900" s="28"/>
      <c r="B900" s="28"/>
      <c r="C900" s="28"/>
      <c r="D900" s="28"/>
      <c r="E900" s="28"/>
      <c r="F900" s="28"/>
      <c r="G900" s="26" t="str">
        <f t="shared" si="112"/>
        <v/>
      </c>
      <c r="H900" s="26" t="str">
        <f t="shared" ref="H900:H963" si="119">IFERROR(IF(OR(B898="",B902=""),"",(B902-B898)/4*60),"")</f>
        <v/>
      </c>
      <c r="I900" s="26" t="str">
        <f t="shared" si="113"/>
        <v/>
      </c>
      <c r="J900" t="str">
        <f t="shared" si="114"/>
        <v/>
      </c>
      <c r="K900" s="26" t="str">
        <f t="shared" si="115"/>
        <v/>
      </c>
      <c r="L900" s="26" t="str">
        <f t="shared" si="116"/>
        <v/>
      </c>
      <c r="P900" t="e">
        <f t="shared" si="117"/>
        <v>#N/A</v>
      </c>
      <c r="Q900" t="e">
        <f t="shared" si="118"/>
        <v>#N/A</v>
      </c>
    </row>
    <row r="901" spans="1:17">
      <c r="A901" s="28"/>
      <c r="B901" s="28"/>
      <c r="C901" s="28"/>
      <c r="D901" s="28"/>
      <c r="E901" s="28"/>
      <c r="F901" s="28"/>
      <c r="G901" s="26" t="str">
        <f t="shared" si="112"/>
        <v/>
      </c>
      <c r="H901" s="26" t="str">
        <f t="shared" si="119"/>
        <v/>
      </c>
      <c r="I901" s="26" t="str">
        <f t="shared" si="113"/>
        <v/>
      </c>
      <c r="J901" t="str">
        <f t="shared" si="114"/>
        <v/>
      </c>
      <c r="K901" s="26" t="str">
        <f t="shared" si="115"/>
        <v/>
      </c>
      <c r="L901" s="26" t="str">
        <f t="shared" si="116"/>
        <v/>
      </c>
      <c r="P901" t="e">
        <f t="shared" si="117"/>
        <v>#N/A</v>
      </c>
      <c r="Q901" t="e">
        <f t="shared" si="118"/>
        <v>#N/A</v>
      </c>
    </row>
    <row r="902" spans="1:17">
      <c r="A902" s="28"/>
      <c r="B902" s="28"/>
      <c r="C902" s="28"/>
      <c r="D902" s="28"/>
      <c r="E902" s="28"/>
      <c r="F902" s="28"/>
      <c r="G902" s="26" t="str">
        <f t="shared" si="112"/>
        <v/>
      </c>
      <c r="H902" s="26" t="str">
        <f t="shared" si="119"/>
        <v/>
      </c>
      <c r="I902" s="26" t="str">
        <f t="shared" si="113"/>
        <v/>
      </c>
      <c r="J902" t="str">
        <f t="shared" si="114"/>
        <v/>
      </c>
      <c r="K902" s="26" t="str">
        <f t="shared" si="115"/>
        <v/>
      </c>
      <c r="L902" s="26" t="str">
        <f t="shared" si="116"/>
        <v/>
      </c>
      <c r="P902" t="e">
        <f t="shared" si="117"/>
        <v>#N/A</v>
      </c>
      <c r="Q902" t="e">
        <f t="shared" si="118"/>
        <v>#N/A</v>
      </c>
    </row>
    <row r="903" spans="1:17">
      <c r="A903" s="28"/>
      <c r="B903" s="28"/>
      <c r="C903" s="28"/>
      <c r="D903" s="28"/>
      <c r="E903" s="28"/>
      <c r="F903" s="28"/>
      <c r="G903" s="26" t="str">
        <f t="shared" si="112"/>
        <v/>
      </c>
      <c r="H903" s="26" t="str">
        <f t="shared" si="119"/>
        <v/>
      </c>
      <c r="I903" s="26" t="str">
        <f t="shared" si="113"/>
        <v/>
      </c>
      <c r="J903" t="str">
        <f t="shared" si="114"/>
        <v/>
      </c>
      <c r="K903" s="26" t="str">
        <f t="shared" si="115"/>
        <v/>
      </c>
      <c r="L903" s="26" t="str">
        <f t="shared" si="116"/>
        <v/>
      </c>
      <c r="P903" t="e">
        <f t="shared" si="117"/>
        <v>#N/A</v>
      </c>
      <c r="Q903" t="e">
        <f t="shared" si="118"/>
        <v>#N/A</v>
      </c>
    </row>
    <row r="904" spans="1:17">
      <c r="A904" s="28"/>
      <c r="B904" s="28"/>
      <c r="C904" s="28"/>
      <c r="D904" s="28"/>
      <c r="E904" s="28"/>
      <c r="F904" s="28"/>
      <c r="G904" s="26" t="str">
        <f t="shared" si="112"/>
        <v/>
      </c>
      <c r="H904" s="26" t="str">
        <f t="shared" si="119"/>
        <v/>
      </c>
      <c r="I904" s="26" t="str">
        <f t="shared" si="113"/>
        <v/>
      </c>
      <c r="J904" t="str">
        <f t="shared" si="114"/>
        <v/>
      </c>
      <c r="K904" s="26" t="str">
        <f t="shared" si="115"/>
        <v/>
      </c>
      <c r="L904" s="26" t="str">
        <f t="shared" si="116"/>
        <v/>
      </c>
      <c r="P904" t="e">
        <f t="shared" si="117"/>
        <v>#N/A</v>
      </c>
      <c r="Q904" t="e">
        <f t="shared" si="118"/>
        <v>#N/A</v>
      </c>
    </row>
    <row r="905" spans="1:17">
      <c r="A905" s="28"/>
      <c r="B905" s="28"/>
      <c r="C905" s="28"/>
      <c r="D905" s="28"/>
      <c r="E905" s="28"/>
      <c r="F905" s="28"/>
      <c r="G905" s="26" t="str">
        <f t="shared" si="112"/>
        <v/>
      </c>
      <c r="H905" s="26" t="str">
        <f t="shared" si="119"/>
        <v/>
      </c>
      <c r="I905" s="26" t="str">
        <f t="shared" si="113"/>
        <v/>
      </c>
      <c r="J905" t="str">
        <f t="shared" si="114"/>
        <v/>
      </c>
      <c r="K905" s="26" t="str">
        <f t="shared" si="115"/>
        <v/>
      </c>
      <c r="L905" s="26" t="str">
        <f t="shared" si="116"/>
        <v/>
      </c>
      <c r="P905" t="e">
        <f t="shared" si="117"/>
        <v>#N/A</v>
      </c>
      <c r="Q905" t="e">
        <f t="shared" si="118"/>
        <v>#N/A</v>
      </c>
    </row>
    <row r="906" spans="1:17">
      <c r="A906" s="28"/>
      <c r="B906" s="28"/>
      <c r="C906" s="28"/>
      <c r="D906" s="28"/>
      <c r="E906" s="28"/>
      <c r="F906" s="28"/>
      <c r="G906" s="26" t="str">
        <f t="shared" si="112"/>
        <v/>
      </c>
      <c r="H906" s="26" t="str">
        <f t="shared" si="119"/>
        <v/>
      </c>
      <c r="I906" s="26" t="str">
        <f t="shared" si="113"/>
        <v/>
      </c>
      <c r="J906" t="str">
        <f t="shared" si="114"/>
        <v/>
      </c>
      <c r="K906" s="26" t="str">
        <f t="shared" si="115"/>
        <v/>
      </c>
      <c r="L906" s="26" t="str">
        <f t="shared" si="116"/>
        <v/>
      </c>
      <c r="P906" t="e">
        <f t="shared" si="117"/>
        <v>#N/A</v>
      </c>
      <c r="Q906" t="e">
        <f t="shared" si="118"/>
        <v>#N/A</v>
      </c>
    </row>
    <row r="907" spans="1:17">
      <c r="A907" s="28"/>
      <c r="B907" s="28"/>
      <c r="C907" s="28"/>
      <c r="D907" s="28"/>
      <c r="E907" s="28"/>
      <c r="F907" s="28"/>
      <c r="G907" s="26" t="str">
        <f t="shared" si="112"/>
        <v/>
      </c>
      <c r="H907" s="26" t="str">
        <f t="shared" si="119"/>
        <v/>
      </c>
      <c r="I907" s="26" t="str">
        <f t="shared" si="113"/>
        <v/>
      </c>
      <c r="J907" t="str">
        <f t="shared" si="114"/>
        <v/>
      </c>
      <c r="K907" s="26" t="str">
        <f t="shared" si="115"/>
        <v/>
      </c>
      <c r="L907" s="26" t="str">
        <f t="shared" si="116"/>
        <v/>
      </c>
      <c r="P907" t="e">
        <f t="shared" si="117"/>
        <v>#N/A</v>
      </c>
      <c r="Q907" t="e">
        <f t="shared" si="118"/>
        <v>#N/A</v>
      </c>
    </row>
    <row r="908" spans="1:17">
      <c r="A908" s="28"/>
      <c r="B908" s="28"/>
      <c r="C908" s="28"/>
      <c r="D908" s="28"/>
      <c r="E908" s="28"/>
      <c r="F908" s="28"/>
      <c r="G908" s="26" t="str">
        <f t="shared" si="112"/>
        <v/>
      </c>
      <c r="H908" s="26" t="str">
        <f t="shared" si="119"/>
        <v/>
      </c>
      <c r="I908" s="26" t="str">
        <f t="shared" si="113"/>
        <v/>
      </c>
      <c r="J908" t="str">
        <f t="shared" si="114"/>
        <v/>
      </c>
      <c r="K908" s="26" t="str">
        <f t="shared" si="115"/>
        <v/>
      </c>
      <c r="L908" s="26" t="str">
        <f t="shared" si="116"/>
        <v/>
      </c>
      <c r="P908" t="e">
        <f t="shared" si="117"/>
        <v>#N/A</v>
      </c>
      <c r="Q908" t="e">
        <f t="shared" si="118"/>
        <v>#N/A</v>
      </c>
    </row>
    <row r="909" spans="1:17">
      <c r="A909" s="28"/>
      <c r="B909" s="28"/>
      <c r="C909" s="28"/>
      <c r="D909" s="28"/>
      <c r="E909" s="28"/>
      <c r="F909" s="28"/>
      <c r="G909" s="26" t="str">
        <f t="shared" si="112"/>
        <v/>
      </c>
      <c r="H909" s="26" t="str">
        <f t="shared" si="119"/>
        <v/>
      </c>
      <c r="I909" s="26" t="str">
        <f t="shared" si="113"/>
        <v/>
      </c>
      <c r="J909" t="str">
        <f t="shared" si="114"/>
        <v/>
      </c>
      <c r="K909" s="26" t="str">
        <f t="shared" si="115"/>
        <v/>
      </c>
      <c r="L909" s="26" t="str">
        <f t="shared" si="116"/>
        <v/>
      </c>
      <c r="P909" t="e">
        <f t="shared" si="117"/>
        <v>#N/A</v>
      </c>
      <c r="Q909" t="e">
        <f t="shared" si="118"/>
        <v>#N/A</v>
      </c>
    </row>
    <row r="910" spans="1:17">
      <c r="A910" s="28"/>
      <c r="B910" s="28"/>
      <c r="C910" s="28"/>
      <c r="D910" s="28"/>
      <c r="E910" s="28"/>
      <c r="F910" s="28"/>
      <c r="G910" s="26" t="str">
        <f t="shared" si="112"/>
        <v/>
      </c>
      <c r="H910" s="26" t="str">
        <f t="shared" si="119"/>
        <v/>
      </c>
      <c r="I910" s="26" t="str">
        <f t="shared" si="113"/>
        <v/>
      </c>
      <c r="J910" t="str">
        <f t="shared" si="114"/>
        <v/>
      </c>
      <c r="K910" s="26" t="str">
        <f t="shared" si="115"/>
        <v/>
      </c>
      <c r="L910" s="26" t="str">
        <f t="shared" si="116"/>
        <v/>
      </c>
      <c r="P910" t="e">
        <f t="shared" si="117"/>
        <v>#N/A</v>
      </c>
      <c r="Q910" t="e">
        <f t="shared" si="118"/>
        <v>#N/A</v>
      </c>
    </row>
    <row r="911" spans="1:17">
      <c r="A911" s="28"/>
      <c r="B911" s="28"/>
      <c r="C911" s="28"/>
      <c r="D911" s="28"/>
      <c r="E911" s="28"/>
      <c r="F911" s="28"/>
      <c r="G911" s="26" t="str">
        <f t="shared" si="112"/>
        <v/>
      </c>
      <c r="H911" s="26" t="str">
        <f t="shared" si="119"/>
        <v/>
      </c>
      <c r="I911" s="26" t="str">
        <f t="shared" si="113"/>
        <v/>
      </c>
      <c r="J911" t="str">
        <f t="shared" si="114"/>
        <v/>
      </c>
      <c r="K911" s="26" t="str">
        <f t="shared" si="115"/>
        <v/>
      </c>
      <c r="L911" s="26" t="str">
        <f t="shared" si="116"/>
        <v/>
      </c>
      <c r="P911" t="e">
        <f t="shared" si="117"/>
        <v>#N/A</v>
      </c>
      <c r="Q911" t="e">
        <f t="shared" si="118"/>
        <v>#N/A</v>
      </c>
    </row>
    <row r="912" spans="1:17">
      <c r="A912" s="28"/>
      <c r="B912" s="28"/>
      <c r="C912" s="28"/>
      <c r="D912" s="28"/>
      <c r="E912" s="28"/>
      <c r="F912" s="28"/>
      <c r="G912" s="26" t="str">
        <f t="shared" si="112"/>
        <v/>
      </c>
      <c r="H912" s="26" t="str">
        <f t="shared" si="119"/>
        <v/>
      </c>
      <c r="I912" s="26" t="str">
        <f t="shared" si="113"/>
        <v/>
      </c>
      <c r="J912" t="str">
        <f t="shared" si="114"/>
        <v/>
      </c>
      <c r="K912" s="26" t="str">
        <f t="shared" si="115"/>
        <v/>
      </c>
      <c r="L912" s="26" t="str">
        <f t="shared" si="116"/>
        <v/>
      </c>
      <c r="P912" t="e">
        <f t="shared" si="117"/>
        <v>#N/A</v>
      </c>
      <c r="Q912" t="e">
        <f t="shared" si="118"/>
        <v>#N/A</v>
      </c>
    </row>
    <row r="913" spans="1:17">
      <c r="A913" s="28"/>
      <c r="B913" s="28"/>
      <c r="C913" s="28"/>
      <c r="D913" s="28"/>
      <c r="E913" s="28"/>
      <c r="F913" s="28"/>
      <c r="G913" s="26" t="str">
        <f t="shared" si="112"/>
        <v/>
      </c>
      <c r="H913" s="26" t="str">
        <f t="shared" si="119"/>
        <v/>
      </c>
      <c r="I913" s="26" t="str">
        <f t="shared" si="113"/>
        <v/>
      </c>
      <c r="J913" t="str">
        <f t="shared" si="114"/>
        <v/>
      </c>
      <c r="K913" s="26" t="str">
        <f t="shared" si="115"/>
        <v/>
      </c>
      <c r="L913" s="26" t="str">
        <f t="shared" si="116"/>
        <v/>
      </c>
      <c r="P913" t="e">
        <f t="shared" si="117"/>
        <v>#N/A</v>
      </c>
      <c r="Q913" t="e">
        <f t="shared" si="118"/>
        <v>#N/A</v>
      </c>
    </row>
    <row r="914" spans="1:17">
      <c r="A914" s="28"/>
      <c r="B914" s="28"/>
      <c r="C914" s="28"/>
      <c r="D914" s="28"/>
      <c r="E914" s="28"/>
      <c r="F914" s="28"/>
      <c r="G914" s="26" t="str">
        <f t="shared" si="112"/>
        <v/>
      </c>
      <c r="H914" s="26" t="str">
        <f t="shared" si="119"/>
        <v/>
      </c>
      <c r="I914" s="26" t="str">
        <f t="shared" si="113"/>
        <v/>
      </c>
      <c r="J914" t="str">
        <f t="shared" si="114"/>
        <v/>
      </c>
      <c r="K914" s="26" t="str">
        <f t="shared" si="115"/>
        <v/>
      </c>
      <c r="L914" s="26" t="str">
        <f t="shared" si="116"/>
        <v/>
      </c>
      <c r="P914" t="e">
        <f t="shared" si="117"/>
        <v>#N/A</v>
      </c>
      <c r="Q914" t="e">
        <f t="shared" si="118"/>
        <v>#N/A</v>
      </c>
    </row>
    <row r="915" spans="1:17">
      <c r="A915" s="28"/>
      <c r="B915" s="28"/>
      <c r="C915" s="28"/>
      <c r="D915" s="28"/>
      <c r="E915" s="28"/>
      <c r="F915" s="28"/>
      <c r="G915" s="26" t="str">
        <f t="shared" si="112"/>
        <v/>
      </c>
      <c r="H915" s="26" t="str">
        <f t="shared" si="119"/>
        <v/>
      </c>
      <c r="I915" s="26" t="str">
        <f t="shared" si="113"/>
        <v/>
      </c>
      <c r="J915" t="str">
        <f t="shared" si="114"/>
        <v/>
      </c>
      <c r="K915" s="26" t="str">
        <f t="shared" si="115"/>
        <v/>
      </c>
      <c r="L915" s="26" t="str">
        <f t="shared" si="116"/>
        <v/>
      </c>
      <c r="P915" t="e">
        <f t="shared" si="117"/>
        <v>#N/A</v>
      </c>
      <c r="Q915" t="e">
        <f t="shared" si="118"/>
        <v>#N/A</v>
      </c>
    </row>
    <row r="916" spans="1:17">
      <c r="A916" s="28"/>
      <c r="B916" s="28"/>
      <c r="C916" s="28"/>
      <c r="D916" s="28"/>
      <c r="E916" s="28"/>
      <c r="F916" s="28"/>
      <c r="G916" s="26" t="str">
        <f t="shared" si="112"/>
        <v/>
      </c>
      <c r="H916" s="26" t="str">
        <f t="shared" si="119"/>
        <v/>
      </c>
      <c r="I916" s="26" t="str">
        <f t="shared" si="113"/>
        <v/>
      </c>
      <c r="J916" t="str">
        <f t="shared" si="114"/>
        <v/>
      </c>
      <c r="K916" s="26" t="str">
        <f t="shared" si="115"/>
        <v/>
      </c>
      <c r="L916" s="26" t="str">
        <f t="shared" si="116"/>
        <v/>
      </c>
      <c r="P916" t="e">
        <f t="shared" si="117"/>
        <v>#N/A</v>
      </c>
      <c r="Q916" t="e">
        <f t="shared" si="118"/>
        <v>#N/A</v>
      </c>
    </row>
    <row r="917" spans="1:17">
      <c r="A917" s="28"/>
      <c r="B917" s="28"/>
      <c r="C917" s="28"/>
      <c r="D917" s="28"/>
      <c r="E917" s="28"/>
      <c r="F917" s="28"/>
      <c r="G917" s="26" t="str">
        <f t="shared" si="112"/>
        <v/>
      </c>
      <c r="H917" s="26" t="str">
        <f t="shared" si="119"/>
        <v/>
      </c>
      <c r="I917" s="26" t="str">
        <f t="shared" si="113"/>
        <v/>
      </c>
      <c r="J917" t="str">
        <f t="shared" si="114"/>
        <v/>
      </c>
      <c r="K917" s="26" t="str">
        <f t="shared" si="115"/>
        <v/>
      </c>
      <c r="L917" s="26" t="str">
        <f t="shared" si="116"/>
        <v/>
      </c>
      <c r="P917" t="e">
        <f t="shared" si="117"/>
        <v>#N/A</v>
      </c>
      <c r="Q917" t="e">
        <f t="shared" si="118"/>
        <v>#N/A</v>
      </c>
    </row>
    <row r="918" spans="1:17">
      <c r="A918" s="28"/>
      <c r="B918" s="28"/>
      <c r="C918" s="28"/>
      <c r="D918" s="28"/>
      <c r="E918" s="28"/>
      <c r="F918" s="28"/>
      <c r="G918" s="26" t="str">
        <f t="shared" si="112"/>
        <v/>
      </c>
      <c r="H918" s="26" t="str">
        <f t="shared" si="119"/>
        <v/>
      </c>
      <c r="I918" s="26" t="str">
        <f t="shared" si="113"/>
        <v/>
      </c>
      <c r="J918" t="str">
        <f t="shared" si="114"/>
        <v/>
      </c>
      <c r="K918" s="26" t="str">
        <f t="shared" si="115"/>
        <v/>
      </c>
      <c r="L918" s="26" t="str">
        <f t="shared" si="116"/>
        <v/>
      </c>
      <c r="P918" t="e">
        <f t="shared" si="117"/>
        <v>#N/A</v>
      </c>
      <c r="Q918" t="e">
        <f t="shared" si="118"/>
        <v>#N/A</v>
      </c>
    </row>
    <row r="919" spans="1:17">
      <c r="A919" s="28"/>
      <c r="B919" s="28"/>
      <c r="C919" s="28"/>
      <c r="D919" s="28"/>
      <c r="E919" s="28"/>
      <c r="F919" s="28"/>
      <c r="G919" s="26" t="str">
        <f t="shared" si="112"/>
        <v/>
      </c>
      <c r="H919" s="26" t="str">
        <f t="shared" si="119"/>
        <v/>
      </c>
      <c r="I919" s="26" t="str">
        <f t="shared" si="113"/>
        <v/>
      </c>
      <c r="J919" t="str">
        <f t="shared" si="114"/>
        <v/>
      </c>
      <c r="K919" s="26" t="str">
        <f t="shared" si="115"/>
        <v/>
      </c>
      <c r="L919" s="26" t="str">
        <f t="shared" si="116"/>
        <v/>
      </c>
      <c r="P919" t="e">
        <f t="shared" si="117"/>
        <v>#N/A</v>
      </c>
      <c r="Q919" t="e">
        <f t="shared" si="118"/>
        <v>#N/A</v>
      </c>
    </row>
    <row r="920" spans="1:17">
      <c r="A920" s="28"/>
      <c r="B920" s="28"/>
      <c r="C920" s="28"/>
      <c r="D920" s="28"/>
      <c r="E920" s="28"/>
      <c r="F920" s="28"/>
      <c r="G920" s="26" t="str">
        <f t="shared" si="112"/>
        <v/>
      </c>
      <c r="H920" s="26" t="str">
        <f t="shared" si="119"/>
        <v/>
      </c>
      <c r="I920" s="26" t="str">
        <f t="shared" si="113"/>
        <v/>
      </c>
      <c r="J920" t="str">
        <f t="shared" si="114"/>
        <v/>
      </c>
      <c r="K920" s="26" t="str">
        <f t="shared" si="115"/>
        <v/>
      </c>
      <c r="L920" s="26" t="str">
        <f t="shared" si="116"/>
        <v/>
      </c>
      <c r="P920" t="e">
        <f t="shared" si="117"/>
        <v>#N/A</v>
      </c>
      <c r="Q920" t="e">
        <f t="shared" si="118"/>
        <v>#N/A</v>
      </c>
    </row>
    <row r="921" spans="1:17">
      <c r="A921" s="28"/>
      <c r="B921" s="28"/>
      <c r="C921" s="28"/>
      <c r="D921" s="28"/>
      <c r="E921" s="28"/>
      <c r="F921" s="28"/>
      <c r="G921" s="26" t="str">
        <f t="shared" si="112"/>
        <v/>
      </c>
      <c r="H921" s="26" t="str">
        <f t="shared" si="119"/>
        <v/>
      </c>
      <c r="I921" s="26" t="str">
        <f t="shared" si="113"/>
        <v/>
      </c>
      <c r="J921" t="str">
        <f t="shared" si="114"/>
        <v/>
      </c>
      <c r="K921" s="26" t="str">
        <f t="shared" si="115"/>
        <v/>
      </c>
      <c r="L921" s="26" t="str">
        <f t="shared" si="116"/>
        <v/>
      </c>
      <c r="P921" t="e">
        <f t="shared" si="117"/>
        <v>#N/A</v>
      </c>
      <c r="Q921" t="e">
        <f t="shared" si="118"/>
        <v>#N/A</v>
      </c>
    </row>
    <row r="922" spans="1:17">
      <c r="A922" s="28"/>
      <c r="B922" s="28"/>
      <c r="C922" s="28"/>
      <c r="D922" s="28"/>
      <c r="E922" s="28"/>
      <c r="F922" s="28"/>
      <c r="G922" s="26" t="str">
        <f t="shared" si="112"/>
        <v/>
      </c>
      <c r="H922" s="26" t="str">
        <f t="shared" si="119"/>
        <v/>
      </c>
      <c r="I922" s="26" t="str">
        <f t="shared" si="113"/>
        <v/>
      </c>
      <c r="J922" t="str">
        <f t="shared" si="114"/>
        <v/>
      </c>
      <c r="K922" s="26" t="str">
        <f t="shared" si="115"/>
        <v/>
      </c>
      <c r="L922" s="26" t="str">
        <f t="shared" si="116"/>
        <v/>
      </c>
      <c r="P922" t="e">
        <f t="shared" si="117"/>
        <v>#N/A</v>
      </c>
      <c r="Q922" t="e">
        <f t="shared" si="118"/>
        <v>#N/A</v>
      </c>
    </row>
    <row r="923" spans="1:17">
      <c r="A923" s="28"/>
      <c r="B923" s="28"/>
      <c r="C923" s="28"/>
      <c r="D923" s="28"/>
      <c r="E923" s="28"/>
      <c r="F923" s="28"/>
      <c r="G923" s="26" t="str">
        <f t="shared" si="112"/>
        <v/>
      </c>
      <c r="H923" s="26" t="str">
        <f t="shared" si="119"/>
        <v/>
      </c>
      <c r="I923" s="26" t="str">
        <f t="shared" si="113"/>
        <v/>
      </c>
      <c r="J923" t="str">
        <f t="shared" si="114"/>
        <v/>
      </c>
      <c r="K923" s="26" t="str">
        <f t="shared" si="115"/>
        <v/>
      </c>
      <c r="L923" s="26" t="str">
        <f t="shared" si="116"/>
        <v/>
      </c>
      <c r="P923" t="e">
        <f t="shared" si="117"/>
        <v>#N/A</v>
      </c>
      <c r="Q923" t="e">
        <f t="shared" si="118"/>
        <v>#N/A</v>
      </c>
    </row>
    <row r="924" spans="1:17">
      <c r="A924" s="28"/>
      <c r="B924" s="28"/>
      <c r="C924" s="28"/>
      <c r="D924" s="28"/>
      <c r="E924" s="28"/>
      <c r="F924" s="28"/>
      <c r="G924" s="26" t="str">
        <f t="shared" si="112"/>
        <v/>
      </c>
      <c r="H924" s="26" t="str">
        <f t="shared" si="119"/>
        <v/>
      </c>
      <c r="I924" s="26" t="str">
        <f t="shared" si="113"/>
        <v/>
      </c>
      <c r="J924" t="str">
        <f t="shared" si="114"/>
        <v/>
      </c>
      <c r="K924" s="26" t="str">
        <f t="shared" si="115"/>
        <v/>
      </c>
      <c r="L924" s="26" t="str">
        <f t="shared" si="116"/>
        <v/>
      </c>
      <c r="P924" t="e">
        <f t="shared" si="117"/>
        <v>#N/A</v>
      </c>
      <c r="Q924" t="e">
        <f t="shared" si="118"/>
        <v>#N/A</v>
      </c>
    </row>
    <row r="925" spans="1:17">
      <c r="A925" s="28"/>
      <c r="B925" s="28"/>
      <c r="C925" s="28"/>
      <c r="D925" s="28"/>
      <c r="E925" s="28"/>
      <c r="F925" s="28"/>
      <c r="G925" s="26" t="str">
        <f t="shared" si="112"/>
        <v/>
      </c>
      <c r="H925" s="26" t="str">
        <f t="shared" si="119"/>
        <v/>
      </c>
      <c r="I925" s="26" t="str">
        <f t="shared" si="113"/>
        <v/>
      </c>
      <c r="J925" t="str">
        <f t="shared" si="114"/>
        <v/>
      </c>
      <c r="K925" s="26" t="str">
        <f t="shared" si="115"/>
        <v/>
      </c>
      <c r="L925" s="26" t="str">
        <f t="shared" si="116"/>
        <v/>
      </c>
      <c r="P925" t="e">
        <f t="shared" si="117"/>
        <v>#N/A</v>
      </c>
      <c r="Q925" t="e">
        <f t="shared" si="118"/>
        <v>#N/A</v>
      </c>
    </row>
    <row r="926" spans="1:17">
      <c r="A926" s="28"/>
      <c r="B926" s="28"/>
      <c r="C926" s="28"/>
      <c r="D926" s="28"/>
      <c r="E926" s="28"/>
      <c r="F926" s="28"/>
      <c r="G926" s="26" t="str">
        <f t="shared" si="112"/>
        <v/>
      </c>
      <c r="H926" s="26" t="str">
        <f t="shared" si="119"/>
        <v/>
      </c>
      <c r="I926" s="26" t="str">
        <f t="shared" si="113"/>
        <v/>
      </c>
      <c r="J926" t="str">
        <f t="shared" si="114"/>
        <v/>
      </c>
      <c r="K926" s="26" t="str">
        <f t="shared" si="115"/>
        <v/>
      </c>
      <c r="L926" s="26" t="str">
        <f t="shared" si="116"/>
        <v/>
      </c>
      <c r="P926" t="e">
        <f t="shared" si="117"/>
        <v>#N/A</v>
      </c>
      <c r="Q926" t="e">
        <f t="shared" si="118"/>
        <v>#N/A</v>
      </c>
    </row>
    <row r="927" spans="1:17">
      <c r="A927" s="28"/>
      <c r="B927" s="28"/>
      <c r="C927" s="28"/>
      <c r="D927" s="28"/>
      <c r="E927" s="28"/>
      <c r="F927" s="28"/>
      <c r="G927" s="26" t="str">
        <f t="shared" si="112"/>
        <v/>
      </c>
      <c r="H927" s="26" t="str">
        <f t="shared" si="119"/>
        <v/>
      </c>
      <c r="I927" s="26" t="str">
        <f t="shared" si="113"/>
        <v/>
      </c>
      <c r="J927" t="str">
        <f t="shared" si="114"/>
        <v/>
      </c>
      <c r="K927" s="26" t="str">
        <f t="shared" si="115"/>
        <v/>
      </c>
      <c r="L927" s="26" t="str">
        <f t="shared" si="116"/>
        <v/>
      </c>
      <c r="P927" t="e">
        <f t="shared" si="117"/>
        <v>#N/A</v>
      </c>
      <c r="Q927" t="e">
        <f t="shared" si="118"/>
        <v>#N/A</v>
      </c>
    </row>
    <row r="928" spans="1:17">
      <c r="A928" s="28"/>
      <c r="B928" s="28"/>
      <c r="C928" s="28"/>
      <c r="D928" s="28"/>
      <c r="E928" s="28"/>
      <c r="F928" s="28"/>
      <c r="G928" s="26" t="str">
        <f t="shared" si="112"/>
        <v/>
      </c>
      <c r="H928" s="26" t="str">
        <f t="shared" si="119"/>
        <v/>
      </c>
      <c r="I928" s="26" t="str">
        <f t="shared" si="113"/>
        <v/>
      </c>
      <c r="J928" t="str">
        <f t="shared" si="114"/>
        <v/>
      </c>
      <c r="K928" s="26" t="str">
        <f t="shared" si="115"/>
        <v/>
      </c>
      <c r="L928" s="26" t="str">
        <f t="shared" si="116"/>
        <v/>
      </c>
      <c r="P928" t="e">
        <f t="shared" si="117"/>
        <v>#N/A</v>
      </c>
      <c r="Q928" t="e">
        <f t="shared" si="118"/>
        <v>#N/A</v>
      </c>
    </row>
    <row r="929" spans="1:17">
      <c r="A929" s="28"/>
      <c r="B929" s="28"/>
      <c r="C929" s="28"/>
      <c r="D929" s="28"/>
      <c r="E929" s="28"/>
      <c r="F929" s="28"/>
      <c r="G929" s="26" t="str">
        <f t="shared" si="112"/>
        <v/>
      </c>
      <c r="H929" s="26" t="str">
        <f t="shared" si="119"/>
        <v/>
      </c>
      <c r="I929" s="26" t="str">
        <f t="shared" si="113"/>
        <v/>
      </c>
      <c r="J929" t="str">
        <f t="shared" si="114"/>
        <v/>
      </c>
      <c r="K929" s="26" t="str">
        <f t="shared" si="115"/>
        <v/>
      </c>
      <c r="L929" s="26" t="str">
        <f t="shared" si="116"/>
        <v/>
      </c>
      <c r="P929" t="e">
        <f t="shared" si="117"/>
        <v>#N/A</v>
      </c>
      <c r="Q929" t="e">
        <f t="shared" si="118"/>
        <v>#N/A</v>
      </c>
    </row>
    <row r="930" spans="1:17">
      <c r="A930" s="28"/>
      <c r="B930" s="28"/>
      <c r="C930" s="28"/>
      <c r="D930" s="28"/>
      <c r="E930" s="28"/>
      <c r="F930" s="28"/>
      <c r="G930" s="26" t="str">
        <f t="shared" si="112"/>
        <v/>
      </c>
      <c r="H930" s="26" t="str">
        <f t="shared" si="119"/>
        <v/>
      </c>
      <c r="I930" s="26" t="str">
        <f t="shared" si="113"/>
        <v/>
      </c>
      <c r="J930" t="str">
        <f t="shared" si="114"/>
        <v/>
      </c>
      <c r="K930" s="26" t="str">
        <f t="shared" si="115"/>
        <v/>
      </c>
      <c r="L930" s="26" t="str">
        <f t="shared" si="116"/>
        <v/>
      </c>
      <c r="P930" t="e">
        <f t="shared" si="117"/>
        <v>#N/A</v>
      </c>
      <c r="Q930" t="e">
        <f t="shared" si="118"/>
        <v>#N/A</v>
      </c>
    </row>
    <row r="931" spans="1:17">
      <c r="A931" s="28"/>
      <c r="B931" s="28"/>
      <c r="C931" s="28"/>
      <c r="D931" s="28"/>
      <c r="E931" s="28"/>
      <c r="F931" s="28"/>
      <c r="G931" s="26" t="str">
        <f t="shared" si="112"/>
        <v/>
      </c>
      <c r="H931" s="26" t="str">
        <f t="shared" si="119"/>
        <v/>
      </c>
      <c r="I931" s="26" t="str">
        <f t="shared" si="113"/>
        <v/>
      </c>
      <c r="J931" t="str">
        <f t="shared" si="114"/>
        <v/>
      </c>
      <c r="K931" s="26" t="str">
        <f t="shared" si="115"/>
        <v/>
      </c>
      <c r="L931" s="26" t="str">
        <f t="shared" si="116"/>
        <v/>
      </c>
      <c r="P931" t="e">
        <f t="shared" si="117"/>
        <v>#N/A</v>
      </c>
      <c r="Q931" t="e">
        <f t="shared" si="118"/>
        <v>#N/A</v>
      </c>
    </row>
    <row r="932" spans="1:17">
      <c r="A932" s="28"/>
      <c r="B932" s="28"/>
      <c r="C932" s="28"/>
      <c r="D932" s="28"/>
      <c r="E932" s="28"/>
      <c r="F932" s="28"/>
      <c r="G932" s="26" t="str">
        <f t="shared" si="112"/>
        <v/>
      </c>
      <c r="H932" s="26" t="str">
        <f t="shared" si="119"/>
        <v/>
      </c>
      <c r="I932" s="26" t="str">
        <f t="shared" si="113"/>
        <v/>
      </c>
      <c r="J932" t="str">
        <f t="shared" si="114"/>
        <v/>
      </c>
      <c r="K932" s="26" t="str">
        <f t="shared" si="115"/>
        <v/>
      </c>
      <c r="L932" s="26" t="str">
        <f t="shared" si="116"/>
        <v/>
      </c>
      <c r="P932" t="e">
        <f t="shared" si="117"/>
        <v>#N/A</v>
      </c>
      <c r="Q932" t="e">
        <f t="shared" si="118"/>
        <v>#N/A</v>
      </c>
    </row>
    <row r="933" spans="1:17">
      <c r="A933" s="28"/>
      <c r="B933" s="28"/>
      <c r="C933" s="28"/>
      <c r="D933" s="28"/>
      <c r="E933" s="28"/>
      <c r="F933" s="28"/>
      <c r="G933" s="26" t="str">
        <f t="shared" si="112"/>
        <v/>
      </c>
      <c r="H933" s="26" t="str">
        <f t="shared" si="119"/>
        <v/>
      </c>
      <c r="I933" s="26" t="str">
        <f t="shared" si="113"/>
        <v/>
      </c>
      <c r="J933" t="str">
        <f t="shared" si="114"/>
        <v/>
      </c>
      <c r="K933" s="26" t="str">
        <f t="shared" si="115"/>
        <v/>
      </c>
      <c r="L933" s="26" t="str">
        <f t="shared" si="116"/>
        <v/>
      </c>
      <c r="P933" t="e">
        <f t="shared" si="117"/>
        <v>#N/A</v>
      </c>
      <c r="Q933" t="e">
        <f t="shared" si="118"/>
        <v>#N/A</v>
      </c>
    </row>
    <row r="934" spans="1:17">
      <c r="A934" s="28"/>
      <c r="B934" s="28"/>
      <c r="C934" s="28"/>
      <c r="D934" s="28"/>
      <c r="E934" s="28"/>
      <c r="F934" s="28"/>
      <c r="G934" s="26" t="str">
        <f t="shared" si="112"/>
        <v/>
      </c>
      <c r="H934" s="26" t="str">
        <f t="shared" si="119"/>
        <v/>
      </c>
      <c r="I934" s="26" t="str">
        <f t="shared" si="113"/>
        <v/>
      </c>
      <c r="J934" t="str">
        <f t="shared" si="114"/>
        <v/>
      </c>
      <c r="K934" s="26" t="str">
        <f t="shared" si="115"/>
        <v/>
      </c>
      <c r="L934" s="26" t="str">
        <f t="shared" si="116"/>
        <v/>
      </c>
      <c r="P934" t="e">
        <f t="shared" si="117"/>
        <v>#N/A</v>
      </c>
      <c r="Q934" t="e">
        <f t="shared" si="118"/>
        <v>#N/A</v>
      </c>
    </row>
    <row r="935" spans="1:17">
      <c r="A935" s="28"/>
      <c r="B935" s="28"/>
      <c r="C935" s="28"/>
      <c r="D935" s="28"/>
      <c r="E935" s="28"/>
      <c r="F935" s="28"/>
      <c r="G935" s="26" t="str">
        <f t="shared" si="112"/>
        <v/>
      </c>
      <c r="H935" s="26" t="str">
        <f t="shared" si="119"/>
        <v/>
      </c>
      <c r="I935" s="26" t="str">
        <f t="shared" si="113"/>
        <v/>
      </c>
      <c r="J935" t="str">
        <f t="shared" si="114"/>
        <v/>
      </c>
      <c r="K935" s="26" t="str">
        <f t="shared" si="115"/>
        <v/>
      </c>
      <c r="L935" s="26" t="str">
        <f t="shared" si="116"/>
        <v/>
      </c>
      <c r="P935" t="e">
        <f t="shared" si="117"/>
        <v>#N/A</v>
      </c>
      <c r="Q935" t="e">
        <f t="shared" si="118"/>
        <v>#N/A</v>
      </c>
    </row>
    <row r="936" spans="1:17">
      <c r="A936" s="28"/>
      <c r="B936" s="28"/>
      <c r="C936" s="28"/>
      <c r="D936" s="28"/>
      <c r="E936" s="28"/>
      <c r="F936" s="28"/>
      <c r="G936" s="26" t="str">
        <f t="shared" si="112"/>
        <v/>
      </c>
      <c r="H936" s="26" t="str">
        <f t="shared" si="119"/>
        <v/>
      </c>
      <c r="I936" s="26" t="str">
        <f t="shared" si="113"/>
        <v/>
      </c>
      <c r="J936" t="str">
        <f t="shared" si="114"/>
        <v/>
      </c>
      <c r="K936" s="26" t="str">
        <f t="shared" si="115"/>
        <v/>
      </c>
      <c r="L936" s="26" t="str">
        <f t="shared" si="116"/>
        <v/>
      </c>
      <c r="P936" t="e">
        <f t="shared" si="117"/>
        <v>#N/A</v>
      </c>
      <c r="Q936" t="e">
        <f t="shared" si="118"/>
        <v>#N/A</v>
      </c>
    </row>
    <row r="937" spans="1:17">
      <c r="A937" s="28"/>
      <c r="B937" s="28"/>
      <c r="C937" s="28"/>
      <c r="D937" s="28"/>
      <c r="E937" s="28"/>
      <c r="F937" s="28"/>
      <c r="G937" s="26" t="str">
        <f t="shared" si="112"/>
        <v/>
      </c>
      <c r="H937" s="26" t="str">
        <f t="shared" si="119"/>
        <v/>
      </c>
      <c r="I937" s="26" t="str">
        <f t="shared" si="113"/>
        <v/>
      </c>
      <c r="J937" t="str">
        <f t="shared" si="114"/>
        <v/>
      </c>
      <c r="K937" s="26" t="str">
        <f t="shared" si="115"/>
        <v/>
      </c>
      <c r="L937" s="26" t="str">
        <f t="shared" si="116"/>
        <v/>
      </c>
      <c r="P937" t="e">
        <f t="shared" si="117"/>
        <v>#N/A</v>
      </c>
      <c r="Q937" t="e">
        <f t="shared" si="118"/>
        <v>#N/A</v>
      </c>
    </row>
    <row r="938" spans="1:17">
      <c r="A938" s="28"/>
      <c r="B938" s="28"/>
      <c r="C938" s="28"/>
      <c r="D938" s="28"/>
      <c r="E938" s="28"/>
      <c r="F938" s="28"/>
      <c r="G938" s="26" t="str">
        <f t="shared" si="112"/>
        <v/>
      </c>
      <c r="H938" s="26" t="str">
        <f t="shared" si="119"/>
        <v/>
      </c>
      <c r="I938" s="26" t="str">
        <f t="shared" si="113"/>
        <v/>
      </c>
      <c r="J938" t="str">
        <f t="shared" si="114"/>
        <v/>
      </c>
      <c r="K938" s="26" t="str">
        <f t="shared" si="115"/>
        <v/>
      </c>
      <c r="L938" s="26" t="str">
        <f t="shared" si="116"/>
        <v/>
      </c>
      <c r="P938" t="e">
        <f t="shared" si="117"/>
        <v>#N/A</v>
      </c>
      <c r="Q938" t="e">
        <f t="shared" si="118"/>
        <v>#N/A</v>
      </c>
    </row>
    <row r="939" spans="1:17">
      <c r="A939" s="28"/>
      <c r="B939" s="28"/>
      <c r="C939" s="28"/>
      <c r="D939" s="28"/>
      <c r="E939" s="28"/>
      <c r="F939" s="28"/>
      <c r="G939" s="26" t="str">
        <f t="shared" si="112"/>
        <v/>
      </c>
      <c r="H939" s="26" t="str">
        <f t="shared" si="119"/>
        <v/>
      </c>
      <c r="I939" s="26" t="str">
        <f t="shared" si="113"/>
        <v/>
      </c>
      <c r="J939" t="str">
        <f t="shared" si="114"/>
        <v/>
      </c>
      <c r="K939" s="26" t="str">
        <f t="shared" si="115"/>
        <v/>
      </c>
      <c r="L939" s="26" t="str">
        <f t="shared" si="116"/>
        <v/>
      </c>
      <c r="P939" t="e">
        <f t="shared" si="117"/>
        <v>#N/A</v>
      </c>
      <c r="Q939" t="e">
        <f t="shared" si="118"/>
        <v>#N/A</v>
      </c>
    </row>
    <row r="940" spans="1:17">
      <c r="A940" s="28"/>
      <c r="B940" s="28"/>
      <c r="C940" s="28"/>
      <c r="D940" s="28"/>
      <c r="E940" s="28"/>
      <c r="F940" s="28"/>
      <c r="G940" s="26" t="str">
        <f t="shared" si="112"/>
        <v/>
      </c>
      <c r="H940" s="26" t="str">
        <f t="shared" si="119"/>
        <v/>
      </c>
      <c r="I940" s="26" t="str">
        <f t="shared" si="113"/>
        <v/>
      </c>
      <c r="J940" t="str">
        <f t="shared" si="114"/>
        <v/>
      </c>
      <c r="K940" s="26" t="str">
        <f t="shared" si="115"/>
        <v/>
      </c>
      <c r="L940" s="26" t="str">
        <f t="shared" si="116"/>
        <v/>
      </c>
      <c r="P940" t="e">
        <f t="shared" si="117"/>
        <v>#N/A</v>
      </c>
      <c r="Q940" t="e">
        <f t="shared" si="118"/>
        <v>#N/A</v>
      </c>
    </row>
    <row r="941" spans="1:17">
      <c r="A941" s="28"/>
      <c r="B941" s="28"/>
      <c r="C941" s="28"/>
      <c r="D941" s="28"/>
      <c r="E941" s="28"/>
      <c r="F941" s="28"/>
      <c r="G941" s="26" t="str">
        <f t="shared" si="112"/>
        <v/>
      </c>
      <c r="H941" s="26" t="str">
        <f t="shared" si="119"/>
        <v/>
      </c>
      <c r="I941" s="26" t="str">
        <f t="shared" si="113"/>
        <v/>
      </c>
      <c r="J941" t="str">
        <f t="shared" si="114"/>
        <v/>
      </c>
      <c r="K941" s="26" t="str">
        <f t="shared" si="115"/>
        <v/>
      </c>
      <c r="L941" s="26" t="str">
        <f t="shared" si="116"/>
        <v/>
      </c>
      <c r="P941" t="e">
        <f t="shared" si="117"/>
        <v>#N/A</v>
      </c>
      <c r="Q941" t="e">
        <f t="shared" si="118"/>
        <v>#N/A</v>
      </c>
    </row>
    <row r="942" spans="1:17">
      <c r="A942" s="28"/>
      <c r="B942" s="28"/>
      <c r="C942" s="28"/>
      <c r="D942" s="28"/>
      <c r="E942" s="28"/>
      <c r="F942" s="28"/>
      <c r="G942" s="26" t="str">
        <f t="shared" si="112"/>
        <v/>
      </c>
      <c r="H942" s="26" t="str">
        <f t="shared" si="119"/>
        <v/>
      </c>
      <c r="I942" s="26" t="str">
        <f t="shared" si="113"/>
        <v/>
      </c>
      <c r="J942" t="str">
        <f t="shared" si="114"/>
        <v/>
      </c>
      <c r="K942" s="26" t="str">
        <f t="shared" si="115"/>
        <v/>
      </c>
      <c r="L942" s="26" t="str">
        <f t="shared" si="116"/>
        <v/>
      </c>
      <c r="P942" t="e">
        <f t="shared" si="117"/>
        <v>#N/A</v>
      </c>
      <c r="Q942" t="e">
        <f t="shared" si="118"/>
        <v>#N/A</v>
      </c>
    </row>
    <row r="943" spans="1:17">
      <c r="A943" s="28"/>
      <c r="B943" s="28"/>
      <c r="C943" s="28"/>
      <c r="D943" s="28"/>
      <c r="E943" s="28"/>
      <c r="F943" s="28"/>
      <c r="G943" s="26" t="str">
        <f t="shared" si="112"/>
        <v/>
      </c>
      <c r="H943" s="26" t="str">
        <f t="shared" si="119"/>
        <v/>
      </c>
      <c r="I943" s="26" t="str">
        <f t="shared" si="113"/>
        <v/>
      </c>
      <c r="J943" t="str">
        <f t="shared" si="114"/>
        <v/>
      </c>
      <c r="K943" s="26" t="str">
        <f t="shared" si="115"/>
        <v/>
      </c>
      <c r="L943" s="26" t="str">
        <f t="shared" si="116"/>
        <v/>
      </c>
      <c r="P943" t="e">
        <f t="shared" si="117"/>
        <v>#N/A</v>
      </c>
      <c r="Q943" t="e">
        <f t="shared" si="118"/>
        <v>#N/A</v>
      </c>
    </row>
    <row r="944" spans="1:17">
      <c r="A944" s="28"/>
      <c r="B944" s="28"/>
      <c r="C944" s="28"/>
      <c r="D944" s="28"/>
      <c r="E944" s="28"/>
      <c r="F944" s="28"/>
      <c r="G944" s="26" t="str">
        <f t="shared" si="112"/>
        <v/>
      </c>
      <c r="H944" s="26" t="str">
        <f t="shared" si="119"/>
        <v/>
      </c>
      <c r="I944" s="26" t="str">
        <f t="shared" si="113"/>
        <v/>
      </c>
      <c r="J944" t="str">
        <f t="shared" si="114"/>
        <v/>
      </c>
      <c r="K944" s="26" t="str">
        <f t="shared" si="115"/>
        <v/>
      </c>
      <c r="L944" s="26" t="str">
        <f t="shared" si="116"/>
        <v/>
      </c>
      <c r="P944" t="e">
        <f t="shared" si="117"/>
        <v>#N/A</v>
      </c>
      <c r="Q944" t="e">
        <f t="shared" si="118"/>
        <v>#N/A</v>
      </c>
    </row>
    <row r="945" spans="1:17">
      <c r="A945" s="28"/>
      <c r="B945" s="28"/>
      <c r="C945" s="28"/>
      <c r="D945" s="28"/>
      <c r="E945" s="28"/>
      <c r="F945" s="28"/>
      <c r="G945" s="26" t="str">
        <f t="shared" si="112"/>
        <v/>
      </c>
      <c r="H945" s="26" t="str">
        <f t="shared" si="119"/>
        <v/>
      </c>
      <c r="I945" s="26" t="str">
        <f t="shared" si="113"/>
        <v/>
      </c>
      <c r="J945" t="str">
        <f t="shared" si="114"/>
        <v/>
      </c>
      <c r="K945" s="26" t="str">
        <f t="shared" si="115"/>
        <v/>
      </c>
      <c r="L945" s="26" t="str">
        <f t="shared" si="116"/>
        <v/>
      </c>
      <c r="P945" t="e">
        <f t="shared" si="117"/>
        <v>#N/A</v>
      </c>
      <c r="Q945" t="e">
        <f t="shared" si="118"/>
        <v>#N/A</v>
      </c>
    </row>
    <row r="946" spans="1:17">
      <c r="A946" s="28"/>
      <c r="B946" s="28"/>
      <c r="C946" s="28"/>
      <c r="D946" s="28"/>
      <c r="E946" s="28"/>
      <c r="F946" s="28"/>
      <c r="G946" s="26" t="str">
        <f t="shared" si="112"/>
        <v/>
      </c>
      <c r="H946" s="26" t="str">
        <f t="shared" si="119"/>
        <v/>
      </c>
      <c r="I946" s="26" t="str">
        <f t="shared" si="113"/>
        <v/>
      </c>
      <c r="J946" t="str">
        <f t="shared" si="114"/>
        <v/>
      </c>
      <c r="K946" s="26" t="str">
        <f t="shared" si="115"/>
        <v/>
      </c>
      <c r="L946" s="26" t="str">
        <f t="shared" si="116"/>
        <v/>
      </c>
      <c r="P946" t="e">
        <f t="shared" si="117"/>
        <v>#N/A</v>
      </c>
      <c r="Q946" t="e">
        <f t="shared" si="118"/>
        <v>#N/A</v>
      </c>
    </row>
    <row r="947" spans="1:17">
      <c r="A947" s="28"/>
      <c r="B947" s="28"/>
      <c r="C947" s="28"/>
      <c r="D947" s="28"/>
      <c r="E947" s="28"/>
      <c r="F947" s="28"/>
      <c r="G947" s="26" t="str">
        <f t="shared" si="112"/>
        <v/>
      </c>
      <c r="H947" s="26" t="str">
        <f t="shared" si="119"/>
        <v/>
      </c>
      <c r="I947" s="26" t="str">
        <f t="shared" si="113"/>
        <v/>
      </c>
      <c r="J947" t="str">
        <f t="shared" si="114"/>
        <v/>
      </c>
      <c r="K947" s="26" t="str">
        <f t="shared" si="115"/>
        <v/>
      </c>
      <c r="L947" s="26" t="str">
        <f t="shared" si="116"/>
        <v/>
      </c>
      <c r="P947" t="e">
        <f t="shared" si="117"/>
        <v>#N/A</v>
      </c>
      <c r="Q947" t="e">
        <f t="shared" si="118"/>
        <v>#N/A</v>
      </c>
    </row>
    <row r="948" spans="1:17">
      <c r="A948" s="28"/>
      <c r="B948" s="28"/>
      <c r="C948" s="28"/>
      <c r="D948" s="28"/>
      <c r="E948" s="28"/>
      <c r="F948" s="28"/>
      <c r="G948" s="26" t="str">
        <f t="shared" si="112"/>
        <v/>
      </c>
      <c r="H948" s="26" t="str">
        <f t="shared" si="119"/>
        <v/>
      </c>
      <c r="I948" s="26" t="str">
        <f t="shared" si="113"/>
        <v/>
      </c>
      <c r="J948" t="str">
        <f t="shared" si="114"/>
        <v/>
      </c>
      <c r="K948" s="26" t="str">
        <f t="shared" si="115"/>
        <v/>
      </c>
      <c r="L948" s="26" t="str">
        <f t="shared" si="116"/>
        <v/>
      </c>
      <c r="P948" t="e">
        <f t="shared" si="117"/>
        <v>#N/A</v>
      </c>
      <c r="Q948" t="e">
        <f t="shared" si="118"/>
        <v>#N/A</v>
      </c>
    </row>
    <row r="949" spans="1:17">
      <c r="A949" s="28"/>
      <c r="B949" s="28"/>
      <c r="C949" s="28"/>
      <c r="D949" s="28"/>
      <c r="E949" s="28"/>
      <c r="F949" s="28"/>
      <c r="G949" s="26" t="str">
        <f t="shared" si="112"/>
        <v/>
      </c>
      <c r="H949" s="26" t="str">
        <f t="shared" si="119"/>
        <v/>
      </c>
      <c r="I949" s="26" t="str">
        <f t="shared" si="113"/>
        <v/>
      </c>
      <c r="J949" t="str">
        <f t="shared" si="114"/>
        <v/>
      </c>
      <c r="K949" s="26" t="str">
        <f t="shared" si="115"/>
        <v/>
      </c>
      <c r="L949" s="26" t="str">
        <f t="shared" si="116"/>
        <v/>
      </c>
      <c r="P949" t="e">
        <f t="shared" si="117"/>
        <v>#N/A</v>
      </c>
      <c r="Q949" t="e">
        <f t="shared" si="118"/>
        <v>#N/A</v>
      </c>
    </row>
    <row r="950" spans="1:17">
      <c r="A950" s="28"/>
      <c r="B950" s="28"/>
      <c r="C950" s="28"/>
      <c r="D950" s="28"/>
      <c r="E950" s="28"/>
      <c r="F950" s="28"/>
      <c r="G950" s="26" t="str">
        <f t="shared" si="112"/>
        <v/>
      </c>
      <c r="H950" s="26" t="str">
        <f t="shared" si="119"/>
        <v/>
      </c>
      <c r="I950" s="26" t="str">
        <f t="shared" si="113"/>
        <v/>
      </c>
      <c r="J950" t="str">
        <f t="shared" si="114"/>
        <v/>
      </c>
      <c r="K950" s="26" t="str">
        <f t="shared" si="115"/>
        <v/>
      </c>
      <c r="L950" s="26" t="str">
        <f t="shared" si="116"/>
        <v/>
      </c>
      <c r="P950" t="e">
        <f t="shared" si="117"/>
        <v>#N/A</v>
      </c>
      <c r="Q950" t="e">
        <f t="shared" si="118"/>
        <v>#N/A</v>
      </c>
    </row>
    <row r="951" spans="1:17">
      <c r="A951" s="28"/>
      <c r="B951" s="28"/>
      <c r="C951" s="28"/>
      <c r="D951" s="28"/>
      <c r="E951" s="28"/>
      <c r="F951" s="28"/>
      <c r="G951" s="26" t="str">
        <f t="shared" si="112"/>
        <v/>
      </c>
      <c r="H951" s="26" t="str">
        <f t="shared" si="119"/>
        <v/>
      </c>
      <c r="I951" s="26" t="str">
        <f t="shared" si="113"/>
        <v/>
      </c>
      <c r="J951" t="str">
        <f t="shared" si="114"/>
        <v/>
      </c>
      <c r="K951" s="26" t="str">
        <f t="shared" si="115"/>
        <v/>
      </c>
      <c r="L951" s="26" t="str">
        <f t="shared" si="116"/>
        <v/>
      </c>
      <c r="P951" t="e">
        <f t="shared" si="117"/>
        <v>#N/A</v>
      </c>
      <c r="Q951" t="e">
        <f t="shared" si="118"/>
        <v>#N/A</v>
      </c>
    </row>
    <row r="952" spans="1:17">
      <c r="A952" s="28"/>
      <c r="B952" s="28"/>
      <c r="C952" s="28"/>
      <c r="D952" s="28"/>
      <c r="E952" s="28"/>
      <c r="F952" s="28"/>
      <c r="G952" s="26" t="str">
        <f t="shared" si="112"/>
        <v/>
      </c>
      <c r="H952" s="26" t="str">
        <f t="shared" si="119"/>
        <v/>
      </c>
      <c r="I952" s="26" t="str">
        <f t="shared" si="113"/>
        <v/>
      </c>
      <c r="J952" t="str">
        <f t="shared" si="114"/>
        <v/>
      </c>
      <c r="K952" s="26" t="str">
        <f t="shared" si="115"/>
        <v/>
      </c>
      <c r="L952" s="26" t="str">
        <f t="shared" si="116"/>
        <v/>
      </c>
      <c r="P952" t="e">
        <f t="shared" si="117"/>
        <v>#N/A</v>
      </c>
      <c r="Q952" t="e">
        <f t="shared" si="118"/>
        <v>#N/A</v>
      </c>
    </row>
    <row r="953" spans="1:17">
      <c r="A953" s="28"/>
      <c r="B953" s="28"/>
      <c r="C953" s="28"/>
      <c r="D953" s="28"/>
      <c r="E953" s="28"/>
      <c r="F953" s="28"/>
      <c r="G953" s="26" t="str">
        <f t="shared" si="112"/>
        <v/>
      </c>
      <c r="H953" s="26" t="str">
        <f t="shared" si="119"/>
        <v/>
      </c>
      <c r="I953" s="26" t="str">
        <f t="shared" si="113"/>
        <v/>
      </c>
      <c r="J953" t="str">
        <f t="shared" si="114"/>
        <v/>
      </c>
      <c r="K953" s="26" t="str">
        <f t="shared" si="115"/>
        <v/>
      </c>
      <c r="L953" s="26" t="str">
        <f t="shared" si="116"/>
        <v/>
      </c>
      <c r="P953" t="e">
        <f t="shared" si="117"/>
        <v>#N/A</v>
      </c>
      <c r="Q953" t="e">
        <f t="shared" si="118"/>
        <v>#N/A</v>
      </c>
    </row>
    <row r="954" spans="1:17">
      <c r="A954" s="28"/>
      <c r="B954" s="28"/>
      <c r="C954" s="28"/>
      <c r="D954" s="28"/>
      <c r="E954" s="28"/>
      <c r="F954" s="28"/>
      <c r="G954" s="26" t="str">
        <f t="shared" si="112"/>
        <v/>
      </c>
      <c r="H954" s="26" t="str">
        <f t="shared" si="119"/>
        <v/>
      </c>
      <c r="I954" s="26" t="str">
        <f t="shared" si="113"/>
        <v/>
      </c>
      <c r="J954" t="str">
        <f t="shared" si="114"/>
        <v/>
      </c>
      <c r="K954" s="26" t="str">
        <f t="shared" si="115"/>
        <v/>
      </c>
      <c r="L954" s="26" t="str">
        <f t="shared" si="116"/>
        <v/>
      </c>
      <c r="P954" t="e">
        <f t="shared" si="117"/>
        <v>#N/A</v>
      </c>
      <c r="Q954" t="e">
        <f t="shared" si="118"/>
        <v>#N/A</v>
      </c>
    </row>
    <row r="955" spans="1:17">
      <c r="A955" s="28"/>
      <c r="B955" s="28"/>
      <c r="C955" s="28"/>
      <c r="D955" s="28"/>
      <c r="E955" s="28"/>
      <c r="F955" s="28"/>
      <c r="G955" s="26" t="str">
        <f t="shared" si="112"/>
        <v/>
      </c>
      <c r="H955" s="26" t="str">
        <f t="shared" si="119"/>
        <v/>
      </c>
      <c r="I955" s="26" t="str">
        <f t="shared" si="113"/>
        <v/>
      </c>
      <c r="J955" t="str">
        <f t="shared" si="114"/>
        <v/>
      </c>
      <c r="K955" s="26" t="str">
        <f t="shared" si="115"/>
        <v/>
      </c>
      <c r="L955" s="26" t="str">
        <f t="shared" si="116"/>
        <v/>
      </c>
      <c r="P955" t="e">
        <f t="shared" si="117"/>
        <v>#N/A</v>
      </c>
      <c r="Q955" t="e">
        <f t="shared" si="118"/>
        <v>#N/A</v>
      </c>
    </row>
    <row r="956" spans="1:17">
      <c r="A956" s="28"/>
      <c r="B956" s="28"/>
      <c r="C956" s="28"/>
      <c r="D956" s="28"/>
      <c r="E956" s="28"/>
      <c r="F956" s="28"/>
      <c r="G956" s="26" t="str">
        <f t="shared" si="112"/>
        <v/>
      </c>
      <c r="H956" s="26" t="str">
        <f t="shared" si="119"/>
        <v/>
      </c>
      <c r="I956" s="26" t="str">
        <f t="shared" si="113"/>
        <v/>
      </c>
      <c r="J956" t="str">
        <f t="shared" si="114"/>
        <v/>
      </c>
      <c r="K956" s="26" t="str">
        <f t="shared" si="115"/>
        <v/>
      </c>
      <c r="L956" s="26" t="str">
        <f t="shared" si="116"/>
        <v/>
      </c>
      <c r="P956" t="e">
        <f t="shared" si="117"/>
        <v>#N/A</v>
      </c>
      <c r="Q956" t="e">
        <f t="shared" si="118"/>
        <v>#N/A</v>
      </c>
    </row>
    <row r="957" spans="1:17">
      <c r="A957" s="28"/>
      <c r="B957" s="28"/>
      <c r="C957" s="28"/>
      <c r="D957" s="28"/>
      <c r="E957" s="28"/>
      <c r="F957" s="28"/>
      <c r="G957" s="26" t="str">
        <f t="shared" si="112"/>
        <v/>
      </c>
      <c r="H957" s="26" t="str">
        <f t="shared" si="119"/>
        <v/>
      </c>
      <c r="I957" s="26" t="str">
        <f t="shared" si="113"/>
        <v/>
      </c>
      <c r="J957" t="str">
        <f t="shared" si="114"/>
        <v/>
      </c>
      <c r="K957" s="26" t="str">
        <f t="shared" si="115"/>
        <v/>
      </c>
      <c r="L957" s="26" t="str">
        <f t="shared" si="116"/>
        <v/>
      </c>
      <c r="P957" t="e">
        <f t="shared" si="117"/>
        <v>#N/A</v>
      </c>
      <c r="Q957" t="e">
        <f t="shared" si="118"/>
        <v>#N/A</v>
      </c>
    </row>
    <row r="958" spans="1:17">
      <c r="A958" s="28"/>
      <c r="B958" s="28"/>
      <c r="C958" s="28"/>
      <c r="D958" s="28"/>
      <c r="E958" s="28"/>
      <c r="F958" s="28"/>
      <c r="G958" s="26" t="str">
        <f t="shared" si="112"/>
        <v/>
      </c>
      <c r="H958" s="26" t="str">
        <f t="shared" si="119"/>
        <v/>
      </c>
      <c r="I958" s="26" t="str">
        <f t="shared" si="113"/>
        <v/>
      </c>
      <c r="J958" t="str">
        <f t="shared" si="114"/>
        <v/>
      </c>
      <c r="K958" s="26" t="str">
        <f t="shared" si="115"/>
        <v/>
      </c>
      <c r="L958" s="26" t="str">
        <f t="shared" si="116"/>
        <v/>
      </c>
      <c r="P958" t="e">
        <f t="shared" si="117"/>
        <v>#N/A</v>
      </c>
      <c r="Q958" t="e">
        <f t="shared" si="118"/>
        <v>#N/A</v>
      </c>
    </row>
    <row r="959" spans="1:17">
      <c r="A959" s="28"/>
      <c r="B959" s="28"/>
      <c r="C959" s="28"/>
      <c r="D959" s="28"/>
      <c r="E959" s="28"/>
      <c r="F959" s="28"/>
      <c r="G959" s="26" t="str">
        <f t="shared" si="112"/>
        <v/>
      </c>
      <c r="H959" s="26" t="str">
        <f t="shared" si="119"/>
        <v/>
      </c>
      <c r="I959" s="26" t="str">
        <f t="shared" si="113"/>
        <v/>
      </c>
      <c r="J959" t="str">
        <f t="shared" si="114"/>
        <v/>
      </c>
      <c r="K959" s="26" t="str">
        <f t="shared" si="115"/>
        <v/>
      </c>
      <c r="L959" s="26" t="str">
        <f t="shared" si="116"/>
        <v/>
      </c>
      <c r="P959" t="e">
        <f t="shared" si="117"/>
        <v>#N/A</v>
      </c>
      <c r="Q959" t="e">
        <f t="shared" si="118"/>
        <v>#N/A</v>
      </c>
    </row>
    <row r="960" spans="1:17">
      <c r="A960" s="28"/>
      <c r="B960" s="28"/>
      <c r="C960" s="28"/>
      <c r="D960" s="28"/>
      <c r="E960" s="28"/>
      <c r="F960" s="28"/>
      <c r="G960" s="26" t="str">
        <f t="shared" si="112"/>
        <v/>
      </c>
      <c r="H960" s="26" t="str">
        <f t="shared" si="119"/>
        <v/>
      </c>
      <c r="I960" s="26" t="str">
        <f t="shared" si="113"/>
        <v/>
      </c>
      <c r="J960" t="str">
        <f t="shared" si="114"/>
        <v/>
      </c>
      <c r="K960" s="26" t="str">
        <f t="shared" si="115"/>
        <v/>
      </c>
      <c r="L960" s="26" t="str">
        <f t="shared" si="116"/>
        <v/>
      </c>
      <c r="P960" t="e">
        <f t="shared" si="117"/>
        <v>#N/A</v>
      </c>
      <c r="Q960" t="e">
        <f t="shared" si="118"/>
        <v>#N/A</v>
      </c>
    </row>
    <row r="961" spans="1:17">
      <c r="A961" s="28"/>
      <c r="B961" s="28"/>
      <c r="C961" s="28"/>
      <c r="D961" s="28"/>
      <c r="E961" s="28"/>
      <c r="F961" s="28"/>
      <c r="G961" s="26" t="str">
        <f t="shared" si="112"/>
        <v/>
      </c>
      <c r="H961" s="26" t="str">
        <f t="shared" si="119"/>
        <v/>
      </c>
      <c r="I961" s="26" t="str">
        <f t="shared" si="113"/>
        <v/>
      </c>
      <c r="J961" t="str">
        <f t="shared" si="114"/>
        <v/>
      </c>
      <c r="K961" s="26" t="str">
        <f t="shared" si="115"/>
        <v/>
      </c>
      <c r="L961" s="26" t="str">
        <f t="shared" si="116"/>
        <v/>
      </c>
      <c r="P961" t="e">
        <f t="shared" si="117"/>
        <v>#N/A</v>
      </c>
      <c r="Q961" t="e">
        <f t="shared" si="118"/>
        <v>#N/A</v>
      </c>
    </row>
    <row r="962" spans="1:17">
      <c r="A962" s="28"/>
      <c r="B962" s="28"/>
      <c r="C962" s="28"/>
      <c r="D962" s="28"/>
      <c r="E962" s="28"/>
      <c r="F962" s="28"/>
      <c r="G962" s="26" t="str">
        <f t="shared" ref="G962:G1025" si="120">IF(B962="","",243.04*(LN(C962/100)+17.625*B962/(243.04+B962))/(17.625-LN(C962/100)-17.625*B962/(243.04+B962)))</f>
        <v/>
      </c>
      <c r="H962" s="26" t="str">
        <f t="shared" si="119"/>
        <v/>
      </c>
      <c r="I962" s="26" t="str">
        <f t="shared" ref="I962:I1025" si="121">IF(B962="","",B962-E962)</f>
        <v/>
      </c>
      <c r="J962" t="str">
        <f t="shared" ref="J962:J1025" si="122">IF(H962="","",IF(H962&gt;0.6,"Heating",IF(H962&lt;-0.2,"Cooling","Steady")))</f>
        <v/>
      </c>
      <c r="K962" s="26" t="str">
        <f t="shared" ref="K962:K1025" si="123">IF(J962="Cooling",I962,"")</f>
        <v/>
      </c>
      <c r="L962" s="26" t="str">
        <f t="shared" ref="L962:L1025" si="124">IF(J962="Cooling",H962,"")</f>
        <v/>
      </c>
      <c r="P962" t="e">
        <f t="shared" ref="P962:P1025" si="125">IF(K962="",NA(),K962)</f>
        <v>#N/A</v>
      </c>
      <c r="Q962" t="e">
        <f t="shared" ref="Q962:Q1025" si="126">IF(L962="",NA(),L962)</f>
        <v>#N/A</v>
      </c>
    </row>
    <row r="963" spans="1:17">
      <c r="A963" s="28"/>
      <c r="B963" s="28"/>
      <c r="C963" s="28"/>
      <c r="D963" s="28"/>
      <c r="E963" s="28"/>
      <c r="F963" s="28"/>
      <c r="G963" s="26" t="str">
        <f t="shared" si="120"/>
        <v/>
      </c>
      <c r="H963" s="26" t="str">
        <f t="shared" si="119"/>
        <v/>
      </c>
      <c r="I963" s="26" t="str">
        <f t="shared" si="121"/>
        <v/>
      </c>
      <c r="J963" t="str">
        <f t="shared" si="122"/>
        <v/>
      </c>
      <c r="K963" s="26" t="str">
        <f t="shared" si="123"/>
        <v/>
      </c>
      <c r="L963" s="26" t="str">
        <f t="shared" si="124"/>
        <v/>
      </c>
      <c r="P963" t="e">
        <f t="shared" si="125"/>
        <v>#N/A</v>
      </c>
      <c r="Q963" t="e">
        <f t="shared" si="126"/>
        <v>#N/A</v>
      </c>
    </row>
    <row r="964" spans="1:17">
      <c r="A964" s="28"/>
      <c r="B964" s="28"/>
      <c r="C964" s="28"/>
      <c r="D964" s="28"/>
      <c r="E964" s="28"/>
      <c r="F964" s="28"/>
      <c r="G964" s="26" t="str">
        <f t="shared" si="120"/>
        <v/>
      </c>
      <c r="H964" s="26" t="str">
        <f t="shared" ref="H964:H1027" si="127">IFERROR(IF(OR(B962="",B966=""),"",(B966-B962)/4*60),"")</f>
        <v/>
      </c>
      <c r="I964" s="26" t="str">
        <f t="shared" si="121"/>
        <v/>
      </c>
      <c r="J964" t="str">
        <f t="shared" si="122"/>
        <v/>
      </c>
      <c r="K964" s="26" t="str">
        <f t="shared" si="123"/>
        <v/>
      </c>
      <c r="L964" s="26" t="str">
        <f t="shared" si="124"/>
        <v/>
      </c>
      <c r="P964" t="e">
        <f t="shared" si="125"/>
        <v>#N/A</v>
      </c>
      <c r="Q964" t="e">
        <f t="shared" si="126"/>
        <v>#N/A</v>
      </c>
    </row>
    <row r="965" spans="1:17">
      <c r="A965" s="28"/>
      <c r="B965" s="28"/>
      <c r="C965" s="28"/>
      <c r="D965" s="28"/>
      <c r="E965" s="28"/>
      <c r="F965" s="28"/>
      <c r="G965" s="26" t="str">
        <f t="shared" si="120"/>
        <v/>
      </c>
      <c r="H965" s="26" t="str">
        <f t="shared" si="127"/>
        <v/>
      </c>
      <c r="I965" s="26" t="str">
        <f t="shared" si="121"/>
        <v/>
      </c>
      <c r="J965" t="str">
        <f t="shared" si="122"/>
        <v/>
      </c>
      <c r="K965" s="26" t="str">
        <f t="shared" si="123"/>
        <v/>
      </c>
      <c r="L965" s="26" t="str">
        <f t="shared" si="124"/>
        <v/>
      </c>
      <c r="P965" t="e">
        <f t="shared" si="125"/>
        <v>#N/A</v>
      </c>
      <c r="Q965" t="e">
        <f t="shared" si="126"/>
        <v>#N/A</v>
      </c>
    </row>
    <row r="966" spans="1:17">
      <c r="A966" s="28"/>
      <c r="B966" s="28"/>
      <c r="C966" s="28"/>
      <c r="D966" s="28"/>
      <c r="E966" s="28"/>
      <c r="F966" s="28"/>
      <c r="G966" s="26" t="str">
        <f t="shared" si="120"/>
        <v/>
      </c>
      <c r="H966" s="26" t="str">
        <f t="shared" si="127"/>
        <v/>
      </c>
      <c r="I966" s="26" t="str">
        <f t="shared" si="121"/>
        <v/>
      </c>
      <c r="J966" t="str">
        <f t="shared" si="122"/>
        <v/>
      </c>
      <c r="K966" s="26" t="str">
        <f t="shared" si="123"/>
        <v/>
      </c>
      <c r="L966" s="26" t="str">
        <f t="shared" si="124"/>
        <v/>
      </c>
      <c r="P966" t="e">
        <f t="shared" si="125"/>
        <v>#N/A</v>
      </c>
      <c r="Q966" t="e">
        <f t="shared" si="126"/>
        <v>#N/A</v>
      </c>
    </row>
    <row r="967" spans="1:17">
      <c r="A967" s="28"/>
      <c r="B967" s="28"/>
      <c r="C967" s="28"/>
      <c r="D967" s="28"/>
      <c r="E967" s="28"/>
      <c r="F967" s="28"/>
      <c r="G967" s="26" t="str">
        <f t="shared" si="120"/>
        <v/>
      </c>
      <c r="H967" s="26" t="str">
        <f t="shared" si="127"/>
        <v/>
      </c>
      <c r="I967" s="26" t="str">
        <f t="shared" si="121"/>
        <v/>
      </c>
      <c r="J967" t="str">
        <f t="shared" si="122"/>
        <v/>
      </c>
      <c r="K967" s="26" t="str">
        <f t="shared" si="123"/>
        <v/>
      </c>
      <c r="L967" s="26" t="str">
        <f t="shared" si="124"/>
        <v/>
      </c>
      <c r="P967" t="e">
        <f t="shared" si="125"/>
        <v>#N/A</v>
      </c>
      <c r="Q967" t="e">
        <f t="shared" si="126"/>
        <v>#N/A</v>
      </c>
    </row>
    <row r="968" spans="1:17">
      <c r="A968" s="28"/>
      <c r="B968" s="28"/>
      <c r="C968" s="28"/>
      <c r="D968" s="28"/>
      <c r="E968" s="28"/>
      <c r="F968" s="28"/>
      <c r="G968" s="26" t="str">
        <f t="shared" si="120"/>
        <v/>
      </c>
      <c r="H968" s="26" t="str">
        <f t="shared" si="127"/>
        <v/>
      </c>
      <c r="I968" s="26" t="str">
        <f t="shared" si="121"/>
        <v/>
      </c>
      <c r="J968" t="str">
        <f t="shared" si="122"/>
        <v/>
      </c>
      <c r="K968" s="26" t="str">
        <f t="shared" si="123"/>
        <v/>
      </c>
      <c r="L968" s="26" t="str">
        <f t="shared" si="124"/>
        <v/>
      </c>
      <c r="P968" t="e">
        <f t="shared" si="125"/>
        <v>#N/A</v>
      </c>
      <c r="Q968" t="e">
        <f t="shared" si="126"/>
        <v>#N/A</v>
      </c>
    </row>
    <row r="969" spans="1:17">
      <c r="A969" s="28"/>
      <c r="B969" s="28"/>
      <c r="C969" s="28"/>
      <c r="D969" s="28"/>
      <c r="E969" s="28"/>
      <c r="F969" s="28"/>
      <c r="G969" s="26" t="str">
        <f t="shared" si="120"/>
        <v/>
      </c>
      <c r="H969" s="26" t="str">
        <f t="shared" si="127"/>
        <v/>
      </c>
      <c r="I969" s="26" t="str">
        <f t="shared" si="121"/>
        <v/>
      </c>
      <c r="J969" t="str">
        <f t="shared" si="122"/>
        <v/>
      </c>
      <c r="K969" s="26" t="str">
        <f t="shared" si="123"/>
        <v/>
      </c>
      <c r="L969" s="26" t="str">
        <f t="shared" si="124"/>
        <v/>
      </c>
      <c r="P969" t="e">
        <f t="shared" si="125"/>
        <v>#N/A</v>
      </c>
      <c r="Q969" t="e">
        <f t="shared" si="126"/>
        <v>#N/A</v>
      </c>
    </row>
    <row r="970" spans="1:17">
      <c r="A970" s="28"/>
      <c r="B970" s="28"/>
      <c r="C970" s="28"/>
      <c r="D970" s="28"/>
      <c r="E970" s="28"/>
      <c r="F970" s="28"/>
      <c r="G970" s="26" t="str">
        <f t="shared" si="120"/>
        <v/>
      </c>
      <c r="H970" s="26" t="str">
        <f t="shared" si="127"/>
        <v/>
      </c>
      <c r="I970" s="26" t="str">
        <f t="shared" si="121"/>
        <v/>
      </c>
      <c r="J970" t="str">
        <f t="shared" si="122"/>
        <v/>
      </c>
      <c r="K970" s="26" t="str">
        <f t="shared" si="123"/>
        <v/>
      </c>
      <c r="L970" s="26" t="str">
        <f t="shared" si="124"/>
        <v/>
      </c>
      <c r="P970" t="e">
        <f t="shared" si="125"/>
        <v>#N/A</v>
      </c>
      <c r="Q970" t="e">
        <f t="shared" si="126"/>
        <v>#N/A</v>
      </c>
    </row>
    <row r="971" spans="1:17">
      <c r="A971" s="28"/>
      <c r="B971" s="28"/>
      <c r="C971" s="28"/>
      <c r="D971" s="28"/>
      <c r="E971" s="28"/>
      <c r="F971" s="28"/>
      <c r="G971" s="26" t="str">
        <f t="shared" si="120"/>
        <v/>
      </c>
      <c r="H971" s="26" t="str">
        <f t="shared" si="127"/>
        <v/>
      </c>
      <c r="I971" s="26" t="str">
        <f t="shared" si="121"/>
        <v/>
      </c>
      <c r="J971" t="str">
        <f t="shared" si="122"/>
        <v/>
      </c>
      <c r="K971" s="26" t="str">
        <f t="shared" si="123"/>
        <v/>
      </c>
      <c r="L971" s="26" t="str">
        <f t="shared" si="124"/>
        <v/>
      </c>
      <c r="P971" t="e">
        <f t="shared" si="125"/>
        <v>#N/A</v>
      </c>
      <c r="Q971" t="e">
        <f t="shared" si="126"/>
        <v>#N/A</v>
      </c>
    </row>
    <row r="972" spans="1:17">
      <c r="A972" s="28"/>
      <c r="B972" s="28"/>
      <c r="C972" s="28"/>
      <c r="D972" s="28"/>
      <c r="E972" s="28"/>
      <c r="F972" s="28"/>
      <c r="G972" s="26" t="str">
        <f t="shared" si="120"/>
        <v/>
      </c>
      <c r="H972" s="26" t="str">
        <f t="shared" si="127"/>
        <v/>
      </c>
      <c r="I972" s="26" t="str">
        <f t="shared" si="121"/>
        <v/>
      </c>
      <c r="J972" t="str">
        <f t="shared" si="122"/>
        <v/>
      </c>
      <c r="K972" s="26" t="str">
        <f t="shared" si="123"/>
        <v/>
      </c>
      <c r="L972" s="26" t="str">
        <f t="shared" si="124"/>
        <v/>
      </c>
      <c r="P972" t="e">
        <f t="shared" si="125"/>
        <v>#N/A</v>
      </c>
      <c r="Q972" t="e">
        <f t="shared" si="126"/>
        <v>#N/A</v>
      </c>
    </row>
    <row r="973" spans="1:17">
      <c r="A973" s="28"/>
      <c r="B973" s="28"/>
      <c r="C973" s="28"/>
      <c r="D973" s="28"/>
      <c r="E973" s="28"/>
      <c r="F973" s="28"/>
      <c r="G973" s="26" t="str">
        <f t="shared" si="120"/>
        <v/>
      </c>
      <c r="H973" s="26" t="str">
        <f t="shared" si="127"/>
        <v/>
      </c>
      <c r="I973" s="26" t="str">
        <f t="shared" si="121"/>
        <v/>
      </c>
      <c r="J973" t="str">
        <f t="shared" si="122"/>
        <v/>
      </c>
      <c r="K973" s="26" t="str">
        <f t="shared" si="123"/>
        <v/>
      </c>
      <c r="L973" s="26" t="str">
        <f t="shared" si="124"/>
        <v/>
      </c>
      <c r="P973" t="e">
        <f t="shared" si="125"/>
        <v>#N/A</v>
      </c>
      <c r="Q973" t="e">
        <f t="shared" si="126"/>
        <v>#N/A</v>
      </c>
    </row>
    <row r="974" spans="1:17">
      <c r="A974" s="28"/>
      <c r="B974" s="28"/>
      <c r="C974" s="28"/>
      <c r="D974" s="28"/>
      <c r="E974" s="28"/>
      <c r="F974" s="28"/>
      <c r="G974" s="26" t="str">
        <f t="shared" si="120"/>
        <v/>
      </c>
      <c r="H974" s="26" t="str">
        <f t="shared" si="127"/>
        <v/>
      </c>
      <c r="I974" s="26" t="str">
        <f t="shared" si="121"/>
        <v/>
      </c>
      <c r="J974" t="str">
        <f t="shared" si="122"/>
        <v/>
      </c>
      <c r="K974" s="26" t="str">
        <f t="shared" si="123"/>
        <v/>
      </c>
      <c r="L974" s="26" t="str">
        <f t="shared" si="124"/>
        <v/>
      </c>
      <c r="P974" t="e">
        <f t="shared" si="125"/>
        <v>#N/A</v>
      </c>
      <c r="Q974" t="e">
        <f t="shared" si="126"/>
        <v>#N/A</v>
      </c>
    </row>
    <row r="975" spans="1:17">
      <c r="A975" s="28"/>
      <c r="B975" s="28"/>
      <c r="C975" s="28"/>
      <c r="D975" s="28"/>
      <c r="E975" s="28"/>
      <c r="F975" s="28"/>
      <c r="G975" s="26" t="str">
        <f t="shared" si="120"/>
        <v/>
      </c>
      <c r="H975" s="26" t="str">
        <f t="shared" si="127"/>
        <v/>
      </c>
      <c r="I975" s="26" t="str">
        <f t="shared" si="121"/>
        <v/>
      </c>
      <c r="J975" t="str">
        <f t="shared" si="122"/>
        <v/>
      </c>
      <c r="K975" s="26" t="str">
        <f t="shared" si="123"/>
        <v/>
      </c>
      <c r="L975" s="26" t="str">
        <f t="shared" si="124"/>
        <v/>
      </c>
      <c r="P975" t="e">
        <f t="shared" si="125"/>
        <v>#N/A</v>
      </c>
      <c r="Q975" t="e">
        <f t="shared" si="126"/>
        <v>#N/A</v>
      </c>
    </row>
    <row r="976" spans="1:17">
      <c r="A976" s="28"/>
      <c r="B976" s="28"/>
      <c r="C976" s="28"/>
      <c r="D976" s="28"/>
      <c r="E976" s="28"/>
      <c r="F976" s="28"/>
      <c r="G976" s="26" t="str">
        <f t="shared" si="120"/>
        <v/>
      </c>
      <c r="H976" s="26" t="str">
        <f t="shared" si="127"/>
        <v/>
      </c>
      <c r="I976" s="26" t="str">
        <f t="shared" si="121"/>
        <v/>
      </c>
      <c r="J976" t="str">
        <f t="shared" si="122"/>
        <v/>
      </c>
      <c r="K976" s="26" t="str">
        <f t="shared" si="123"/>
        <v/>
      </c>
      <c r="L976" s="26" t="str">
        <f t="shared" si="124"/>
        <v/>
      </c>
      <c r="P976" t="e">
        <f t="shared" si="125"/>
        <v>#N/A</v>
      </c>
      <c r="Q976" t="e">
        <f t="shared" si="126"/>
        <v>#N/A</v>
      </c>
    </row>
    <row r="977" spans="1:17">
      <c r="A977" s="28"/>
      <c r="B977" s="28"/>
      <c r="C977" s="28"/>
      <c r="D977" s="28"/>
      <c r="E977" s="28"/>
      <c r="F977" s="28"/>
      <c r="G977" s="26" t="str">
        <f t="shared" si="120"/>
        <v/>
      </c>
      <c r="H977" s="26" t="str">
        <f t="shared" si="127"/>
        <v/>
      </c>
      <c r="I977" s="26" t="str">
        <f t="shared" si="121"/>
        <v/>
      </c>
      <c r="J977" t="str">
        <f t="shared" si="122"/>
        <v/>
      </c>
      <c r="K977" s="26" t="str">
        <f t="shared" si="123"/>
        <v/>
      </c>
      <c r="L977" s="26" t="str">
        <f t="shared" si="124"/>
        <v/>
      </c>
      <c r="P977" t="e">
        <f t="shared" si="125"/>
        <v>#N/A</v>
      </c>
      <c r="Q977" t="e">
        <f t="shared" si="126"/>
        <v>#N/A</v>
      </c>
    </row>
    <row r="978" spans="1:17">
      <c r="A978" s="28"/>
      <c r="B978" s="28"/>
      <c r="C978" s="28"/>
      <c r="D978" s="28"/>
      <c r="E978" s="28"/>
      <c r="F978" s="28"/>
      <c r="G978" s="26" t="str">
        <f t="shared" si="120"/>
        <v/>
      </c>
      <c r="H978" s="26" t="str">
        <f t="shared" si="127"/>
        <v/>
      </c>
      <c r="I978" s="26" t="str">
        <f t="shared" si="121"/>
        <v/>
      </c>
      <c r="J978" t="str">
        <f t="shared" si="122"/>
        <v/>
      </c>
      <c r="K978" s="26" t="str">
        <f t="shared" si="123"/>
        <v/>
      </c>
      <c r="L978" s="26" t="str">
        <f t="shared" si="124"/>
        <v/>
      </c>
      <c r="P978" t="e">
        <f t="shared" si="125"/>
        <v>#N/A</v>
      </c>
      <c r="Q978" t="e">
        <f t="shared" si="126"/>
        <v>#N/A</v>
      </c>
    </row>
    <row r="979" spans="1:17">
      <c r="A979" s="28"/>
      <c r="B979" s="28"/>
      <c r="C979" s="28"/>
      <c r="D979" s="28"/>
      <c r="E979" s="28"/>
      <c r="F979" s="28"/>
      <c r="G979" s="26" t="str">
        <f t="shared" si="120"/>
        <v/>
      </c>
      <c r="H979" s="26" t="str">
        <f t="shared" si="127"/>
        <v/>
      </c>
      <c r="I979" s="26" t="str">
        <f t="shared" si="121"/>
        <v/>
      </c>
      <c r="J979" t="str">
        <f t="shared" si="122"/>
        <v/>
      </c>
      <c r="K979" s="26" t="str">
        <f t="shared" si="123"/>
        <v/>
      </c>
      <c r="L979" s="26" t="str">
        <f t="shared" si="124"/>
        <v/>
      </c>
      <c r="P979" t="e">
        <f t="shared" si="125"/>
        <v>#N/A</v>
      </c>
      <c r="Q979" t="e">
        <f t="shared" si="126"/>
        <v>#N/A</v>
      </c>
    </row>
    <row r="980" spans="1:17">
      <c r="A980" s="28"/>
      <c r="B980" s="28"/>
      <c r="C980" s="28"/>
      <c r="D980" s="28"/>
      <c r="E980" s="28"/>
      <c r="F980" s="28"/>
      <c r="G980" s="26" t="str">
        <f t="shared" si="120"/>
        <v/>
      </c>
      <c r="H980" s="26" t="str">
        <f t="shared" si="127"/>
        <v/>
      </c>
      <c r="I980" s="26" t="str">
        <f t="shared" si="121"/>
        <v/>
      </c>
      <c r="J980" t="str">
        <f t="shared" si="122"/>
        <v/>
      </c>
      <c r="K980" s="26" t="str">
        <f t="shared" si="123"/>
        <v/>
      </c>
      <c r="L980" s="26" t="str">
        <f t="shared" si="124"/>
        <v/>
      </c>
      <c r="P980" t="e">
        <f t="shared" si="125"/>
        <v>#N/A</v>
      </c>
      <c r="Q980" t="e">
        <f t="shared" si="126"/>
        <v>#N/A</v>
      </c>
    </row>
    <row r="981" spans="1:17">
      <c r="A981" s="28"/>
      <c r="B981" s="28"/>
      <c r="C981" s="28"/>
      <c r="D981" s="28"/>
      <c r="E981" s="28"/>
      <c r="F981" s="28"/>
      <c r="G981" s="26" t="str">
        <f t="shared" si="120"/>
        <v/>
      </c>
      <c r="H981" s="26" t="str">
        <f t="shared" si="127"/>
        <v/>
      </c>
      <c r="I981" s="26" t="str">
        <f t="shared" si="121"/>
        <v/>
      </c>
      <c r="J981" t="str">
        <f t="shared" si="122"/>
        <v/>
      </c>
      <c r="K981" s="26" t="str">
        <f t="shared" si="123"/>
        <v/>
      </c>
      <c r="L981" s="26" t="str">
        <f t="shared" si="124"/>
        <v/>
      </c>
      <c r="P981" t="e">
        <f t="shared" si="125"/>
        <v>#N/A</v>
      </c>
      <c r="Q981" t="e">
        <f t="shared" si="126"/>
        <v>#N/A</v>
      </c>
    </row>
    <row r="982" spans="1:17">
      <c r="A982" s="28"/>
      <c r="B982" s="28"/>
      <c r="C982" s="28"/>
      <c r="D982" s="28"/>
      <c r="E982" s="28"/>
      <c r="F982" s="28"/>
      <c r="G982" s="26" t="str">
        <f t="shared" si="120"/>
        <v/>
      </c>
      <c r="H982" s="26" t="str">
        <f t="shared" si="127"/>
        <v/>
      </c>
      <c r="I982" s="26" t="str">
        <f t="shared" si="121"/>
        <v/>
      </c>
      <c r="J982" t="str">
        <f t="shared" si="122"/>
        <v/>
      </c>
      <c r="K982" s="26" t="str">
        <f t="shared" si="123"/>
        <v/>
      </c>
      <c r="L982" s="26" t="str">
        <f t="shared" si="124"/>
        <v/>
      </c>
      <c r="P982" t="e">
        <f t="shared" si="125"/>
        <v>#N/A</v>
      </c>
      <c r="Q982" t="e">
        <f t="shared" si="126"/>
        <v>#N/A</v>
      </c>
    </row>
    <row r="983" spans="1:17">
      <c r="A983" s="28"/>
      <c r="B983" s="28"/>
      <c r="C983" s="28"/>
      <c r="D983" s="28"/>
      <c r="E983" s="28"/>
      <c r="F983" s="28"/>
      <c r="G983" s="26" t="str">
        <f t="shared" si="120"/>
        <v/>
      </c>
      <c r="H983" s="26" t="str">
        <f t="shared" si="127"/>
        <v/>
      </c>
      <c r="I983" s="26" t="str">
        <f t="shared" si="121"/>
        <v/>
      </c>
      <c r="J983" t="str">
        <f t="shared" si="122"/>
        <v/>
      </c>
      <c r="K983" s="26" t="str">
        <f t="shared" si="123"/>
        <v/>
      </c>
      <c r="L983" s="26" t="str">
        <f t="shared" si="124"/>
        <v/>
      </c>
      <c r="P983" t="e">
        <f t="shared" si="125"/>
        <v>#N/A</v>
      </c>
      <c r="Q983" t="e">
        <f t="shared" si="126"/>
        <v>#N/A</v>
      </c>
    </row>
    <row r="984" spans="1:17">
      <c r="A984" s="28"/>
      <c r="B984" s="28"/>
      <c r="C984" s="28"/>
      <c r="D984" s="28"/>
      <c r="E984" s="28"/>
      <c r="F984" s="28"/>
      <c r="G984" s="26" t="str">
        <f t="shared" si="120"/>
        <v/>
      </c>
      <c r="H984" s="26" t="str">
        <f t="shared" si="127"/>
        <v/>
      </c>
      <c r="I984" s="26" t="str">
        <f t="shared" si="121"/>
        <v/>
      </c>
      <c r="J984" t="str">
        <f t="shared" si="122"/>
        <v/>
      </c>
      <c r="K984" s="26" t="str">
        <f t="shared" si="123"/>
        <v/>
      </c>
      <c r="L984" s="26" t="str">
        <f t="shared" si="124"/>
        <v/>
      </c>
      <c r="P984" t="e">
        <f t="shared" si="125"/>
        <v>#N/A</v>
      </c>
      <c r="Q984" t="e">
        <f t="shared" si="126"/>
        <v>#N/A</v>
      </c>
    </row>
    <row r="985" spans="1:17">
      <c r="A985" s="28"/>
      <c r="B985" s="28"/>
      <c r="C985" s="28"/>
      <c r="D985" s="28"/>
      <c r="E985" s="28"/>
      <c r="F985" s="28"/>
      <c r="G985" s="26" t="str">
        <f t="shared" si="120"/>
        <v/>
      </c>
      <c r="H985" s="26" t="str">
        <f t="shared" si="127"/>
        <v/>
      </c>
      <c r="I985" s="26" t="str">
        <f t="shared" si="121"/>
        <v/>
      </c>
      <c r="J985" t="str">
        <f t="shared" si="122"/>
        <v/>
      </c>
      <c r="K985" s="26" t="str">
        <f t="shared" si="123"/>
        <v/>
      </c>
      <c r="L985" s="26" t="str">
        <f t="shared" si="124"/>
        <v/>
      </c>
      <c r="P985" t="e">
        <f t="shared" si="125"/>
        <v>#N/A</v>
      </c>
      <c r="Q985" t="e">
        <f t="shared" si="126"/>
        <v>#N/A</v>
      </c>
    </row>
    <row r="986" spans="1:17">
      <c r="A986" s="28"/>
      <c r="B986" s="28"/>
      <c r="C986" s="28"/>
      <c r="D986" s="28"/>
      <c r="E986" s="28"/>
      <c r="F986" s="28"/>
      <c r="G986" s="26" t="str">
        <f t="shared" si="120"/>
        <v/>
      </c>
      <c r="H986" s="26" t="str">
        <f t="shared" si="127"/>
        <v/>
      </c>
      <c r="I986" s="26" t="str">
        <f t="shared" si="121"/>
        <v/>
      </c>
      <c r="J986" t="str">
        <f t="shared" si="122"/>
        <v/>
      </c>
      <c r="K986" s="26" t="str">
        <f t="shared" si="123"/>
        <v/>
      </c>
      <c r="L986" s="26" t="str">
        <f t="shared" si="124"/>
        <v/>
      </c>
      <c r="P986" t="e">
        <f t="shared" si="125"/>
        <v>#N/A</v>
      </c>
      <c r="Q986" t="e">
        <f t="shared" si="126"/>
        <v>#N/A</v>
      </c>
    </row>
    <row r="987" spans="1:17">
      <c r="A987" s="28"/>
      <c r="B987" s="28"/>
      <c r="C987" s="28"/>
      <c r="D987" s="28"/>
      <c r="E987" s="28"/>
      <c r="F987" s="28"/>
      <c r="G987" s="26" t="str">
        <f t="shared" si="120"/>
        <v/>
      </c>
      <c r="H987" s="26" t="str">
        <f t="shared" si="127"/>
        <v/>
      </c>
      <c r="I987" s="26" t="str">
        <f t="shared" si="121"/>
        <v/>
      </c>
      <c r="J987" t="str">
        <f t="shared" si="122"/>
        <v/>
      </c>
      <c r="K987" s="26" t="str">
        <f t="shared" si="123"/>
        <v/>
      </c>
      <c r="L987" s="26" t="str">
        <f t="shared" si="124"/>
        <v/>
      </c>
      <c r="P987" t="e">
        <f t="shared" si="125"/>
        <v>#N/A</v>
      </c>
      <c r="Q987" t="e">
        <f t="shared" si="126"/>
        <v>#N/A</v>
      </c>
    </row>
    <row r="988" spans="1:17">
      <c r="A988" s="28"/>
      <c r="B988" s="28"/>
      <c r="C988" s="28"/>
      <c r="D988" s="28"/>
      <c r="E988" s="28"/>
      <c r="F988" s="28"/>
      <c r="G988" s="26" t="str">
        <f t="shared" si="120"/>
        <v/>
      </c>
      <c r="H988" s="26" t="str">
        <f t="shared" si="127"/>
        <v/>
      </c>
      <c r="I988" s="26" t="str">
        <f t="shared" si="121"/>
        <v/>
      </c>
      <c r="J988" t="str">
        <f t="shared" si="122"/>
        <v/>
      </c>
      <c r="K988" s="26" t="str">
        <f t="shared" si="123"/>
        <v/>
      </c>
      <c r="L988" s="26" t="str">
        <f t="shared" si="124"/>
        <v/>
      </c>
      <c r="P988" t="e">
        <f t="shared" si="125"/>
        <v>#N/A</v>
      </c>
      <c r="Q988" t="e">
        <f t="shared" si="126"/>
        <v>#N/A</v>
      </c>
    </row>
    <row r="989" spans="1:17">
      <c r="A989" s="28"/>
      <c r="B989" s="28"/>
      <c r="C989" s="28"/>
      <c r="D989" s="28"/>
      <c r="E989" s="28"/>
      <c r="F989" s="28"/>
      <c r="G989" s="26" t="str">
        <f t="shared" si="120"/>
        <v/>
      </c>
      <c r="H989" s="26" t="str">
        <f t="shared" si="127"/>
        <v/>
      </c>
      <c r="I989" s="26" t="str">
        <f t="shared" si="121"/>
        <v/>
      </c>
      <c r="J989" t="str">
        <f t="shared" si="122"/>
        <v/>
      </c>
      <c r="K989" s="26" t="str">
        <f t="shared" si="123"/>
        <v/>
      </c>
      <c r="L989" s="26" t="str">
        <f t="shared" si="124"/>
        <v/>
      </c>
      <c r="P989" t="e">
        <f t="shared" si="125"/>
        <v>#N/A</v>
      </c>
      <c r="Q989" t="e">
        <f t="shared" si="126"/>
        <v>#N/A</v>
      </c>
    </row>
    <row r="990" spans="1:17">
      <c r="A990" s="28"/>
      <c r="B990" s="28"/>
      <c r="C990" s="28"/>
      <c r="D990" s="28"/>
      <c r="E990" s="28"/>
      <c r="F990" s="28"/>
      <c r="G990" s="26" t="str">
        <f t="shared" si="120"/>
        <v/>
      </c>
      <c r="H990" s="26" t="str">
        <f t="shared" si="127"/>
        <v/>
      </c>
      <c r="I990" s="26" t="str">
        <f t="shared" si="121"/>
        <v/>
      </c>
      <c r="J990" t="str">
        <f t="shared" si="122"/>
        <v/>
      </c>
      <c r="K990" s="26" t="str">
        <f t="shared" si="123"/>
        <v/>
      </c>
      <c r="L990" s="26" t="str">
        <f t="shared" si="124"/>
        <v/>
      </c>
      <c r="P990" t="e">
        <f t="shared" si="125"/>
        <v>#N/A</v>
      </c>
      <c r="Q990" t="e">
        <f t="shared" si="126"/>
        <v>#N/A</v>
      </c>
    </row>
    <row r="991" spans="1:17">
      <c r="A991" s="28"/>
      <c r="B991" s="28"/>
      <c r="C991" s="28"/>
      <c r="D991" s="28"/>
      <c r="E991" s="28"/>
      <c r="F991" s="28"/>
      <c r="G991" s="26" t="str">
        <f t="shared" si="120"/>
        <v/>
      </c>
      <c r="H991" s="26" t="str">
        <f t="shared" si="127"/>
        <v/>
      </c>
      <c r="I991" s="26" t="str">
        <f t="shared" si="121"/>
        <v/>
      </c>
      <c r="J991" t="str">
        <f t="shared" si="122"/>
        <v/>
      </c>
      <c r="K991" s="26" t="str">
        <f t="shared" si="123"/>
        <v/>
      </c>
      <c r="L991" s="26" t="str">
        <f t="shared" si="124"/>
        <v/>
      </c>
      <c r="P991" t="e">
        <f t="shared" si="125"/>
        <v>#N/A</v>
      </c>
      <c r="Q991" t="e">
        <f t="shared" si="126"/>
        <v>#N/A</v>
      </c>
    </row>
    <row r="992" spans="1:17">
      <c r="A992" s="28"/>
      <c r="B992" s="28"/>
      <c r="C992" s="28"/>
      <c r="D992" s="28"/>
      <c r="E992" s="28"/>
      <c r="F992" s="28"/>
      <c r="G992" s="26" t="str">
        <f t="shared" si="120"/>
        <v/>
      </c>
      <c r="H992" s="26" t="str">
        <f t="shared" si="127"/>
        <v/>
      </c>
      <c r="I992" s="26" t="str">
        <f t="shared" si="121"/>
        <v/>
      </c>
      <c r="J992" t="str">
        <f t="shared" si="122"/>
        <v/>
      </c>
      <c r="K992" s="26" t="str">
        <f t="shared" si="123"/>
        <v/>
      </c>
      <c r="L992" s="26" t="str">
        <f t="shared" si="124"/>
        <v/>
      </c>
      <c r="P992" t="e">
        <f t="shared" si="125"/>
        <v>#N/A</v>
      </c>
      <c r="Q992" t="e">
        <f t="shared" si="126"/>
        <v>#N/A</v>
      </c>
    </row>
    <row r="993" spans="1:17">
      <c r="A993" s="28"/>
      <c r="B993" s="28"/>
      <c r="C993" s="28"/>
      <c r="D993" s="28"/>
      <c r="E993" s="28"/>
      <c r="F993" s="28"/>
      <c r="G993" s="26" t="str">
        <f t="shared" si="120"/>
        <v/>
      </c>
      <c r="H993" s="26" t="str">
        <f t="shared" si="127"/>
        <v/>
      </c>
      <c r="I993" s="26" t="str">
        <f t="shared" si="121"/>
        <v/>
      </c>
      <c r="J993" t="str">
        <f t="shared" si="122"/>
        <v/>
      </c>
      <c r="K993" s="26" t="str">
        <f t="shared" si="123"/>
        <v/>
      </c>
      <c r="L993" s="26" t="str">
        <f t="shared" si="124"/>
        <v/>
      </c>
      <c r="P993" t="e">
        <f t="shared" si="125"/>
        <v>#N/A</v>
      </c>
      <c r="Q993" t="e">
        <f t="shared" si="126"/>
        <v>#N/A</v>
      </c>
    </row>
    <row r="994" spans="1:17">
      <c r="A994" s="28"/>
      <c r="B994" s="28"/>
      <c r="C994" s="28"/>
      <c r="D994" s="28"/>
      <c r="E994" s="28"/>
      <c r="F994" s="28"/>
      <c r="G994" s="26" t="str">
        <f t="shared" si="120"/>
        <v/>
      </c>
      <c r="H994" s="26" t="str">
        <f t="shared" si="127"/>
        <v/>
      </c>
      <c r="I994" s="26" t="str">
        <f t="shared" si="121"/>
        <v/>
      </c>
      <c r="J994" t="str">
        <f t="shared" si="122"/>
        <v/>
      </c>
      <c r="K994" s="26" t="str">
        <f t="shared" si="123"/>
        <v/>
      </c>
      <c r="L994" s="26" t="str">
        <f t="shared" si="124"/>
        <v/>
      </c>
      <c r="P994" t="e">
        <f t="shared" si="125"/>
        <v>#N/A</v>
      </c>
      <c r="Q994" t="e">
        <f t="shared" si="126"/>
        <v>#N/A</v>
      </c>
    </row>
    <row r="995" spans="1:17">
      <c r="A995" s="28"/>
      <c r="B995" s="28"/>
      <c r="C995" s="28"/>
      <c r="D995" s="28"/>
      <c r="E995" s="28"/>
      <c r="F995" s="28"/>
      <c r="G995" s="26" t="str">
        <f t="shared" si="120"/>
        <v/>
      </c>
      <c r="H995" s="26" t="str">
        <f t="shared" si="127"/>
        <v/>
      </c>
      <c r="I995" s="26" t="str">
        <f t="shared" si="121"/>
        <v/>
      </c>
      <c r="J995" t="str">
        <f t="shared" si="122"/>
        <v/>
      </c>
      <c r="K995" s="26" t="str">
        <f t="shared" si="123"/>
        <v/>
      </c>
      <c r="L995" s="26" t="str">
        <f t="shared" si="124"/>
        <v/>
      </c>
      <c r="P995" t="e">
        <f t="shared" si="125"/>
        <v>#N/A</v>
      </c>
      <c r="Q995" t="e">
        <f t="shared" si="126"/>
        <v>#N/A</v>
      </c>
    </row>
    <row r="996" spans="1:17">
      <c r="A996" s="28"/>
      <c r="B996" s="28"/>
      <c r="C996" s="28"/>
      <c r="D996" s="28"/>
      <c r="E996" s="28"/>
      <c r="F996" s="28"/>
      <c r="G996" s="26" t="str">
        <f t="shared" si="120"/>
        <v/>
      </c>
      <c r="H996" s="26" t="str">
        <f t="shared" si="127"/>
        <v/>
      </c>
      <c r="I996" s="26" t="str">
        <f t="shared" si="121"/>
        <v/>
      </c>
      <c r="J996" t="str">
        <f t="shared" si="122"/>
        <v/>
      </c>
      <c r="K996" s="26" t="str">
        <f t="shared" si="123"/>
        <v/>
      </c>
      <c r="L996" s="26" t="str">
        <f t="shared" si="124"/>
        <v/>
      </c>
      <c r="P996" t="e">
        <f t="shared" si="125"/>
        <v>#N/A</v>
      </c>
      <c r="Q996" t="e">
        <f t="shared" si="126"/>
        <v>#N/A</v>
      </c>
    </row>
    <row r="997" spans="1:17">
      <c r="A997" s="28"/>
      <c r="B997" s="28"/>
      <c r="C997" s="28"/>
      <c r="D997" s="28"/>
      <c r="E997" s="28"/>
      <c r="F997" s="28"/>
      <c r="G997" s="26" t="str">
        <f t="shared" si="120"/>
        <v/>
      </c>
      <c r="H997" s="26" t="str">
        <f t="shared" si="127"/>
        <v/>
      </c>
      <c r="I997" s="26" t="str">
        <f t="shared" si="121"/>
        <v/>
      </c>
      <c r="J997" t="str">
        <f t="shared" si="122"/>
        <v/>
      </c>
      <c r="K997" s="26" t="str">
        <f t="shared" si="123"/>
        <v/>
      </c>
      <c r="L997" s="26" t="str">
        <f t="shared" si="124"/>
        <v/>
      </c>
      <c r="P997" t="e">
        <f t="shared" si="125"/>
        <v>#N/A</v>
      </c>
      <c r="Q997" t="e">
        <f t="shared" si="126"/>
        <v>#N/A</v>
      </c>
    </row>
    <row r="998" spans="1:17">
      <c r="A998" s="28"/>
      <c r="B998" s="28"/>
      <c r="C998" s="28"/>
      <c r="D998" s="28"/>
      <c r="E998" s="28"/>
      <c r="F998" s="28"/>
      <c r="G998" s="26" t="str">
        <f t="shared" si="120"/>
        <v/>
      </c>
      <c r="H998" s="26" t="str">
        <f t="shared" si="127"/>
        <v/>
      </c>
      <c r="I998" s="26" t="str">
        <f t="shared" si="121"/>
        <v/>
      </c>
      <c r="J998" t="str">
        <f t="shared" si="122"/>
        <v/>
      </c>
      <c r="K998" s="26" t="str">
        <f t="shared" si="123"/>
        <v/>
      </c>
      <c r="L998" s="26" t="str">
        <f t="shared" si="124"/>
        <v/>
      </c>
      <c r="P998" t="e">
        <f t="shared" si="125"/>
        <v>#N/A</v>
      </c>
      <c r="Q998" t="e">
        <f t="shared" si="126"/>
        <v>#N/A</v>
      </c>
    </row>
    <row r="999" spans="1:17">
      <c r="A999" s="28"/>
      <c r="B999" s="28"/>
      <c r="C999" s="28"/>
      <c r="D999" s="28"/>
      <c r="E999" s="28"/>
      <c r="F999" s="28"/>
      <c r="G999" s="26" t="str">
        <f t="shared" si="120"/>
        <v/>
      </c>
      <c r="H999" s="26" t="str">
        <f t="shared" si="127"/>
        <v/>
      </c>
      <c r="I999" s="26" t="str">
        <f t="shared" si="121"/>
        <v/>
      </c>
      <c r="J999" t="str">
        <f t="shared" si="122"/>
        <v/>
      </c>
      <c r="K999" s="26" t="str">
        <f t="shared" si="123"/>
        <v/>
      </c>
      <c r="L999" s="26" t="str">
        <f t="shared" si="124"/>
        <v/>
      </c>
      <c r="P999" t="e">
        <f t="shared" si="125"/>
        <v>#N/A</v>
      </c>
      <c r="Q999" t="e">
        <f t="shared" si="126"/>
        <v>#N/A</v>
      </c>
    </row>
    <row r="1000" spans="1:17">
      <c r="A1000" s="28"/>
      <c r="B1000" s="28"/>
      <c r="C1000" s="28"/>
      <c r="D1000" s="28"/>
      <c r="E1000" s="28"/>
      <c r="F1000" s="28"/>
      <c r="G1000" s="26" t="str">
        <f t="shared" si="120"/>
        <v/>
      </c>
      <c r="H1000" s="26" t="str">
        <f t="shared" si="127"/>
        <v/>
      </c>
      <c r="I1000" s="26" t="str">
        <f t="shared" si="121"/>
        <v/>
      </c>
      <c r="J1000" t="str">
        <f t="shared" si="122"/>
        <v/>
      </c>
      <c r="K1000" s="26" t="str">
        <f t="shared" si="123"/>
        <v/>
      </c>
      <c r="L1000" s="26" t="str">
        <f t="shared" si="124"/>
        <v/>
      </c>
      <c r="P1000" t="e">
        <f t="shared" si="125"/>
        <v>#N/A</v>
      </c>
      <c r="Q1000" t="e">
        <f t="shared" si="126"/>
        <v>#N/A</v>
      </c>
    </row>
    <row r="1001" spans="1:17">
      <c r="A1001" s="28"/>
      <c r="B1001" s="28"/>
      <c r="C1001" s="28"/>
      <c r="D1001" s="28"/>
      <c r="E1001" s="28"/>
      <c r="F1001" s="28"/>
      <c r="G1001" s="26" t="str">
        <f t="shared" si="120"/>
        <v/>
      </c>
      <c r="H1001" s="26" t="str">
        <f t="shared" si="127"/>
        <v/>
      </c>
      <c r="I1001" s="26" t="str">
        <f t="shared" si="121"/>
        <v/>
      </c>
      <c r="J1001" t="str">
        <f t="shared" si="122"/>
        <v/>
      </c>
      <c r="K1001" s="26" t="str">
        <f t="shared" si="123"/>
        <v/>
      </c>
      <c r="L1001" s="26" t="str">
        <f t="shared" si="124"/>
        <v/>
      </c>
      <c r="P1001" t="e">
        <f t="shared" si="125"/>
        <v>#N/A</v>
      </c>
      <c r="Q1001" t="e">
        <f t="shared" si="126"/>
        <v>#N/A</v>
      </c>
    </row>
    <row r="1002" spans="1:17">
      <c r="A1002" s="28"/>
      <c r="B1002" s="28"/>
      <c r="C1002" s="28"/>
      <c r="D1002" s="28"/>
      <c r="E1002" s="28"/>
      <c r="F1002" s="28"/>
      <c r="G1002" s="26" t="str">
        <f t="shared" si="120"/>
        <v/>
      </c>
      <c r="H1002" s="26" t="str">
        <f t="shared" si="127"/>
        <v/>
      </c>
      <c r="I1002" s="26" t="str">
        <f t="shared" si="121"/>
        <v/>
      </c>
      <c r="J1002" t="str">
        <f t="shared" si="122"/>
        <v/>
      </c>
      <c r="K1002" s="26" t="str">
        <f t="shared" si="123"/>
        <v/>
      </c>
      <c r="L1002" s="26" t="str">
        <f t="shared" si="124"/>
        <v/>
      </c>
      <c r="P1002" t="e">
        <f t="shared" si="125"/>
        <v>#N/A</v>
      </c>
      <c r="Q1002" t="e">
        <f t="shared" si="126"/>
        <v>#N/A</v>
      </c>
    </row>
    <row r="1003" spans="1:17">
      <c r="A1003" s="28"/>
      <c r="B1003" s="28"/>
      <c r="C1003" s="28"/>
      <c r="D1003" s="28"/>
      <c r="E1003" s="28"/>
      <c r="F1003" s="28"/>
      <c r="G1003" s="26" t="str">
        <f t="shared" si="120"/>
        <v/>
      </c>
      <c r="H1003" s="26" t="str">
        <f t="shared" si="127"/>
        <v/>
      </c>
      <c r="I1003" s="26" t="str">
        <f t="shared" si="121"/>
        <v/>
      </c>
      <c r="J1003" t="str">
        <f t="shared" si="122"/>
        <v/>
      </c>
      <c r="K1003" s="26" t="str">
        <f t="shared" si="123"/>
        <v/>
      </c>
      <c r="L1003" s="26" t="str">
        <f t="shared" si="124"/>
        <v/>
      </c>
      <c r="P1003" t="e">
        <f t="shared" si="125"/>
        <v>#N/A</v>
      </c>
      <c r="Q1003" t="e">
        <f t="shared" si="126"/>
        <v>#N/A</v>
      </c>
    </row>
    <row r="1004" spans="1:17">
      <c r="A1004" s="28"/>
      <c r="B1004" s="28"/>
      <c r="C1004" s="28"/>
      <c r="D1004" s="28"/>
      <c r="E1004" s="28"/>
      <c r="F1004" s="28"/>
      <c r="G1004" s="26" t="str">
        <f t="shared" si="120"/>
        <v/>
      </c>
      <c r="H1004" s="26" t="str">
        <f t="shared" si="127"/>
        <v/>
      </c>
      <c r="I1004" s="26" t="str">
        <f t="shared" si="121"/>
        <v/>
      </c>
      <c r="J1004" t="str">
        <f t="shared" si="122"/>
        <v/>
      </c>
      <c r="K1004" s="26" t="str">
        <f t="shared" si="123"/>
        <v/>
      </c>
      <c r="L1004" s="26" t="str">
        <f t="shared" si="124"/>
        <v/>
      </c>
      <c r="P1004" t="e">
        <f t="shared" si="125"/>
        <v>#N/A</v>
      </c>
      <c r="Q1004" t="e">
        <f t="shared" si="126"/>
        <v>#N/A</v>
      </c>
    </row>
    <row r="1005" spans="1:17">
      <c r="A1005" s="28"/>
      <c r="B1005" s="28"/>
      <c r="C1005" s="28"/>
      <c r="D1005" s="28"/>
      <c r="E1005" s="28"/>
      <c r="F1005" s="28"/>
      <c r="G1005" s="26" t="str">
        <f t="shared" si="120"/>
        <v/>
      </c>
      <c r="H1005" s="26" t="str">
        <f t="shared" si="127"/>
        <v/>
      </c>
      <c r="I1005" s="26" t="str">
        <f t="shared" si="121"/>
        <v/>
      </c>
      <c r="J1005" t="str">
        <f t="shared" si="122"/>
        <v/>
      </c>
      <c r="K1005" s="26" t="str">
        <f t="shared" si="123"/>
        <v/>
      </c>
      <c r="L1005" s="26" t="str">
        <f t="shared" si="124"/>
        <v/>
      </c>
      <c r="P1005" t="e">
        <f t="shared" si="125"/>
        <v>#N/A</v>
      </c>
      <c r="Q1005" t="e">
        <f t="shared" si="126"/>
        <v>#N/A</v>
      </c>
    </row>
    <row r="1006" spans="1:17">
      <c r="A1006" s="28"/>
      <c r="B1006" s="28"/>
      <c r="C1006" s="28"/>
      <c r="D1006" s="28"/>
      <c r="E1006" s="28"/>
      <c r="F1006" s="28"/>
      <c r="G1006" s="26" t="str">
        <f t="shared" si="120"/>
        <v/>
      </c>
      <c r="H1006" s="26" t="str">
        <f t="shared" si="127"/>
        <v/>
      </c>
      <c r="I1006" s="26" t="str">
        <f t="shared" si="121"/>
        <v/>
      </c>
      <c r="J1006" t="str">
        <f t="shared" si="122"/>
        <v/>
      </c>
      <c r="K1006" s="26" t="str">
        <f t="shared" si="123"/>
        <v/>
      </c>
      <c r="L1006" s="26" t="str">
        <f t="shared" si="124"/>
        <v/>
      </c>
      <c r="P1006" t="e">
        <f t="shared" si="125"/>
        <v>#N/A</v>
      </c>
      <c r="Q1006" t="e">
        <f t="shared" si="126"/>
        <v>#N/A</v>
      </c>
    </row>
    <row r="1007" spans="1:17">
      <c r="A1007" s="28"/>
      <c r="B1007" s="28"/>
      <c r="C1007" s="28"/>
      <c r="D1007" s="28"/>
      <c r="E1007" s="28"/>
      <c r="F1007" s="28"/>
      <c r="G1007" s="26" t="str">
        <f t="shared" si="120"/>
        <v/>
      </c>
      <c r="H1007" s="26" t="str">
        <f t="shared" si="127"/>
        <v/>
      </c>
      <c r="I1007" s="26" t="str">
        <f t="shared" si="121"/>
        <v/>
      </c>
      <c r="J1007" t="str">
        <f t="shared" si="122"/>
        <v/>
      </c>
      <c r="K1007" s="26" t="str">
        <f t="shared" si="123"/>
        <v/>
      </c>
      <c r="L1007" s="26" t="str">
        <f t="shared" si="124"/>
        <v/>
      </c>
      <c r="P1007" t="e">
        <f t="shared" si="125"/>
        <v>#N/A</v>
      </c>
      <c r="Q1007" t="e">
        <f t="shared" si="126"/>
        <v>#N/A</v>
      </c>
    </row>
    <row r="1008" spans="1:17">
      <c r="A1008" s="28"/>
      <c r="B1008" s="28"/>
      <c r="C1008" s="28"/>
      <c r="D1008" s="28"/>
      <c r="E1008" s="28"/>
      <c r="F1008" s="28"/>
      <c r="G1008" s="26" t="str">
        <f t="shared" si="120"/>
        <v/>
      </c>
      <c r="H1008" s="26" t="str">
        <f t="shared" si="127"/>
        <v/>
      </c>
      <c r="I1008" s="26" t="str">
        <f t="shared" si="121"/>
        <v/>
      </c>
      <c r="J1008" t="str">
        <f t="shared" si="122"/>
        <v/>
      </c>
      <c r="K1008" s="26" t="str">
        <f t="shared" si="123"/>
        <v/>
      </c>
      <c r="L1008" s="26" t="str">
        <f t="shared" si="124"/>
        <v/>
      </c>
      <c r="P1008" t="e">
        <f t="shared" si="125"/>
        <v>#N/A</v>
      </c>
      <c r="Q1008" t="e">
        <f t="shared" si="126"/>
        <v>#N/A</v>
      </c>
    </row>
    <row r="1009" spans="1:17">
      <c r="A1009" s="28"/>
      <c r="B1009" s="28"/>
      <c r="C1009" s="28"/>
      <c r="D1009" s="28"/>
      <c r="E1009" s="28"/>
      <c r="F1009" s="28"/>
      <c r="G1009" s="26" t="str">
        <f t="shared" si="120"/>
        <v/>
      </c>
      <c r="H1009" s="26" t="str">
        <f t="shared" si="127"/>
        <v/>
      </c>
      <c r="I1009" s="26" t="str">
        <f t="shared" si="121"/>
        <v/>
      </c>
      <c r="J1009" t="str">
        <f t="shared" si="122"/>
        <v/>
      </c>
      <c r="K1009" s="26" t="str">
        <f t="shared" si="123"/>
        <v/>
      </c>
      <c r="L1009" s="26" t="str">
        <f t="shared" si="124"/>
        <v/>
      </c>
      <c r="P1009" t="e">
        <f t="shared" si="125"/>
        <v>#N/A</v>
      </c>
      <c r="Q1009" t="e">
        <f t="shared" si="126"/>
        <v>#N/A</v>
      </c>
    </row>
    <row r="1010" spans="1:17">
      <c r="A1010" s="28"/>
      <c r="B1010" s="28"/>
      <c r="C1010" s="28"/>
      <c r="D1010" s="28"/>
      <c r="E1010" s="28"/>
      <c r="F1010" s="28"/>
      <c r="G1010" s="26" t="str">
        <f t="shared" si="120"/>
        <v/>
      </c>
      <c r="H1010" s="26" t="str">
        <f t="shared" si="127"/>
        <v/>
      </c>
      <c r="I1010" s="26" t="str">
        <f t="shared" si="121"/>
        <v/>
      </c>
      <c r="J1010" t="str">
        <f t="shared" si="122"/>
        <v/>
      </c>
      <c r="K1010" s="26" t="str">
        <f t="shared" si="123"/>
        <v/>
      </c>
      <c r="L1010" s="26" t="str">
        <f t="shared" si="124"/>
        <v/>
      </c>
      <c r="P1010" t="e">
        <f t="shared" si="125"/>
        <v>#N/A</v>
      </c>
      <c r="Q1010" t="e">
        <f t="shared" si="126"/>
        <v>#N/A</v>
      </c>
    </row>
    <row r="1011" spans="1:17">
      <c r="A1011" s="28"/>
      <c r="B1011" s="28"/>
      <c r="C1011" s="28"/>
      <c r="D1011" s="28"/>
      <c r="E1011" s="28"/>
      <c r="F1011" s="28"/>
      <c r="G1011" s="26" t="str">
        <f t="shared" si="120"/>
        <v/>
      </c>
      <c r="H1011" s="26" t="str">
        <f t="shared" si="127"/>
        <v/>
      </c>
      <c r="I1011" s="26" t="str">
        <f t="shared" si="121"/>
        <v/>
      </c>
      <c r="J1011" t="str">
        <f t="shared" si="122"/>
        <v/>
      </c>
      <c r="K1011" s="26" t="str">
        <f t="shared" si="123"/>
        <v/>
      </c>
      <c r="L1011" s="26" t="str">
        <f t="shared" si="124"/>
        <v/>
      </c>
      <c r="P1011" t="e">
        <f t="shared" si="125"/>
        <v>#N/A</v>
      </c>
      <c r="Q1011" t="e">
        <f t="shared" si="126"/>
        <v>#N/A</v>
      </c>
    </row>
    <row r="1012" spans="1:17">
      <c r="A1012" s="28"/>
      <c r="B1012" s="28"/>
      <c r="C1012" s="28"/>
      <c r="D1012" s="28"/>
      <c r="E1012" s="28"/>
      <c r="F1012" s="28"/>
      <c r="G1012" s="26" t="str">
        <f t="shared" si="120"/>
        <v/>
      </c>
      <c r="H1012" s="26" t="str">
        <f t="shared" si="127"/>
        <v/>
      </c>
      <c r="I1012" s="26" t="str">
        <f t="shared" si="121"/>
        <v/>
      </c>
      <c r="J1012" t="str">
        <f t="shared" si="122"/>
        <v/>
      </c>
      <c r="K1012" s="26" t="str">
        <f t="shared" si="123"/>
        <v/>
      </c>
      <c r="L1012" s="26" t="str">
        <f t="shared" si="124"/>
        <v/>
      </c>
      <c r="P1012" t="e">
        <f t="shared" si="125"/>
        <v>#N/A</v>
      </c>
      <c r="Q1012" t="e">
        <f t="shared" si="126"/>
        <v>#N/A</v>
      </c>
    </row>
    <row r="1013" spans="1:17">
      <c r="A1013" s="28"/>
      <c r="B1013" s="28"/>
      <c r="C1013" s="28"/>
      <c r="D1013" s="28"/>
      <c r="E1013" s="28"/>
      <c r="F1013" s="28"/>
      <c r="G1013" s="26" t="str">
        <f t="shared" si="120"/>
        <v/>
      </c>
      <c r="H1013" s="26" t="str">
        <f t="shared" si="127"/>
        <v/>
      </c>
      <c r="I1013" s="26" t="str">
        <f t="shared" si="121"/>
        <v/>
      </c>
      <c r="J1013" t="str">
        <f t="shared" si="122"/>
        <v/>
      </c>
      <c r="K1013" s="26" t="str">
        <f t="shared" si="123"/>
        <v/>
      </c>
      <c r="L1013" s="26" t="str">
        <f t="shared" si="124"/>
        <v/>
      </c>
      <c r="P1013" t="e">
        <f t="shared" si="125"/>
        <v>#N/A</v>
      </c>
      <c r="Q1013" t="e">
        <f t="shared" si="126"/>
        <v>#N/A</v>
      </c>
    </row>
    <row r="1014" spans="1:17">
      <c r="A1014" s="28"/>
      <c r="B1014" s="28"/>
      <c r="C1014" s="28"/>
      <c r="D1014" s="28"/>
      <c r="E1014" s="28"/>
      <c r="F1014" s="28"/>
      <c r="G1014" s="26" t="str">
        <f t="shared" si="120"/>
        <v/>
      </c>
      <c r="H1014" s="26" t="str">
        <f t="shared" si="127"/>
        <v/>
      </c>
      <c r="I1014" s="26" t="str">
        <f t="shared" si="121"/>
        <v/>
      </c>
      <c r="J1014" t="str">
        <f t="shared" si="122"/>
        <v/>
      </c>
      <c r="K1014" s="26" t="str">
        <f t="shared" si="123"/>
        <v/>
      </c>
      <c r="L1014" s="26" t="str">
        <f t="shared" si="124"/>
        <v/>
      </c>
      <c r="P1014" t="e">
        <f t="shared" si="125"/>
        <v>#N/A</v>
      </c>
      <c r="Q1014" t="e">
        <f t="shared" si="126"/>
        <v>#N/A</v>
      </c>
    </row>
    <row r="1015" spans="1:17">
      <c r="A1015" s="28"/>
      <c r="B1015" s="28"/>
      <c r="C1015" s="28"/>
      <c r="D1015" s="28"/>
      <c r="E1015" s="28"/>
      <c r="F1015" s="28"/>
      <c r="G1015" s="26" t="str">
        <f t="shared" si="120"/>
        <v/>
      </c>
      <c r="H1015" s="26" t="str">
        <f t="shared" si="127"/>
        <v/>
      </c>
      <c r="I1015" s="26" t="str">
        <f t="shared" si="121"/>
        <v/>
      </c>
      <c r="J1015" t="str">
        <f t="shared" si="122"/>
        <v/>
      </c>
      <c r="K1015" s="26" t="str">
        <f t="shared" si="123"/>
        <v/>
      </c>
      <c r="L1015" s="26" t="str">
        <f t="shared" si="124"/>
        <v/>
      </c>
      <c r="P1015" t="e">
        <f t="shared" si="125"/>
        <v>#N/A</v>
      </c>
      <c r="Q1015" t="e">
        <f t="shared" si="126"/>
        <v>#N/A</v>
      </c>
    </row>
    <row r="1016" spans="1:17">
      <c r="A1016" s="28"/>
      <c r="B1016" s="28"/>
      <c r="C1016" s="28"/>
      <c r="D1016" s="28"/>
      <c r="E1016" s="28"/>
      <c r="F1016" s="28"/>
      <c r="G1016" s="26" t="str">
        <f t="shared" si="120"/>
        <v/>
      </c>
      <c r="H1016" s="26" t="str">
        <f t="shared" si="127"/>
        <v/>
      </c>
      <c r="I1016" s="26" t="str">
        <f t="shared" si="121"/>
        <v/>
      </c>
      <c r="J1016" t="str">
        <f t="shared" si="122"/>
        <v/>
      </c>
      <c r="K1016" s="26" t="str">
        <f t="shared" si="123"/>
        <v/>
      </c>
      <c r="L1016" s="26" t="str">
        <f t="shared" si="124"/>
        <v/>
      </c>
      <c r="P1016" t="e">
        <f t="shared" si="125"/>
        <v>#N/A</v>
      </c>
      <c r="Q1016" t="e">
        <f t="shared" si="126"/>
        <v>#N/A</v>
      </c>
    </row>
    <row r="1017" spans="1:17">
      <c r="A1017" s="28"/>
      <c r="B1017" s="28"/>
      <c r="C1017" s="28"/>
      <c r="D1017" s="28"/>
      <c r="E1017" s="28"/>
      <c r="F1017" s="28"/>
      <c r="G1017" s="26" t="str">
        <f t="shared" si="120"/>
        <v/>
      </c>
      <c r="H1017" s="26" t="str">
        <f t="shared" si="127"/>
        <v/>
      </c>
      <c r="I1017" s="26" t="str">
        <f t="shared" si="121"/>
        <v/>
      </c>
      <c r="J1017" t="str">
        <f t="shared" si="122"/>
        <v/>
      </c>
      <c r="K1017" s="26" t="str">
        <f t="shared" si="123"/>
        <v/>
      </c>
      <c r="L1017" s="26" t="str">
        <f t="shared" si="124"/>
        <v/>
      </c>
      <c r="P1017" t="e">
        <f t="shared" si="125"/>
        <v>#N/A</v>
      </c>
      <c r="Q1017" t="e">
        <f t="shared" si="126"/>
        <v>#N/A</v>
      </c>
    </row>
    <row r="1018" spans="1:17">
      <c r="A1018" s="28"/>
      <c r="B1018" s="28"/>
      <c r="C1018" s="28"/>
      <c r="D1018" s="28"/>
      <c r="E1018" s="28"/>
      <c r="F1018" s="28"/>
      <c r="G1018" s="26" t="str">
        <f t="shared" si="120"/>
        <v/>
      </c>
      <c r="H1018" s="26" t="str">
        <f t="shared" si="127"/>
        <v/>
      </c>
      <c r="I1018" s="26" t="str">
        <f t="shared" si="121"/>
        <v/>
      </c>
      <c r="J1018" t="str">
        <f t="shared" si="122"/>
        <v/>
      </c>
      <c r="K1018" s="26" t="str">
        <f t="shared" si="123"/>
        <v/>
      </c>
      <c r="L1018" s="26" t="str">
        <f t="shared" si="124"/>
        <v/>
      </c>
      <c r="P1018" t="e">
        <f t="shared" si="125"/>
        <v>#N/A</v>
      </c>
      <c r="Q1018" t="e">
        <f t="shared" si="126"/>
        <v>#N/A</v>
      </c>
    </row>
    <row r="1019" spans="1:17">
      <c r="A1019" s="28"/>
      <c r="B1019" s="28"/>
      <c r="C1019" s="28"/>
      <c r="D1019" s="28"/>
      <c r="E1019" s="28"/>
      <c r="F1019" s="28"/>
      <c r="G1019" s="26" t="str">
        <f t="shared" si="120"/>
        <v/>
      </c>
      <c r="H1019" s="26" t="str">
        <f t="shared" si="127"/>
        <v/>
      </c>
      <c r="I1019" s="26" t="str">
        <f t="shared" si="121"/>
        <v/>
      </c>
      <c r="J1019" t="str">
        <f t="shared" si="122"/>
        <v/>
      </c>
      <c r="K1019" s="26" t="str">
        <f t="shared" si="123"/>
        <v/>
      </c>
      <c r="L1019" s="26" t="str">
        <f t="shared" si="124"/>
        <v/>
      </c>
      <c r="P1019" t="e">
        <f t="shared" si="125"/>
        <v>#N/A</v>
      </c>
      <c r="Q1019" t="e">
        <f t="shared" si="126"/>
        <v>#N/A</v>
      </c>
    </row>
    <row r="1020" spans="1:17">
      <c r="A1020" s="28"/>
      <c r="B1020" s="28"/>
      <c r="C1020" s="28"/>
      <c r="D1020" s="28"/>
      <c r="E1020" s="28"/>
      <c r="F1020" s="28"/>
      <c r="G1020" s="26" t="str">
        <f t="shared" si="120"/>
        <v/>
      </c>
      <c r="H1020" s="26" t="str">
        <f t="shared" si="127"/>
        <v/>
      </c>
      <c r="I1020" s="26" t="str">
        <f t="shared" si="121"/>
        <v/>
      </c>
      <c r="J1020" t="str">
        <f t="shared" si="122"/>
        <v/>
      </c>
      <c r="K1020" s="26" t="str">
        <f t="shared" si="123"/>
        <v/>
      </c>
      <c r="L1020" s="26" t="str">
        <f t="shared" si="124"/>
        <v/>
      </c>
      <c r="P1020" t="e">
        <f t="shared" si="125"/>
        <v>#N/A</v>
      </c>
      <c r="Q1020" t="e">
        <f t="shared" si="126"/>
        <v>#N/A</v>
      </c>
    </row>
    <row r="1021" spans="1:17">
      <c r="A1021" s="28"/>
      <c r="B1021" s="28"/>
      <c r="C1021" s="28"/>
      <c r="D1021" s="28"/>
      <c r="E1021" s="28"/>
      <c r="F1021" s="28"/>
      <c r="G1021" s="26" t="str">
        <f t="shared" si="120"/>
        <v/>
      </c>
      <c r="H1021" s="26" t="str">
        <f t="shared" si="127"/>
        <v/>
      </c>
      <c r="I1021" s="26" t="str">
        <f t="shared" si="121"/>
        <v/>
      </c>
      <c r="J1021" t="str">
        <f t="shared" si="122"/>
        <v/>
      </c>
      <c r="K1021" s="26" t="str">
        <f t="shared" si="123"/>
        <v/>
      </c>
      <c r="L1021" s="26" t="str">
        <f t="shared" si="124"/>
        <v/>
      </c>
      <c r="P1021" t="e">
        <f t="shared" si="125"/>
        <v>#N/A</v>
      </c>
      <c r="Q1021" t="e">
        <f t="shared" si="126"/>
        <v>#N/A</v>
      </c>
    </row>
    <row r="1022" spans="1:17">
      <c r="A1022" s="28"/>
      <c r="B1022" s="28"/>
      <c r="C1022" s="28"/>
      <c r="D1022" s="28"/>
      <c r="E1022" s="28"/>
      <c r="F1022" s="28"/>
      <c r="G1022" s="26" t="str">
        <f t="shared" si="120"/>
        <v/>
      </c>
      <c r="H1022" s="26" t="str">
        <f t="shared" si="127"/>
        <v/>
      </c>
      <c r="I1022" s="26" t="str">
        <f t="shared" si="121"/>
        <v/>
      </c>
      <c r="J1022" t="str">
        <f t="shared" si="122"/>
        <v/>
      </c>
      <c r="K1022" s="26" t="str">
        <f t="shared" si="123"/>
        <v/>
      </c>
      <c r="L1022" s="26" t="str">
        <f t="shared" si="124"/>
        <v/>
      </c>
      <c r="P1022" t="e">
        <f t="shared" si="125"/>
        <v>#N/A</v>
      </c>
      <c r="Q1022" t="e">
        <f t="shared" si="126"/>
        <v>#N/A</v>
      </c>
    </row>
    <row r="1023" spans="1:17">
      <c r="A1023" s="28"/>
      <c r="B1023" s="28"/>
      <c r="C1023" s="28"/>
      <c r="D1023" s="28"/>
      <c r="E1023" s="28"/>
      <c r="F1023" s="28"/>
      <c r="G1023" s="26" t="str">
        <f t="shared" si="120"/>
        <v/>
      </c>
      <c r="H1023" s="26" t="str">
        <f t="shared" si="127"/>
        <v/>
      </c>
      <c r="I1023" s="26" t="str">
        <f t="shared" si="121"/>
        <v/>
      </c>
      <c r="J1023" t="str">
        <f t="shared" si="122"/>
        <v/>
      </c>
      <c r="K1023" s="26" t="str">
        <f t="shared" si="123"/>
        <v/>
      </c>
      <c r="L1023" s="26" t="str">
        <f t="shared" si="124"/>
        <v/>
      </c>
      <c r="P1023" t="e">
        <f t="shared" si="125"/>
        <v>#N/A</v>
      </c>
      <c r="Q1023" t="e">
        <f t="shared" si="126"/>
        <v>#N/A</v>
      </c>
    </row>
    <row r="1024" spans="1:17">
      <c r="A1024" s="28"/>
      <c r="B1024" s="28"/>
      <c r="C1024" s="28"/>
      <c r="D1024" s="28"/>
      <c r="E1024" s="28"/>
      <c r="F1024" s="28"/>
      <c r="G1024" s="26" t="str">
        <f t="shared" si="120"/>
        <v/>
      </c>
      <c r="H1024" s="26" t="str">
        <f t="shared" si="127"/>
        <v/>
      </c>
      <c r="I1024" s="26" t="str">
        <f t="shared" si="121"/>
        <v/>
      </c>
      <c r="J1024" t="str">
        <f t="shared" si="122"/>
        <v/>
      </c>
      <c r="K1024" s="26" t="str">
        <f t="shared" si="123"/>
        <v/>
      </c>
      <c r="L1024" s="26" t="str">
        <f t="shared" si="124"/>
        <v/>
      </c>
      <c r="P1024" t="e">
        <f t="shared" si="125"/>
        <v>#N/A</v>
      </c>
      <c r="Q1024" t="e">
        <f t="shared" si="126"/>
        <v>#N/A</v>
      </c>
    </row>
    <row r="1025" spans="1:17">
      <c r="A1025" s="28"/>
      <c r="B1025" s="28"/>
      <c r="C1025" s="28"/>
      <c r="D1025" s="28"/>
      <c r="E1025" s="28"/>
      <c r="F1025" s="28"/>
      <c r="G1025" s="26" t="str">
        <f t="shared" si="120"/>
        <v/>
      </c>
      <c r="H1025" s="26" t="str">
        <f t="shared" si="127"/>
        <v/>
      </c>
      <c r="I1025" s="26" t="str">
        <f t="shared" si="121"/>
        <v/>
      </c>
      <c r="J1025" t="str">
        <f t="shared" si="122"/>
        <v/>
      </c>
      <c r="K1025" s="26" t="str">
        <f t="shared" si="123"/>
        <v/>
      </c>
      <c r="L1025" s="26" t="str">
        <f t="shared" si="124"/>
        <v/>
      </c>
      <c r="P1025" t="e">
        <f t="shared" si="125"/>
        <v>#N/A</v>
      </c>
      <c r="Q1025" t="e">
        <f t="shared" si="126"/>
        <v>#N/A</v>
      </c>
    </row>
    <row r="1026" spans="1:17">
      <c r="A1026" s="28"/>
      <c r="B1026" s="28"/>
      <c r="C1026" s="28"/>
      <c r="D1026" s="28"/>
      <c r="E1026" s="28"/>
      <c r="F1026" s="28"/>
      <c r="G1026" s="26" t="str">
        <f t="shared" ref="G1026:G1089" si="128">IF(B1026="","",243.04*(LN(C1026/100)+17.625*B1026/(243.04+B1026))/(17.625-LN(C1026/100)-17.625*B1026/(243.04+B1026)))</f>
        <v/>
      </c>
      <c r="H1026" s="26" t="str">
        <f t="shared" si="127"/>
        <v/>
      </c>
      <c r="I1026" s="26" t="str">
        <f t="shared" ref="I1026:I1089" si="129">IF(B1026="","",B1026-E1026)</f>
        <v/>
      </c>
      <c r="J1026" t="str">
        <f t="shared" ref="J1026:J1089" si="130">IF(H1026="","",IF(H1026&gt;0.6,"Heating",IF(H1026&lt;-0.2,"Cooling","Steady")))</f>
        <v/>
      </c>
      <c r="K1026" s="26" t="str">
        <f t="shared" ref="K1026:K1089" si="131">IF(J1026="Cooling",I1026,"")</f>
        <v/>
      </c>
      <c r="L1026" s="26" t="str">
        <f t="shared" ref="L1026:L1089" si="132">IF(J1026="Cooling",H1026,"")</f>
        <v/>
      </c>
      <c r="P1026" t="e">
        <f t="shared" ref="P1026:P1089" si="133">IF(K1026="",NA(),K1026)</f>
        <v>#N/A</v>
      </c>
      <c r="Q1026" t="e">
        <f t="shared" ref="Q1026:Q1089" si="134">IF(L1026="",NA(),L1026)</f>
        <v>#N/A</v>
      </c>
    </row>
    <row r="1027" spans="1:17">
      <c r="A1027" s="28"/>
      <c r="B1027" s="28"/>
      <c r="C1027" s="28"/>
      <c r="D1027" s="28"/>
      <c r="E1027" s="28"/>
      <c r="F1027" s="28"/>
      <c r="G1027" s="26" t="str">
        <f t="shared" si="128"/>
        <v/>
      </c>
      <c r="H1027" s="26" t="str">
        <f t="shared" si="127"/>
        <v/>
      </c>
      <c r="I1027" s="26" t="str">
        <f t="shared" si="129"/>
        <v/>
      </c>
      <c r="J1027" t="str">
        <f t="shared" si="130"/>
        <v/>
      </c>
      <c r="K1027" s="26" t="str">
        <f t="shared" si="131"/>
        <v/>
      </c>
      <c r="L1027" s="26" t="str">
        <f t="shared" si="132"/>
        <v/>
      </c>
      <c r="P1027" t="e">
        <f t="shared" si="133"/>
        <v>#N/A</v>
      </c>
      <c r="Q1027" t="e">
        <f t="shared" si="134"/>
        <v>#N/A</v>
      </c>
    </row>
    <row r="1028" spans="1:17">
      <c r="A1028" s="28"/>
      <c r="B1028" s="28"/>
      <c r="C1028" s="28"/>
      <c r="D1028" s="28"/>
      <c r="E1028" s="28"/>
      <c r="F1028" s="28"/>
      <c r="G1028" s="26" t="str">
        <f t="shared" si="128"/>
        <v/>
      </c>
      <c r="H1028" s="26" t="str">
        <f t="shared" ref="H1028:H1091" si="135">IFERROR(IF(OR(B1026="",B1030=""),"",(B1030-B1026)/4*60),"")</f>
        <v/>
      </c>
      <c r="I1028" s="26" t="str">
        <f t="shared" si="129"/>
        <v/>
      </c>
      <c r="J1028" t="str">
        <f t="shared" si="130"/>
        <v/>
      </c>
      <c r="K1028" s="26" t="str">
        <f t="shared" si="131"/>
        <v/>
      </c>
      <c r="L1028" s="26" t="str">
        <f t="shared" si="132"/>
        <v/>
      </c>
      <c r="P1028" t="e">
        <f t="shared" si="133"/>
        <v>#N/A</v>
      </c>
      <c r="Q1028" t="e">
        <f t="shared" si="134"/>
        <v>#N/A</v>
      </c>
    </row>
    <row r="1029" spans="1:17">
      <c r="A1029" s="28"/>
      <c r="B1029" s="28"/>
      <c r="C1029" s="28"/>
      <c r="D1029" s="28"/>
      <c r="E1029" s="28"/>
      <c r="F1029" s="28"/>
      <c r="G1029" s="26" t="str">
        <f t="shared" si="128"/>
        <v/>
      </c>
      <c r="H1029" s="26" t="str">
        <f t="shared" si="135"/>
        <v/>
      </c>
      <c r="I1029" s="26" t="str">
        <f t="shared" si="129"/>
        <v/>
      </c>
      <c r="J1029" t="str">
        <f t="shared" si="130"/>
        <v/>
      </c>
      <c r="K1029" s="26" t="str">
        <f t="shared" si="131"/>
        <v/>
      </c>
      <c r="L1029" s="26" t="str">
        <f t="shared" si="132"/>
        <v/>
      </c>
      <c r="P1029" t="e">
        <f t="shared" si="133"/>
        <v>#N/A</v>
      </c>
      <c r="Q1029" t="e">
        <f t="shared" si="134"/>
        <v>#N/A</v>
      </c>
    </row>
    <row r="1030" spans="1:17">
      <c r="A1030" s="28"/>
      <c r="B1030" s="28"/>
      <c r="C1030" s="28"/>
      <c r="D1030" s="28"/>
      <c r="E1030" s="28"/>
      <c r="F1030" s="28"/>
      <c r="G1030" s="26" t="str">
        <f t="shared" si="128"/>
        <v/>
      </c>
      <c r="H1030" s="26" t="str">
        <f t="shared" si="135"/>
        <v/>
      </c>
      <c r="I1030" s="26" t="str">
        <f t="shared" si="129"/>
        <v/>
      </c>
      <c r="J1030" t="str">
        <f t="shared" si="130"/>
        <v/>
      </c>
      <c r="K1030" s="26" t="str">
        <f t="shared" si="131"/>
        <v/>
      </c>
      <c r="L1030" s="26" t="str">
        <f t="shared" si="132"/>
        <v/>
      </c>
      <c r="P1030" t="e">
        <f t="shared" si="133"/>
        <v>#N/A</v>
      </c>
      <c r="Q1030" t="e">
        <f t="shared" si="134"/>
        <v>#N/A</v>
      </c>
    </row>
    <row r="1031" spans="1:17">
      <c r="A1031" s="28"/>
      <c r="B1031" s="28"/>
      <c r="C1031" s="28"/>
      <c r="D1031" s="28"/>
      <c r="E1031" s="28"/>
      <c r="F1031" s="28"/>
      <c r="G1031" s="26" t="str">
        <f t="shared" si="128"/>
        <v/>
      </c>
      <c r="H1031" s="26" t="str">
        <f t="shared" si="135"/>
        <v/>
      </c>
      <c r="I1031" s="26" t="str">
        <f t="shared" si="129"/>
        <v/>
      </c>
      <c r="J1031" t="str">
        <f t="shared" si="130"/>
        <v/>
      </c>
      <c r="K1031" s="26" t="str">
        <f t="shared" si="131"/>
        <v/>
      </c>
      <c r="L1031" s="26" t="str">
        <f t="shared" si="132"/>
        <v/>
      </c>
      <c r="P1031" t="e">
        <f t="shared" si="133"/>
        <v>#N/A</v>
      </c>
      <c r="Q1031" t="e">
        <f t="shared" si="134"/>
        <v>#N/A</v>
      </c>
    </row>
    <row r="1032" spans="1:17">
      <c r="A1032" s="28"/>
      <c r="B1032" s="28"/>
      <c r="C1032" s="28"/>
      <c r="D1032" s="28"/>
      <c r="E1032" s="28"/>
      <c r="F1032" s="28"/>
      <c r="G1032" s="26" t="str">
        <f t="shared" si="128"/>
        <v/>
      </c>
      <c r="H1032" s="26" t="str">
        <f t="shared" si="135"/>
        <v/>
      </c>
      <c r="I1032" s="26" t="str">
        <f t="shared" si="129"/>
        <v/>
      </c>
      <c r="J1032" t="str">
        <f t="shared" si="130"/>
        <v/>
      </c>
      <c r="K1032" s="26" t="str">
        <f t="shared" si="131"/>
        <v/>
      </c>
      <c r="L1032" s="26" t="str">
        <f t="shared" si="132"/>
        <v/>
      </c>
      <c r="P1032" t="e">
        <f t="shared" si="133"/>
        <v>#N/A</v>
      </c>
      <c r="Q1032" t="e">
        <f t="shared" si="134"/>
        <v>#N/A</v>
      </c>
    </row>
    <row r="1033" spans="1:17">
      <c r="A1033" s="28"/>
      <c r="B1033" s="28"/>
      <c r="C1033" s="28"/>
      <c r="D1033" s="28"/>
      <c r="E1033" s="28"/>
      <c r="F1033" s="28"/>
      <c r="G1033" s="26" t="str">
        <f t="shared" si="128"/>
        <v/>
      </c>
      <c r="H1033" s="26" t="str">
        <f t="shared" si="135"/>
        <v/>
      </c>
      <c r="I1033" s="26" t="str">
        <f t="shared" si="129"/>
        <v/>
      </c>
      <c r="J1033" t="str">
        <f t="shared" si="130"/>
        <v/>
      </c>
      <c r="K1033" s="26" t="str">
        <f t="shared" si="131"/>
        <v/>
      </c>
      <c r="L1033" s="26" t="str">
        <f t="shared" si="132"/>
        <v/>
      </c>
      <c r="P1033" t="e">
        <f t="shared" si="133"/>
        <v>#N/A</v>
      </c>
      <c r="Q1033" t="e">
        <f t="shared" si="134"/>
        <v>#N/A</v>
      </c>
    </row>
    <row r="1034" spans="1:17">
      <c r="A1034" s="28"/>
      <c r="B1034" s="28"/>
      <c r="C1034" s="28"/>
      <c r="D1034" s="28"/>
      <c r="E1034" s="28"/>
      <c r="F1034" s="28"/>
      <c r="G1034" s="26" t="str">
        <f t="shared" si="128"/>
        <v/>
      </c>
      <c r="H1034" s="26" t="str">
        <f t="shared" si="135"/>
        <v/>
      </c>
      <c r="I1034" s="26" t="str">
        <f t="shared" si="129"/>
        <v/>
      </c>
      <c r="J1034" t="str">
        <f t="shared" si="130"/>
        <v/>
      </c>
      <c r="K1034" s="26" t="str">
        <f t="shared" si="131"/>
        <v/>
      </c>
      <c r="L1034" s="26" t="str">
        <f t="shared" si="132"/>
        <v/>
      </c>
      <c r="P1034" t="e">
        <f t="shared" si="133"/>
        <v>#N/A</v>
      </c>
      <c r="Q1034" t="e">
        <f t="shared" si="134"/>
        <v>#N/A</v>
      </c>
    </row>
    <row r="1035" spans="1:17">
      <c r="A1035" s="28"/>
      <c r="B1035" s="28"/>
      <c r="C1035" s="28"/>
      <c r="D1035" s="28"/>
      <c r="E1035" s="28"/>
      <c r="F1035" s="28"/>
      <c r="G1035" s="26" t="str">
        <f t="shared" si="128"/>
        <v/>
      </c>
      <c r="H1035" s="26" t="str">
        <f t="shared" si="135"/>
        <v/>
      </c>
      <c r="I1035" s="26" t="str">
        <f t="shared" si="129"/>
        <v/>
      </c>
      <c r="J1035" t="str">
        <f t="shared" si="130"/>
        <v/>
      </c>
      <c r="K1035" s="26" t="str">
        <f t="shared" si="131"/>
        <v/>
      </c>
      <c r="L1035" s="26" t="str">
        <f t="shared" si="132"/>
        <v/>
      </c>
      <c r="P1035" t="e">
        <f t="shared" si="133"/>
        <v>#N/A</v>
      </c>
      <c r="Q1035" t="e">
        <f t="shared" si="134"/>
        <v>#N/A</v>
      </c>
    </row>
    <row r="1036" spans="1:17">
      <c r="A1036" s="28"/>
      <c r="B1036" s="28"/>
      <c r="C1036" s="28"/>
      <c r="D1036" s="28"/>
      <c r="E1036" s="28"/>
      <c r="F1036" s="28"/>
      <c r="G1036" s="26" t="str">
        <f t="shared" si="128"/>
        <v/>
      </c>
      <c r="H1036" s="26" t="str">
        <f t="shared" si="135"/>
        <v/>
      </c>
      <c r="I1036" s="26" t="str">
        <f t="shared" si="129"/>
        <v/>
      </c>
      <c r="J1036" t="str">
        <f t="shared" si="130"/>
        <v/>
      </c>
      <c r="K1036" s="26" t="str">
        <f t="shared" si="131"/>
        <v/>
      </c>
      <c r="L1036" s="26" t="str">
        <f t="shared" si="132"/>
        <v/>
      </c>
      <c r="P1036" t="e">
        <f t="shared" si="133"/>
        <v>#N/A</v>
      </c>
      <c r="Q1036" t="e">
        <f t="shared" si="134"/>
        <v>#N/A</v>
      </c>
    </row>
    <row r="1037" spans="1:17">
      <c r="A1037" s="28"/>
      <c r="B1037" s="28"/>
      <c r="C1037" s="28"/>
      <c r="D1037" s="28"/>
      <c r="E1037" s="28"/>
      <c r="F1037" s="28"/>
      <c r="G1037" s="26" t="str">
        <f t="shared" si="128"/>
        <v/>
      </c>
      <c r="H1037" s="26" t="str">
        <f t="shared" si="135"/>
        <v/>
      </c>
      <c r="I1037" s="26" t="str">
        <f t="shared" si="129"/>
        <v/>
      </c>
      <c r="J1037" t="str">
        <f t="shared" si="130"/>
        <v/>
      </c>
      <c r="K1037" s="26" t="str">
        <f t="shared" si="131"/>
        <v/>
      </c>
      <c r="L1037" s="26" t="str">
        <f t="shared" si="132"/>
        <v/>
      </c>
      <c r="P1037" t="e">
        <f t="shared" si="133"/>
        <v>#N/A</v>
      </c>
      <c r="Q1037" t="e">
        <f t="shared" si="134"/>
        <v>#N/A</v>
      </c>
    </row>
    <row r="1038" spans="1:17">
      <c r="A1038" s="28"/>
      <c r="B1038" s="28"/>
      <c r="C1038" s="28"/>
      <c r="D1038" s="28"/>
      <c r="E1038" s="28"/>
      <c r="F1038" s="28"/>
      <c r="G1038" s="26" t="str">
        <f t="shared" si="128"/>
        <v/>
      </c>
      <c r="H1038" s="26" t="str">
        <f t="shared" si="135"/>
        <v/>
      </c>
      <c r="I1038" s="26" t="str">
        <f t="shared" si="129"/>
        <v/>
      </c>
      <c r="J1038" t="str">
        <f t="shared" si="130"/>
        <v/>
      </c>
      <c r="K1038" s="26" t="str">
        <f t="shared" si="131"/>
        <v/>
      </c>
      <c r="L1038" s="26" t="str">
        <f t="shared" si="132"/>
        <v/>
      </c>
      <c r="P1038" t="e">
        <f t="shared" si="133"/>
        <v>#N/A</v>
      </c>
      <c r="Q1038" t="e">
        <f t="shared" si="134"/>
        <v>#N/A</v>
      </c>
    </row>
    <row r="1039" spans="1:17">
      <c r="A1039" s="28"/>
      <c r="B1039" s="28"/>
      <c r="C1039" s="28"/>
      <c r="D1039" s="28"/>
      <c r="E1039" s="28"/>
      <c r="F1039" s="28"/>
      <c r="G1039" s="26" t="str">
        <f t="shared" si="128"/>
        <v/>
      </c>
      <c r="H1039" s="26" t="str">
        <f t="shared" si="135"/>
        <v/>
      </c>
      <c r="I1039" s="26" t="str">
        <f t="shared" si="129"/>
        <v/>
      </c>
      <c r="J1039" t="str">
        <f t="shared" si="130"/>
        <v/>
      </c>
      <c r="K1039" s="26" t="str">
        <f t="shared" si="131"/>
        <v/>
      </c>
      <c r="L1039" s="26" t="str">
        <f t="shared" si="132"/>
        <v/>
      </c>
      <c r="P1039" t="e">
        <f t="shared" si="133"/>
        <v>#N/A</v>
      </c>
      <c r="Q1039" t="e">
        <f t="shared" si="134"/>
        <v>#N/A</v>
      </c>
    </row>
    <row r="1040" spans="1:17">
      <c r="A1040" s="28"/>
      <c r="B1040" s="28"/>
      <c r="C1040" s="28"/>
      <c r="D1040" s="28"/>
      <c r="E1040" s="28"/>
      <c r="F1040" s="28"/>
      <c r="G1040" s="26" t="str">
        <f t="shared" si="128"/>
        <v/>
      </c>
      <c r="H1040" s="26" t="str">
        <f t="shared" si="135"/>
        <v/>
      </c>
      <c r="I1040" s="26" t="str">
        <f t="shared" si="129"/>
        <v/>
      </c>
      <c r="J1040" t="str">
        <f t="shared" si="130"/>
        <v/>
      </c>
      <c r="K1040" s="26" t="str">
        <f t="shared" si="131"/>
        <v/>
      </c>
      <c r="L1040" s="26" t="str">
        <f t="shared" si="132"/>
        <v/>
      </c>
      <c r="P1040" t="e">
        <f t="shared" si="133"/>
        <v>#N/A</v>
      </c>
      <c r="Q1040" t="e">
        <f t="shared" si="134"/>
        <v>#N/A</v>
      </c>
    </row>
    <row r="1041" spans="1:17">
      <c r="A1041" s="28"/>
      <c r="B1041" s="28"/>
      <c r="C1041" s="28"/>
      <c r="D1041" s="28"/>
      <c r="E1041" s="28"/>
      <c r="F1041" s="28"/>
      <c r="G1041" s="26" t="str">
        <f t="shared" si="128"/>
        <v/>
      </c>
      <c r="H1041" s="26" t="str">
        <f t="shared" si="135"/>
        <v/>
      </c>
      <c r="I1041" s="26" t="str">
        <f t="shared" si="129"/>
        <v/>
      </c>
      <c r="J1041" t="str">
        <f t="shared" si="130"/>
        <v/>
      </c>
      <c r="K1041" s="26" t="str">
        <f t="shared" si="131"/>
        <v/>
      </c>
      <c r="L1041" s="26" t="str">
        <f t="shared" si="132"/>
        <v/>
      </c>
      <c r="P1041" t="e">
        <f t="shared" si="133"/>
        <v>#N/A</v>
      </c>
      <c r="Q1041" t="e">
        <f t="shared" si="134"/>
        <v>#N/A</v>
      </c>
    </row>
    <row r="1042" spans="1:17">
      <c r="A1042" s="28"/>
      <c r="B1042" s="28"/>
      <c r="C1042" s="28"/>
      <c r="D1042" s="28"/>
      <c r="E1042" s="28"/>
      <c r="F1042" s="28"/>
      <c r="G1042" s="26" t="str">
        <f t="shared" si="128"/>
        <v/>
      </c>
      <c r="H1042" s="26" t="str">
        <f t="shared" si="135"/>
        <v/>
      </c>
      <c r="I1042" s="26" t="str">
        <f t="shared" si="129"/>
        <v/>
      </c>
      <c r="J1042" t="str">
        <f t="shared" si="130"/>
        <v/>
      </c>
      <c r="K1042" s="26" t="str">
        <f t="shared" si="131"/>
        <v/>
      </c>
      <c r="L1042" s="26" t="str">
        <f t="shared" si="132"/>
        <v/>
      </c>
      <c r="P1042" t="e">
        <f t="shared" si="133"/>
        <v>#N/A</v>
      </c>
      <c r="Q1042" t="e">
        <f t="shared" si="134"/>
        <v>#N/A</v>
      </c>
    </row>
    <row r="1043" spans="1:17">
      <c r="A1043" s="28"/>
      <c r="B1043" s="28"/>
      <c r="C1043" s="28"/>
      <c r="D1043" s="28"/>
      <c r="E1043" s="28"/>
      <c r="F1043" s="28"/>
      <c r="G1043" s="26" t="str">
        <f t="shared" si="128"/>
        <v/>
      </c>
      <c r="H1043" s="26" t="str">
        <f t="shared" si="135"/>
        <v/>
      </c>
      <c r="I1043" s="26" t="str">
        <f t="shared" si="129"/>
        <v/>
      </c>
      <c r="J1043" t="str">
        <f t="shared" si="130"/>
        <v/>
      </c>
      <c r="K1043" s="26" t="str">
        <f t="shared" si="131"/>
        <v/>
      </c>
      <c r="L1043" s="26" t="str">
        <f t="shared" si="132"/>
        <v/>
      </c>
      <c r="P1043" t="e">
        <f t="shared" si="133"/>
        <v>#N/A</v>
      </c>
      <c r="Q1043" t="e">
        <f t="shared" si="134"/>
        <v>#N/A</v>
      </c>
    </row>
    <row r="1044" spans="1:17">
      <c r="A1044" s="28"/>
      <c r="B1044" s="28"/>
      <c r="C1044" s="28"/>
      <c r="D1044" s="28"/>
      <c r="E1044" s="28"/>
      <c r="F1044" s="28"/>
      <c r="G1044" s="26" t="str">
        <f t="shared" si="128"/>
        <v/>
      </c>
      <c r="H1044" s="26" t="str">
        <f t="shared" si="135"/>
        <v/>
      </c>
      <c r="I1044" s="26" t="str">
        <f t="shared" si="129"/>
        <v/>
      </c>
      <c r="J1044" t="str">
        <f t="shared" si="130"/>
        <v/>
      </c>
      <c r="K1044" s="26" t="str">
        <f t="shared" si="131"/>
        <v/>
      </c>
      <c r="L1044" s="26" t="str">
        <f t="shared" si="132"/>
        <v/>
      </c>
      <c r="P1044" t="e">
        <f t="shared" si="133"/>
        <v>#N/A</v>
      </c>
      <c r="Q1044" t="e">
        <f t="shared" si="134"/>
        <v>#N/A</v>
      </c>
    </row>
    <row r="1045" spans="1:17">
      <c r="A1045" s="28"/>
      <c r="B1045" s="28"/>
      <c r="C1045" s="28"/>
      <c r="D1045" s="28"/>
      <c r="E1045" s="28"/>
      <c r="F1045" s="28"/>
      <c r="G1045" s="26" t="str">
        <f t="shared" si="128"/>
        <v/>
      </c>
      <c r="H1045" s="26" t="str">
        <f t="shared" si="135"/>
        <v/>
      </c>
      <c r="I1045" s="26" t="str">
        <f t="shared" si="129"/>
        <v/>
      </c>
      <c r="J1045" t="str">
        <f t="shared" si="130"/>
        <v/>
      </c>
      <c r="K1045" s="26" t="str">
        <f t="shared" si="131"/>
        <v/>
      </c>
      <c r="L1045" s="26" t="str">
        <f t="shared" si="132"/>
        <v/>
      </c>
      <c r="P1045" t="e">
        <f t="shared" si="133"/>
        <v>#N/A</v>
      </c>
      <c r="Q1045" t="e">
        <f t="shared" si="134"/>
        <v>#N/A</v>
      </c>
    </row>
    <row r="1046" spans="1:17">
      <c r="A1046" s="28"/>
      <c r="B1046" s="28"/>
      <c r="C1046" s="28"/>
      <c r="D1046" s="28"/>
      <c r="E1046" s="28"/>
      <c r="F1046" s="28"/>
      <c r="G1046" s="26" t="str">
        <f t="shared" si="128"/>
        <v/>
      </c>
      <c r="H1046" s="26" t="str">
        <f t="shared" si="135"/>
        <v/>
      </c>
      <c r="I1046" s="26" t="str">
        <f t="shared" si="129"/>
        <v/>
      </c>
      <c r="J1046" t="str">
        <f t="shared" si="130"/>
        <v/>
      </c>
      <c r="K1046" s="26" t="str">
        <f t="shared" si="131"/>
        <v/>
      </c>
      <c r="L1046" s="26" t="str">
        <f t="shared" si="132"/>
        <v/>
      </c>
      <c r="P1046" t="e">
        <f t="shared" si="133"/>
        <v>#N/A</v>
      </c>
      <c r="Q1046" t="e">
        <f t="shared" si="134"/>
        <v>#N/A</v>
      </c>
    </row>
    <row r="1047" spans="1:17">
      <c r="A1047" s="28"/>
      <c r="B1047" s="28"/>
      <c r="C1047" s="28"/>
      <c r="D1047" s="28"/>
      <c r="E1047" s="28"/>
      <c r="F1047" s="28"/>
      <c r="G1047" s="26" t="str">
        <f t="shared" si="128"/>
        <v/>
      </c>
      <c r="H1047" s="26" t="str">
        <f t="shared" si="135"/>
        <v/>
      </c>
      <c r="I1047" s="26" t="str">
        <f t="shared" si="129"/>
        <v/>
      </c>
      <c r="J1047" t="str">
        <f t="shared" si="130"/>
        <v/>
      </c>
      <c r="K1047" s="26" t="str">
        <f t="shared" si="131"/>
        <v/>
      </c>
      <c r="L1047" s="26" t="str">
        <f t="shared" si="132"/>
        <v/>
      </c>
      <c r="P1047" t="e">
        <f t="shared" si="133"/>
        <v>#N/A</v>
      </c>
      <c r="Q1047" t="e">
        <f t="shared" si="134"/>
        <v>#N/A</v>
      </c>
    </row>
    <row r="1048" spans="1:17">
      <c r="A1048" s="28"/>
      <c r="B1048" s="28"/>
      <c r="C1048" s="28"/>
      <c r="D1048" s="28"/>
      <c r="E1048" s="28"/>
      <c r="F1048" s="28"/>
      <c r="G1048" s="26" t="str">
        <f t="shared" si="128"/>
        <v/>
      </c>
      <c r="H1048" s="26" t="str">
        <f t="shared" si="135"/>
        <v/>
      </c>
      <c r="I1048" s="26" t="str">
        <f t="shared" si="129"/>
        <v/>
      </c>
      <c r="J1048" t="str">
        <f t="shared" si="130"/>
        <v/>
      </c>
      <c r="K1048" s="26" t="str">
        <f t="shared" si="131"/>
        <v/>
      </c>
      <c r="L1048" s="26" t="str">
        <f t="shared" si="132"/>
        <v/>
      </c>
      <c r="P1048" t="e">
        <f t="shared" si="133"/>
        <v>#N/A</v>
      </c>
      <c r="Q1048" t="e">
        <f t="shared" si="134"/>
        <v>#N/A</v>
      </c>
    </row>
    <row r="1049" spans="1:17">
      <c r="A1049" s="28"/>
      <c r="B1049" s="28"/>
      <c r="C1049" s="28"/>
      <c r="D1049" s="28"/>
      <c r="E1049" s="28"/>
      <c r="F1049" s="28"/>
      <c r="G1049" s="26" t="str">
        <f t="shared" si="128"/>
        <v/>
      </c>
      <c r="H1049" s="26" t="str">
        <f t="shared" si="135"/>
        <v/>
      </c>
      <c r="I1049" s="26" t="str">
        <f t="shared" si="129"/>
        <v/>
      </c>
      <c r="J1049" t="str">
        <f t="shared" si="130"/>
        <v/>
      </c>
      <c r="K1049" s="26" t="str">
        <f t="shared" si="131"/>
        <v/>
      </c>
      <c r="L1049" s="26" t="str">
        <f t="shared" si="132"/>
        <v/>
      </c>
      <c r="P1049" t="e">
        <f t="shared" si="133"/>
        <v>#N/A</v>
      </c>
      <c r="Q1049" t="e">
        <f t="shared" si="134"/>
        <v>#N/A</v>
      </c>
    </row>
    <row r="1050" spans="1:17">
      <c r="A1050" s="28"/>
      <c r="B1050" s="28"/>
      <c r="C1050" s="28"/>
      <c r="D1050" s="28"/>
      <c r="E1050" s="28"/>
      <c r="F1050" s="28"/>
      <c r="G1050" s="26" t="str">
        <f t="shared" si="128"/>
        <v/>
      </c>
      <c r="H1050" s="26" t="str">
        <f t="shared" si="135"/>
        <v/>
      </c>
      <c r="I1050" s="26" t="str">
        <f t="shared" si="129"/>
        <v/>
      </c>
      <c r="J1050" t="str">
        <f t="shared" si="130"/>
        <v/>
      </c>
      <c r="K1050" s="26" t="str">
        <f t="shared" si="131"/>
        <v/>
      </c>
      <c r="L1050" s="26" t="str">
        <f t="shared" si="132"/>
        <v/>
      </c>
      <c r="P1050" t="e">
        <f t="shared" si="133"/>
        <v>#N/A</v>
      </c>
      <c r="Q1050" t="e">
        <f t="shared" si="134"/>
        <v>#N/A</v>
      </c>
    </row>
    <row r="1051" spans="1:17">
      <c r="A1051" s="28"/>
      <c r="B1051" s="28"/>
      <c r="C1051" s="28"/>
      <c r="D1051" s="28"/>
      <c r="E1051" s="28"/>
      <c r="F1051" s="28"/>
      <c r="G1051" s="26" t="str">
        <f t="shared" si="128"/>
        <v/>
      </c>
      <c r="H1051" s="26" t="str">
        <f t="shared" si="135"/>
        <v/>
      </c>
      <c r="I1051" s="26" t="str">
        <f t="shared" si="129"/>
        <v/>
      </c>
      <c r="J1051" t="str">
        <f t="shared" si="130"/>
        <v/>
      </c>
      <c r="K1051" s="26" t="str">
        <f t="shared" si="131"/>
        <v/>
      </c>
      <c r="L1051" s="26" t="str">
        <f t="shared" si="132"/>
        <v/>
      </c>
      <c r="P1051" t="e">
        <f t="shared" si="133"/>
        <v>#N/A</v>
      </c>
      <c r="Q1051" t="e">
        <f t="shared" si="134"/>
        <v>#N/A</v>
      </c>
    </row>
    <row r="1052" spans="1:17">
      <c r="A1052" s="28"/>
      <c r="B1052" s="28"/>
      <c r="C1052" s="28"/>
      <c r="D1052" s="28"/>
      <c r="E1052" s="28"/>
      <c r="F1052" s="28"/>
      <c r="G1052" s="26" t="str">
        <f t="shared" si="128"/>
        <v/>
      </c>
      <c r="H1052" s="26" t="str">
        <f t="shared" si="135"/>
        <v/>
      </c>
      <c r="I1052" s="26" t="str">
        <f t="shared" si="129"/>
        <v/>
      </c>
      <c r="J1052" t="str">
        <f t="shared" si="130"/>
        <v/>
      </c>
      <c r="K1052" s="26" t="str">
        <f t="shared" si="131"/>
        <v/>
      </c>
      <c r="L1052" s="26" t="str">
        <f t="shared" si="132"/>
        <v/>
      </c>
      <c r="P1052" t="e">
        <f t="shared" si="133"/>
        <v>#N/A</v>
      </c>
      <c r="Q1052" t="e">
        <f t="shared" si="134"/>
        <v>#N/A</v>
      </c>
    </row>
    <row r="1053" spans="1:17">
      <c r="A1053" s="28"/>
      <c r="B1053" s="28"/>
      <c r="C1053" s="28"/>
      <c r="D1053" s="28"/>
      <c r="E1053" s="28"/>
      <c r="F1053" s="28"/>
      <c r="G1053" s="26" t="str">
        <f t="shared" si="128"/>
        <v/>
      </c>
      <c r="H1053" s="26" t="str">
        <f t="shared" si="135"/>
        <v/>
      </c>
      <c r="I1053" s="26" t="str">
        <f t="shared" si="129"/>
        <v/>
      </c>
      <c r="J1053" t="str">
        <f t="shared" si="130"/>
        <v/>
      </c>
      <c r="K1053" s="26" t="str">
        <f t="shared" si="131"/>
        <v/>
      </c>
      <c r="L1053" s="26" t="str">
        <f t="shared" si="132"/>
        <v/>
      </c>
      <c r="P1053" t="e">
        <f t="shared" si="133"/>
        <v>#N/A</v>
      </c>
      <c r="Q1053" t="e">
        <f t="shared" si="134"/>
        <v>#N/A</v>
      </c>
    </row>
    <row r="1054" spans="1:17">
      <c r="A1054" s="28"/>
      <c r="B1054" s="28"/>
      <c r="C1054" s="28"/>
      <c r="D1054" s="28"/>
      <c r="E1054" s="28"/>
      <c r="F1054" s="28"/>
      <c r="G1054" s="26" t="str">
        <f t="shared" si="128"/>
        <v/>
      </c>
      <c r="H1054" s="26" t="str">
        <f t="shared" si="135"/>
        <v/>
      </c>
      <c r="I1054" s="26" t="str">
        <f t="shared" si="129"/>
        <v/>
      </c>
      <c r="J1054" t="str">
        <f t="shared" si="130"/>
        <v/>
      </c>
      <c r="K1054" s="26" t="str">
        <f t="shared" si="131"/>
        <v/>
      </c>
      <c r="L1054" s="26" t="str">
        <f t="shared" si="132"/>
        <v/>
      </c>
      <c r="P1054" t="e">
        <f t="shared" si="133"/>
        <v>#N/A</v>
      </c>
      <c r="Q1054" t="e">
        <f t="shared" si="134"/>
        <v>#N/A</v>
      </c>
    </row>
    <row r="1055" spans="1:17">
      <c r="A1055" s="28"/>
      <c r="B1055" s="28"/>
      <c r="C1055" s="28"/>
      <c r="D1055" s="28"/>
      <c r="E1055" s="28"/>
      <c r="F1055" s="28"/>
      <c r="G1055" s="26" t="str">
        <f t="shared" si="128"/>
        <v/>
      </c>
      <c r="H1055" s="26" t="str">
        <f t="shared" si="135"/>
        <v/>
      </c>
      <c r="I1055" s="26" t="str">
        <f t="shared" si="129"/>
        <v/>
      </c>
      <c r="J1055" t="str">
        <f t="shared" si="130"/>
        <v/>
      </c>
      <c r="K1055" s="26" t="str">
        <f t="shared" si="131"/>
        <v/>
      </c>
      <c r="L1055" s="26" t="str">
        <f t="shared" si="132"/>
        <v/>
      </c>
      <c r="P1055" t="e">
        <f t="shared" si="133"/>
        <v>#N/A</v>
      </c>
      <c r="Q1055" t="e">
        <f t="shared" si="134"/>
        <v>#N/A</v>
      </c>
    </row>
    <row r="1056" spans="1:17">
      <c r="A1056" s="28"/>
      <c r="B1056" s="28"/>
      <c r="C1056" s="28"/>
      <c r="D1056" s="28"/>
      <c r="E1056" s="28"/>
      <c r="F1056" s="28"/>
      <c r="G1056" s="26" t="str">
        <f t="shared" si="128"/>
        <v/>
      </c>
      <c r="H1056" s="26" t="str">
        <f t="shared" si="135"/>
        <v/>
      </c>
      <c r="I1056" s="26" t="str">
        <f t="shared" si="129"/>
        <v/>
      </c>
      <c r="J1056" t="str">
        <f t="shared" si="130"/>
        <v/>
      </c>
      <c r="K1056" s="26" t="str">
        <f t="shared" si="131"/>
        <v/>
      </c>
      <c r="L1056" s="26" t="str">
        <f t="shared" si="132"/>
        <v/>
      </c>
      <c r="P1056" t="e">
        <f t="shared" si="133"/>
        <v>#N/A</v>
      </c>
      <c r="Q1056" t="e">
        <f t="shared" si="134"/>
        <v>#N/A</v>
      </c>
    </row>
    <row r="1057" spans="1:17">
      <c r="A1057" s="28"/>
      <c r="B1057" s="28"/>
      <c r="C1057" s="28"/>
      <c r="D1057" s="28"/>
      <c r="E1057" s="28"/>
      <c r="F1057" s="28"/>
      <c r="G1057" s="26" t="str">
        <f t="shared" si="128"/>
        <v/>
      </c>
      <c r="H1057" s="26" t="str">
        <f t="shared" si="135"/>
        <v/>
      </c>
      <c r="I1057" s="26" t="str">
        <f t="shared" si="129"/>
        <v/>
      </c>
      <c r="J1057" t="str">
        <f t="shared" si="130"/>
        <v/>
      </c>
      <c r="K1057" s="26" t="str">
        <f t="shared" si="131"/>
        <v/>
      </c>
      <c r="L1057" s="26" t="str">
        <f t="shared" si="132"/>
        <v/>
      </c>
      <c r="P1057" t="e">
        <f t="shared" si="133"/>
        <v>#N/A</v>
      </c>
      <c r="Q1057" t="e">
        <f t="shared" si="134"/>
        <v>#N/A</v>
      </c>
    </row>
    <row r="1058" spans="1:17">
      <c r="A1058" s="28"/>
      <c r="B1058" s="28"/>
      <c r="C1058" s="28"/>
      <c r="D1058" s="28"/>
      <c r="E1058" s="28"/>
      <c r="F1058" s="28"/>
      <c r="G1058" s="26" t="str">
        <f t="shared" si="128"/>
        <v/>
      </c>
      <c r="H1058" s="26" t="str">
        <f t="shared" si="135"/>
        <v/>
      </c>
      <c r="I1058" s="26" t="str">
        <f t="shared" si="129"/>
        <v/>
      </c>
      <c r="J1058" t="str">
        <f t="shared" si="130"/>
        <v/>
      </c>
      <c r="K1058" s="26" t="str">
        <f t="shared" si="131"/>
        <v/>
      </c>
      <c r="L1058" s="26" t="str">
        <f t="shared" si="132"/>
        <v/>
      </c>
      <c r="P1058" t="e">
        <f t="shared" si="133"/>
        <v>#N/A</v>
      </c>
      <c r="Q1058" t="e">
        <f t="shared" si="134"/>
        <v>#N/A</v>
      </c>
    </row>
    <row r="1059" spans="1:17">
      <c r="A1059" s="28"/>
      <c r="B1059" s="28"/>
      <c r="C1059" s="28"/>
      <c r="D1059" s="28"/>
      <c r="E1059" s="28"/>
      <c r="F1059" s="28"/>
      <c r="G1059" s="26" t="str">
        <f t="shared" si="128"/>
        <v/>
      </c>
      <c r="H1059" s="26" t="str">
        <f t="shared" si="135"/>
        <v/>
      </c>
      <c r="I1059" s="26" t="str">
        <f t="shared" si="129"/>
        <v/>
      </c>
      <c r="J1059" t="str">
        <f t="shared" si="130"/>
        <v/>
      </c>
      <c r="K1059" s="26" t="str">
        <f t="shared" si="131"/>
        <v/>
      </c>
      <c r="L1059" s="26" t="str">
        <f t="shared" si="132"/>
        <v/>
      </c>
      <c r="P1059" t="e">
        <f t="shared" si="133"/>
        <v>#N/A</v>
      </c>
      <c r="Q1059" t="e">
        <f t="shared" si="134"/>
        <v>#N/A</v>
      </c>
    </row>
    <row r="1060" spans="1:17">
      <c r="A1060" s="28"/>
      <c r="B1060" s="28"/>
      <c r="C1060" s="28"/>
      <c r="D1060" s="28"/>
      <c r="E1060" s="28"/>
      <c r="F1060" s="28"/>
      <c r="G1060" s="26" t="str">
        <f t="shared" si="128"/>
        <v/>
      </c>
      <c r="H1060" s="26" t="str">
        <f t="shared" si="135"/>
        <v/>
      </c>
      <c r="I1060" s="26" t="str">
        <f t="shared" si="129"/>
        <v/>
      </c>
      <c r="J1060" t="str">
        <f t="shared" si="130"/>
        <v/>
      </c>
      <c r="K1060" s="26" t="str">
        <f t="shared" si="131"/>
        <v/>
      </c>
      <c r="L1060" s="26" t="str">
        <f t="shared" si="132"/>
        <v/>
      </c>
      <c r="P1060" t="e">
        <f t="shared" si="133"/>
        <v>#N/A</v>
      </c>
      <c r="Q1060" t="e">
        <f t="shared" si="134"/>
        <v>#N/A</v>
      </c>
    </row>
    <row r="1061" spans="1:17">
      <c r="A1061" s="28"/>
      <c r="B1061" s="28"/>
      <c r="C1061" s="28"/>
      <c r="D1061" s="28"/>
      <c r="E1061" s="28"/>
      <c r="F1061" s="28"/>
      <c r="G1061" s="26" t="str">
        <f t="shared" si="128"/>
        <v/>
      </c>
      <c r="H1061" s="26" t="str">
        <f t="shared" si="135"/>
        <v/>
      </c>
      <c r="I1061" s="26" t="str">
        <f t="shared" si="129"/>
        <v/>
      </c>
      <c r="J1061" t="str">
        <f t="shared" si="130"/>
        <v/>
      </c>
      <c r="K1061" s="26" t="str">
        <f t="shared" si="131"/>
        <v/>
      </c>
      <c r="L1061" s="26" t="str">
        <f t="shared" si="132"/>
        <v/>
      </c>
      <c r="P1061" t="e">
        <f t="shared" si="133"/>
        <v>#N/A</v>
      </c>
      <c r="Q1061" t="e">
        <f t="shared" si="134"/>
        <v>#N/A</v>
      </c>
    </row>
    <row r="1062" spans="1:17">
      <c r="A1062" s="28"/>
      <c r="B1062" s="28"/>
      <c r="C1062" s="28"/>
      <c r="D1062" s="28"/>
      <c r="E1062" s="28"/>
      <c r="F1062" s="28"/>
      <c r="G1062" s="26" t="str">
        <f t="shared" si="128"/>
        <v/>
      </c>
      <c r="H1062" s="26" t="str">
        <f t="shared" si="135"/>
        <v/>
      </c>
      <c r="I1062" s="26" t="str">
        <f t="shared" si="129"/>
        <v/>
      </c>
      <c r="J1062" t="str">
        <f t="shared" si="130"/>
        <v/>
      </c>
      <c r="K1062" s="26" t="str">
        <f t="shared" si="131"/>
        <v/>
      </c>
      <c r="L1062" s="26" t="str">
        <f t="shared" si="132"/>
        <v/>
      </c>
      <c r="P1062" t="e">
        <f t="shared" si="133"/>
        <v>#N/A</v>
      </c>
      <c r="Q1062" t="e">
        <f t="shared" si="134"/>
        <v>#N/A</v>
      </c>
    </row>
    <row r="1063" spans="1:17">
      <c r="A1063" s="28"/>
      <c r="B1063" s="28"/>
      <c r="C1063" s="28"/>
      <c r="D1063" s="28"/>
      <c r="E1063" s="28"/>
      <c r="F1063" s="28"/>
      <c r="G1063" s="26" t="str">
        <f t="shared" si="128"/>
        <v/>
      </c>
      <c r="H1063" s="26" t="str">
        <f t="shared" si="135"/>
        <v/>
      </c>
      <c r="I1063" s="26" t="str">
        <f t="shared" si="129"/>
        <v/>
      </c>
      <c r="J1063" t="str">
        <f t="shared" si="130"/>
        <v/>
      </c>
      <c r="K1063" s="26" t="str">
        <f t="shared" si="131"/>
        <v/>
      </c>
      <c r="L1063" s="26" t="str">
        <f t="shared" si="132"/>
        <v/>
      </c>
      <c r="P1063" t="e">
        <f t="shared" si="133"/>
        <v>#N/A</v>
      </c>
      <c r="Q1063" t="e">
        <f t="shared" si="134"/>
        <v>#N/A</v>
      </c>
    </row>
    <row r="1064" spans="1:17">
      <c r="A1064" s="28"/>
      <c r="B1064" s="28"/>
      <c r="C1064" s="28"/>
      <c r="D1064" s="28"/>
      <c r="E1064" s="28"/>
      <c r="F1064" s="28"/>
      <c r="G1064" s="26" t="str">
        <f t="shared" si="128"/>
        <v/>
      </c>
      <c r="H1064" s="26" t="str">
        <f t="shared" si="135"/>
        <v/>
      </c>
      <c r="I1064" s="26" t="str">
        <f t="shared" si="129"/>
        <v/>
      </c>
      <c r="J1064" t="str">
        <f t="shared" si="130"/>
        <v/>
      </c>
      <c r="K1064" s="26" t="str">
        <f t="shared" si="131"/>
        <v/>
      </c>
      <c r="L1064" s="26" t="str">
        <f t="shared" si="132"/>
        <v/>
      </c>
      <c r="P1064" t="e">
        <f t="shared" si="133"/>
        <v>#N/A</v>
      </c>
      <c r="Q1064" t="e">
        <f t="shared" si="134"/>
        <v>#N/A</v>
      </c>
    </row>
    <row r="1065" spans="1:17">
      <c r="A1065" s="28"/>
      <c r="B1065" s="28"/>
      <c r="C1065" s="28"/>
      <c r="D1065" s="28"/>
      <c r="E1065" s="28"/>
      <c r="F1065" s="28"/>
      <c r="G1065" s="26" t="str">
        <f t="shared" si="128"/>
        <v/>
      </c>
      <c r="H1065" s="26" t="str">
        <f t="shared" si="135"/>
        <v/>
      </c>
      <c r="I1065" s="26" t="str">
        <f t="shared" si="129"/>
        <v/>
      </c>
      <c r="J1065" t="str">
        <f t="shared" si="130"/>
        <v/>
      </c>
      <c r="K1065" s="26" t="str">
        <f t="shared" si="131"/>
        <v/>
      </c>
      <c r="L1065" s="26" t="str">
        <f t="shared" si="132"/>
        <v/>
      </c>
      <c r="P1065" t="e">
        <f t="shared" si="133"/>
        <v>#N/A</v>
      </c>
      <c r="Q1065" t="e">
        <f t="shared" si="134"/>
        <v>#N/A</v>
      </c>
    </row>
    <row r="1066" spans="1:17">
      <c r="A1066" s="28"/>
      <c r="B1066" s="28"/>
      <c r="C1066" s="28"/>
      <c r="D1066" s="28"/>
      <c r="E1066" s="28"/>
      <c r="F1066" s="28"/>
      <c r="G1066" s="26" t="str">
        <f t="shared" si="128"/>
        <v/>
      </c>
      <c r="H1066" s="26" t="str">
        <f t="shared" si="135"/>
        <v/>
      </c>
      <c r="I1066" s="26" t="str">
        <f t="shared" si="129"/>
        <v/>
      </c>
      <c r="J1066" t="str">
        <f t="shared" si="130"/>
        <v/>
      </c>
      <c r="K1066" s="26" t="str">
        <f t="shared" si="131"/>
        <v/>
      </c>
      <c r="L1066" s="26" t="str">
        <f t="shared" si="132"/>
        <v/>
      </c>
      <c r="P1066" t="e">
        <f t="shared" si="133"/>
        <v>#N/A</v>
      </c>
      <c r="Q1066" t="e">
        <f t="shared" si="134"/>
        <v>#N/A</v>
      </c>
    </row>
    <row r="1067" spans="1:17">
      <c r="A1067" s="28"/>
      <c r="B1067" s="28"/>
      <c r="C1067" s="28"/>
      <c r="D1067" s="28"/>
      <c r="E1067" s="28"/>
      <c r="F1067" s="28"/>
      <c r="G1067" s="26" t="str">
        <f t="shared" si="128"/>
        <v/>
      </c>
      <c r="H1067" s="26" t="str">
        <f t="shared" si="135"/>
        <v/>
      </c>
      <c r="I1067" s="26" t="str">
        <f t="shared" si="129"/>
        <v/>
      </c>
      <c r="J1067" t="str">
        <f t="shared" si="130"/>
        <v/>
      </c>
      <c r="K1067" s="26" t="str">
        <f t="shared" si="131"/>
        <v/>
      </c>
      <c r="L1067" s="26" t="str">
        <f t="shared" si="132"/>
        <v/>
      </c>
      <c r="P1067" t="e">
        <f t="shared" si="133"/>
        <v>#N/A</v>
      </c>
      <c r="Q1067" t="e">
        <f t="shared" si="134"/>
        <v>#N/A</v>
      </c>
    </row>
    <row r="1068" spans="1:17">
      <c r="A1068" s="28"/>
      <c r="B1068" s="28"/>
      <c r="C1068" s="28"/>
      <c r="D1068" s="28"/>
      <c r="E1068" s="28"/>
      <c r="F1068" s="28"/>
      <c r="G1068" s="26" t="str">
        <f t="shared" si="128"/>
        <v/>
      </c>
      <c r="H1068" s="26" t="str">
        <f t="shared" si="135"/>
        <v/>
      </c>
      <c r="I1068" s="26" t="str">
        <f t="shared" si="129"/>
        <v/>
      </c>
      <c r="J1068" t="str">
        <f t="shared" si="130"/>
        <v/>
      </c>
      <c r="K1068" s="26" t="str">
        <f t="shared" si="131"/>
        <v/>
      </c>
      <c r="L1068" s="26" t="str">
        <f t="shared" si="132"/>
        <v/>
      </c>
      <c r="P1068" t="e">
        <f t="shared" si="133"/>
        <v>#N/A</v>
      </c>
      <c r="Q1068" t="e">
        <f t="shared" si="134"/>
        <v>#N/A</v>
      </c>
    </row>
    <row r="1069" spans="1:17">
      <c r="A1069" s="28"/>
      <c r="B1069" s="28"/>
      <c r="C1069" s="28"/>
      <c r="D1069" s="28"/>
      <c r="E1069" s="28"/>
      <c r="F1069" s="28"/>
      <c r="G1069" s="26" t="str">
        <f t="shared" si="128"/>
        <v/>
      </c>
      <c r="H1069" s="26" t="str">
        <f t="shared" si="135"/>
        <v/>
      </c>
      <c r="I1069" s="26" t="str">
        <f t="shared" si="129"/>
        <v/>
      </c>
      <c r="J1069" t="str">
        <f t="shared" si="130"/>
        <v/>
      </c>
      <c r="K1069" s="26" t="str">
        <f t="shared" si="131"/>
        <v/>
      </c>
      <c r="L1069" s="26" t="str">
        <f t="shared" si="132"/>
        <v/>
      </c>
      <c r="P1069" t="e">
        <f t="shared" si="133"/>
        <v>#N/A</v>
      </c>
      <c r="Q1069" t="e">
        <f t="shared" si="134"/>
        <v>#N/A</v>
      </c>
    </row>
    <row r="1070" spans="1:17">
      <c r="A1070" s="28"/>
      <c r="B1070" s="28"/>
      <c r="C1070" s="28"/>
      <c r="D1070" s="28"/>
      <c r="E1070" s="28"/>
      <c r="F1070" s="28"/>
      <c r="G1070" s="26" t="str">
        <f t="shared" si="128"/>
        <v/>
      </c>
      <c r="H1070" s="26" t="str">
        <f t="shared" si="135"/>
        <v/>
      </c>
      <c r="I1070" s="26" t="str">
        <f t="shared" si="129"/>
        <v/>
      </c>
      <c r="J1070" t="str">
        <f t="shared" si="130"/>
        <v/>
      </c>
      <c r="K1070" s="26" t="str">
        <f t="shared" si="131"/>
        <v/>
      </c>
      <c r="L1070" s="26" t="str">
        <f t="shared" si="132"/>
        <v/>
      </c>
      <c r="P1070" t="e">
        <f t="shared" si="133"/>
        <v>#N/A</v>
      </c>
      <c r="Q1070" t="e">
        <f t="shared" si="134"/>
        <v>#N/A</v>
      </c>
    </row>
    <row r="1071" spans="1:17">
      <c r="A1071" s="28"/>
      <c r="B1071" s="28"/>
      <c r="C1071" s="28"/>
      <c r="D1071" s="28"/>
      <c r="E1071" s="28"/>
      <c r="F1071" s="28"/>
      <c r="G1071" s="26" t="str">
        <f t="shared" si="128"/>
        <v/>
      </c>
      <c r="H1071" s="26" t="str">
        <f t="shared" si="135"/>
        <v/>
      </c>
      <c r="I1071" s="26" t="str">
        <f t="shared" si="129"/>
        <v/>
      </c>
      <c r="J1071" t="str">
        <f t="shared" si="130"/>
        <v/>
      </c>
      <c r="K1071" s="26" t="str">
        <f t="shared" si="131"/>
        <v/>
      </c>
      <c r="L1071" s="26" t="str">
        <f t="shared" si="132"/>
        <v/>
      </c>
      <c r="P1071" t="e">
        <f t="shared" si="133"/>
        <v>#N/A</v>
      </c>
      <c r="Q1071" t="e">
        <f t="shared" si="134"/>
        <v>#N/A</v>
      </c>
    </row>
    <row r="1072" spans="1:17">
      <c r="A1072" s="28"/>
      <c r="B1072" s="28"/>
      <c r="C1072" s="28"/>
      <c r="D1072" s="28"/>
      <c r="E1072" s="28"/>
      <c r="F1072" s="28"/>
      <c r="G1072" s="26" t="str">
        <f t="shared" si="128"/>
        <v/>
      </c>
      <c r="H1072" s="26" t="str">
        <f t="shared" si="135"/>
        <v/>
      </c>
      <c r="I1072" s="26" t="str">
        <f t="shared" si="129"/>
        <v/>
      </c>
      <c r="J1072" t="str">
        <f t="shared" si="130"/>
        <v/>
      </c>
      <c r="K1072" s="26" t="str">
        <f t="shared" si="131"/>
        <v/>
      </c>
      <c r="L1072" s="26" t="str">
        <f t="shared" si="132"/>
        <v/>
      </c>
      <c r="P1072" t="e">
        <f t="shared" si="133"/>
        <v>#N/A</v>
      </c>
      <c r="Q1072" t="e">
        <f t="shared" si="134"/>
        <v>#N/A</v>
      </c>
    </row>
    <row r="1073" spans="1:17">
      <c r="A1073" s="28"/>
      <c r="B1073" s="28"/>
      <c r="C1073" s="28"/>
      <c r="D1073" s="28"/>
      <c r="E1073" s="28"/>
      <c r="F1073" s="28"/>
      <c r="G1073" s="26" t="str">
        <f t="shared" si="128"/>
        <v/>
      </c>
      <c r="H1073" s="26" t="str">
        <f t="shared" si="135"/>
        <v/>
      </c>
      <c r="I1073" s="26" t="str">
        <f t="shared" si="129"/>
        <v/>
      </c>
      <c r="J1073" t="str">
        <f t="shared" si="130"/>
        <v/>
      </c>
      <c r="K1073" s="26" t="str">
        <f t="shared" si="131"/>
        <v/>
      </c>
      <c r="L1073" s="26" t="str">
        <f t="shared" si="132"/>
        <v/>
      </c>
      <c r="P1073" t="e">
        <f t="shared" si="133"/>
        <v>#N/A</v>
      </c>
      <c r="Q1073" t="e">
        <f t="shared" si="134"/>
        <v>#N/A</v>
      </c>
    </row>
    <row r="1074" spans="1:17">
      <c r="A1074" s="28"/>
      <c r="B1074" s="28"/>
      <c r="C1074" s="28"/>
      <c r="D1074" s="28"/>
      <c r="E1074" s="28"/>
      <c r="F1074" s="28"/>
      <c r="G1074" s="26" t="str">
        <f t="shared" si="128"/>
        <v/>
      </c>
      <c r="H1074" s="26" t="str">
        <f t="shared" si="135"/>
        <v/>
      </c>
      <c r="I1074" s="26" t="str">
        <f t="shared" si="129"/>
        <v/>
      </c>
      <c r="J1074" t="str">
        <f t="shared" si="130"/>
        <v/>
      </c>
      <c r="K1074" s="26" t="str">
        <f t="shared" si="131"/>
        <v/>
      </c>
      <c r="L1074" s="26" t="str">
        <f t="shared" si="132"/>
        <v/>
      </c>
      <c r="P1074" t="e">
        <f t="shared" si="133"/>
        <v>#N/A</v>
      </c>
      <c r="Q1074" t="e">
        <f t="shared" si="134"/>
        <v>#N/A</v>
      </c>
    </row>
    <row r="1075" spans="1:17">
      <c r="A1075" s="28"/>
      <c r="B1075" s="28"/>
      <c r="C1075" s="28"/>
      <c r="D1075" s="28"/>
      <c r="E1075" s="28"/>
      <c r="F1075" s="28"/>
      <c r="G1075" s="26" t="str">
        <f t="shared" si="128"/>
        <v/>
      </c>
      <c r="H1075" s="26" t="str">
        <f t="shared" si="135"/>
        <v/>
      </c>
      <c r="I1075" s="26" t="str">
        <f t="shared" si="129"/>
        <v/>
      </c>
      <c r="J1075" t="str">
        <f t="shared" si="130"/>
        <v/>
      </c>
      <c r="K1075" s="26" t="str">
        <f t="shared" si="131"/>
        <v/>
      </c>
      <c r="L1075" s="26" t="str">
        <f t="shared" si="132"/>
        <v/>
      </c>
      <c r="P1075" t="e">
        <f t="shared" si="133"/>
        <v>#N/A</v>
      </c>
      <c r="Q1075" t="e">
        <f t="shared" si="134"/>
        <v>#N/A</v>
      </c>
    </row>
    <row r="1076" spans="1:17">
      <c r="A1076" s="28"/>
      <c r="B1076" s="28"/>
      <c r="C1076" s="28"/>
      <c r="D1076" s="28"/>
      <c r="E1076" s="28"/>
      <c r="F1076" s="28"/>
      <c r="G1076" s="26" t="str">
        <f t="shared" si="128"/>
        <v/>
      </c>
      <c r="H1076" s="26" t="str">
        <f t="shared" si="135"/>
        <v/>
      </c>
      <c r="I1076" s="26" t="str">
        <f t="shared" si="129"/>
        <v/>
      </c>
      <c r="J1076" t="str">
        <f t="shared" si="130"/>
        <v/>
      </c>
      <c r="K1076" s="26" t="str">
        <f t="shared" si="131"/>
        <v/>
      </c>
      <c r="L1076" s="26" t="str">
        <f t="shared" si="132"/>
        <v/>
      </c>
      <c r="P1076" t="e">
        <f t="shared" si="133"/>
        <v>#N/A</v>
      </c>
      <c r="Q1076" t="e">
        <f t="shared" si="134"/>
        <v>#N/A</v>
      </c>
    </row>
    <row r="1077" spans="1:17">
      <c r="A1077" s="28"/>
      <c r="B1077" s="28"/>
      <c r="C1077" s="28"/>
      <c r="D1077" s="28"/>
      <c r="E1077" s="28"/>
      <c r="F1077" s="28"/>
      <c r="G1077" s="26" t="str">
        <f t="shared" si="128"/>
        <v/>
      </c>
      <c r="H1077" s="26" t="str">
        <f t="shared" si="135"/>
        <v/>
      </c>
      <c r="I1077" s="26" t="str">
        <f t="shared" si="129"/>
        <v/>
      </c>
      <c r="J1077" t="str">
        <f t="shared" si="130"/>
        <v/>
      </c>
      <c r="K1077" s="26" t="str">
        <f t="shared" si="131"/>
        <v/>
      </c>
      <c r="L1077" s="26" t="str">
        <f t="shared" si="132"/>
        <v/>
      </c>
      <c r="P1077" t="e">
        <f t="shared" si="133"/>
        <v>#N/A</v>
      </c>
      <c r="Q1077" t="e">
        <f t="shared" si="134"/>
        <v>#N/A</v>
      </c>
    </row>
    <row r="1078" spans="1:17">
      <c r="A1078" s="28"/>
      <c r="B1078" s="28"/>
      <c r="C1078" s="28"/>
      <c r="D1078" s="28"/>
      <c r="E1078" s="28"/>
      <c r="F1078" s="28"/>
      <c r="G1078" s="26" t="str">
        <f t="shared" si="128"/>
        <v/>
      </c>
      <c r="H1078" s="26" t="str">
        <f t="shared" si="135"/>
        <v/>
      </c>
      <c r="I1078" s="26" t="str">
        <f t="shared" si="129"/>
        <v/>
      </c>
      <c r="J1078" t="str">
        <f t="shared" si="130"/>
        <v/>
      </c>
      <c r="K1078" s="26" t="str">
        <f t="shared" si="131"/>
        <v/>
      </c>
      <c r="L1078" s="26" t="str">
        <f t="shared" si="132"/>
        <v/>
      </c>
      <c r="P1078" t="e">
        <f t="shared" si="133"/>
        <v>#N/A</v>
      </c>
      <c r="Q1078" t="e">
        <f t="shared" si="134"/>
        <v>#N/A</v>
      </c>
    </row>
    <row r="1079" spans="1:17">
      <c r="A1079" s="28"/>
      <c r="B1079" s="28"/>
      <c r="C1079" s="28"/>
      <c r="D1079" s="28"/>
      <c r="E1079" s="28"/>
      <c r="F1079" s="28"/>
      <c r="G1079" s="26" t="str">
        <f t="shared" si="128"/>
        <v/>
      </c>
      <c r="H1079" s="26" t="str">
        <f t="shared" si="135"/>
        <v/>
      </c>
      <c r="I1079" s="26" t="str">
        <f t="shared" si="129"/>
        <v/>
      </c>
      <c r="J1079" t="str">
        <f t="shared" si="130"/>
        <v/>
      </c>
      <c r="K1079" s="26" t="str">
        <f t="shared" si="131"/>
        <v/>
      </c>
      <c r="L1079" s="26" t="str">
        <f t="shared" si="132"/>
        <v/>
      </c>
      <c r="P1079" t="e">
        <f t="shared" si="133"/>
        <v>#N/A</v>
      </c>
      <c r="Q1079" t="e">
        <f t="shared" si="134"/>
        <v>#N/A</v>
      </c>
    </row>
    <row r="1080" spans="1:17">
      <c r="A1080" s="28"/>
      <c r="B1080" s="28"/>
      <c r="C1080" s="28"/>
      <c r="D1080" s="28"/>
      <c r="E1080" s="28"/>
      <c r="F1080" s="28"/>
      <c r="G1080" s="26" t="str">
        <f t="shared" si="128"/>
        <v/>
      </c>
      <c r="H1080" s="26" t="str">
        <f t="shared" si="135"/>
        <v/>
      </c>
      <c r="I1080" s="26" t="str">
        <f t="shared" si="129"/>
        <v/>
      </c>
      <c r="J1080" t="str">
        <f t="shared" si="130"/>
        <v/>
      </c>
      <c r="K1080" s="26" t="str">
        <f t="shared" si="131"/>
        <v/>
      </c>
      <c r="L1080" s="26" t="str">
        <f t="shared" si="132"/>
        <v/>
      </c>
      <c r="P1080" t="e">
        <f t="shared" si="133"/>
        <v>#N/A</v>
      </c>
      <c r="Q1080" t="e">
        <f t="shared" si="134"/>
        <v>#N/A</v>
      </c>
    </row>
    <row r="1081" spans="1:17">
      <c r="A1081" s="28"/>
      <c r="B1081" s="28"/>
      <c r="C1081" s="28"/>
      <c r="D1081" s="28"/>
      <c r="E1081" s="28"/>
      <c r="F1081" s="28"/>
      <c r="G1081" s="26" t="str">
        <f t="shared" si="128"/>
        <v/>
      </c>
      <c r="H1081" s="26" t="str">
        <f t="shared" si="135"/>
        <v/>
      </c>
      <c r="I1081" s="26" t="str">
        <f t="shared" si="129"/>
        <v/>
      </c>
      <c r="J1081" t="str">
        <f t="shared" si="130"/>
        <v/>
      </c>
      <c r="K1081" s="26" t="str">
        <f t="shared" si="131"/>
        <v/>
      </c>
      <c r="L1081" s="26" t="str">
        <f t="shared" si="132"/>
        <v/>
      </c>
      <c r="P1081" t="e">
        <f t="shared" si="133"/>
        <v>#N/A</v>
      </c>
      <c r="Q1081" t="e">
        <f t="shared" si="134"/>
        <v>#N/A</v>
      </c>
    </row>
    <row r="1082" spans="1:17">
      <c r="A1082" s="28"/>
      <c r="B1082" s="28"/>
      <c r="C1082" s="28"/>
      <c r="D1082" s="28"/>
      <c r="E1082" s="28"/>
      <c r="F1082" s="28"/>
      <c r="G1082" s="26" t="str">
        <f t="shared" si="128"/>
        <v/>
      </c>
      <c r="H1082" s="26" t="str">
        <f t="shared" si="135"/>
        <v/>
      </c>
      <c r="I1082" s="26" t="str">
        <f t="shared" si="129"/>
        <v/>
      </c>
      <c r="J1082" t="str">
        <f t="shared" si="130"/>
        <v/>
      </c>
      <c r="K1082" s="26" t="str">
        <f t="shared" si="131"/>
        <v/>
      </c>
      <c r="L1082" s="26" t="str">
        <f t="shared" si="132"/>
        <v/>
      </c>
      <c r="P1082" t="e">
        <f t="shared" si="133"/>
        <v>#N/A</v>
      </c>
      <c r="Q1082" t="e">
        <f t="shared" si="134"/>
        <v>#N/A</v>
      </c>
    </row>
    <row r="1083" spans="1:17">
      <c r="A1083" s="28"/>
      <c r="B1083" s="28"/>
      <c r="C1083" s="28"/>
      <c r="D1083" s="28"/>
      <c r="E1083" s="28"/>
      <c r="F1083" s="28"/>
      <c r="G1083" s="26" t="str">
        <f t="shared" si="128"/>
        <v/>
      </c>
      <c r="H1083" s="26" t="str">
        <f t="shared" si="135"/>
        <v/>
      </c>
      <c r="I1083" s="26" t="str">
        <f t="shared" si="129"/>
        <v/>
      </c>
      <c r="J1083" t="str">
        <f t="shared" si="130"/>
        <v/>
      </c>
      <c r="K1083" s="26" t="str">
        <f t="shared" si="131"/>
        <v/>
      </c>
      <c r="L1083" s="26" t="str">
        <f t="shared" si="132"/>
        <v/>
      </c>
      <c r="P1083" t="e">
        <f t="shared" si="133"/>
        <v>#N/A</v>
      </c>
      <c r="Q1083" t="e">
        <f t="shared" si="134"/>
        <v>#N/A</v>
      </c>
    </row>
    <row r="1084" spans="1:17">
      <c r="A1084" s="28"/>
      <c r="B1084" s="28"/>
      <c r="C1084" s="28"/>
      <c r="D1084" s="28"/>
      <c r="E1084" s="28"/>
      <c r="F1084" s="28"/>
      <c r="G1084" s="26" t="str">
        <f t="shared" si="128"/>
        <v/>
      </c>
      <c r="H1084" s="26" t="str">
        <f t="shared" si="135"/>
        <v/>
      </c>
      <c r="I1084" s="26" t="str">
        <f t="shared" si="129"/>
        <v/>
      </c>
      <c r="J1084" t="str">
        <f t="shared" si="130"/>
        <v/>
      </c>
      <c r="K1084" s="26" t="str">
        <f t="shared" si="131"/>
        <v/>
      </c>
      <c r="L1084" s="26" t="str">
        <f t="shared" si="132"/>
        <v/>
      </c>
      <c r="P1084" t="e">
        <f t="shared" si="133"/>
        <v>#N/A</v>
      </c>
      <c r="Q1084" t="e">
        <f t="shared" si="134"/>
        <v>#N/A</v>
      </c>
    </row>
    <row r="1085" spans="1:17">
      <c r="A1085" s="28"/>
      <c r="B1085" s="28"/>
      <c r="C1085" s="28"/>
      <c r="D1085" s="28"/>
      <c r="E1085" s="28"/>
      <c r="F1085" s="28"/>
      <c r="G1085" s="26" t="str">
        <f t="shared" si="128"/>
        <v/>
      </c>
      <c r="H1085" s="26" t="str">
        <f t="shared" si="135"/>
        <v/>
      </c>
      <c r="I1085" s="26" t="str">
        <f t="shared" si="129"/>
        <v/>
      </c>
      <c r="J1085" t="str">
        <f t="shared" si="130"/>
        <v/>
      </c>
      <c r="K1085" s="26" t="str">
        <f t="shared" si="131"/>
        <v/>
      </c>
      <c r="L1085" s="26" t="str">
        <f t="shared" si="132"/>
        <v/>
      </c>
      <c r="P1085" t="e">
        <f t="shared" si="133"/>
        <v>#N/A</v>
      </c>
      <c r="Q1085" t="e">
        <f t="shared" si="134"/>
        <v>#N/A</v>
      </c>
    </row>
    <row r="1086" spans="1:17">
      <c r="A1086" s="28"/>
      <c r="B1086" s="28"/>
      <c r="C1086" s="28"/>
      <c r="D1086" s="28"/>
      <c r="E1086" s="28"/>
      <c r="F1086" s="28"/>
      <c r="G1086" s="26" t="str">
        <f t="shared" si="128"/>
        <v/>
      </c>
      <c r="H1086" s="26" t="str">
        <f t="shared" si="135"/>
        <v/>
      </c>
      <c r="I1086" s="26" t="str">
        <f t="shared" si="129"/>
        <v/>
      </c>
      <c r="J1086" t="str">
        <f t="shared" si="130"/>
        <v/>
      </c>
      <c r="K1086" s="26" t="str">
        <f t="shared" si="131"/>
        <v/>
      </c>
      <c r="L1086" s="26" t="str">
        <f t="shared" si="132"/>
        <v/>
      </c>
      <c r="P1086" t="e">
        <f t="shared" si="133"/>
        <v>#N/A</v>
      </c>
      <c r="Q1086" t="e">
        <f t="shared" si="134"/>
        <v>#N/A</v>
      </c>
    </row>
    <row r="1087" spans="1:17">
      <c r="A1087" s="28"/>
      <c r="B1087" s="28"/>
      <c r="C1087" s="28"/>
      <c r="D1087" s="28"/>
      <c r="E1087" s="28"/>
      <c r="F1087" s="28"/>
      <c r="G1087" s="26" t="str">
        <f t="shared" si="128"/>
        <v/>
      </c>
      <c r="H1087" s="26" t="str">
        <f t="shared" si="135"/>
        <v/>
      </c>
      <c r="I1087" s="26" t="str">
        <f t="shared" si="129"/>
        <v/>
      </c>
      <c r="J1087" t="str">
        <f t="shared" si="130"/>
        <v/>
      </c>
      <c r="K1087" s="26" t="str">
        <f t="shared" si="131"/>
        <v/>
      </c>
      <c r="L1087" s="26" t="str">
        <f t="shared" si="132"/>
        <v/>
      </c>
      <c r="P1087" t="e">
        <f t="shared" si="133"/>
        <v>#N/A</v>
      </c>
      <c r="Q1087" t="e">
        <f t="shared" si="134"/>
        <v>#N/A</v>
      </c>
    </row>
    <row r="1088" spans="1:17">
      <c r="A1088" s="28"/>
      <c r="B1088" s="28"/>
      <c r="C1088" s="28"/>
      <c r="D1088" s="28"/>
      <c r="E1088" s="28"/>
      <c r="F1088" s="28"/>
      <c r="G1088" s="26" t="str">
        <f t="shared" si="128"/>
        <v/>
      </c>
      <c r="H1088" s="26" t="str">
        <f t="shared" si="135"/>
        <v/>
      </c>
      <c r="I1088" s="26" t="str">
        <f t="shared" si="129"/>
        <v/>
      </c>
      <c r="J1088" t="str">
        <f t="shared" si="130"/>
        <v/>
      </c>
      <c r="K1088" s="26" t="str">
        <f t="shared" si="131"/>
        <v/>
      </c>
      <c r="L1088" s="26" t="str">
        <f t="shared" si="132"/>
        <v/>
      </c>
      <c r="P1088" t="e">
        <f t="shared" si="133"/>
        <v>#N/A</v>
      </c>
      <c r="Q1088" t="e">
        <f t="shared" si="134"/>
        <v>#N/A</v>
      </c>
    </row>
    <row r="1089" spans="1:17">
      <c r="A1089" s="28"/>
      <c r="B1089" s="28"/>
      <c r="C1089" s="28"/>
      <c r="D1089" s="28"/>
      <c r="E1089" s="28"/>
      <c r="F1089" s="28"/>
      <c r="G1089" s="26" t="str">
        <f t="shared" si="128"/>
        <v/>
      </c>
      <c r="H1089" s="26" t="str">
        <f t="shared" si="135"/>
        <v/>
      </c>
      <c r="I1089" s="26" t="str">
        <f t="shared" si="129"/>
        <v/>
      </c>
      <c r="J1089" t="str">
        <f t="shared" si="130"/>
        <v/>
      </c>
      <c r="K1089" s="26" t="str">
        <f t="shared" si="131"/>
        <v/>
      </c>
      <c r="L1089" s="26" t="str">
        <f t="shared" si="132"/>
        <v/>
      </c>
      <c r="P1089" t="e">
        <f t="shared" si="133"/>
        <v>#N/A</v>
      </c>
      <c r="Q1089" t="e">
        <f t="shared" si="134"/>
        <v>#N/A</v>
      </c>
    </row>
    <row r="1090" spans="1:17">
      <c r="A1090" s="28"/>
      <c r="B1090" s="28"/>
      <c r="C1090" s="28"/>
      <c r="D1090" s="28"/>
      <c r="E1090" s="28"/>
      <c r="F1090" s="28"/>
      <c r="G1090" s="26" t="str">
        <f t="shared" ref="G1090:G1153" si="136">IF(B1090="","",243.04*(LN(C1090/100)+17.625*B1090/(243.04+B1090))/(17.625-LN(C1090/100)-17.625*B1090/(243.04+B1090)))</f>
        <v/>
      </c>
      <c r="H1090" s="26" t="str">
        <f t="shared" si="135"/>
        <v/>
      </c>
      <c r="I1090" s="26" t="str">
        <f t="shared" ref="I1090:I1153" si="137">IF(B1090="","",B1090-E1090)</f>
        <v/>
      </c>
      <c r="J1090" t="str">
        <f t="shared" ref="J1090:J1153" si="138">IF(H1090="","",IF(H1090&gt;0.6,"Heating",IF(H1090&lt;-0.2,"Cooling","Steady")))</f>
        <v/>
      </c>
      <c r="K1090" s="26" t="str">
        <f t="shared" ref="K1090:K1153" si="139">IF(J1090="Cooling",I1090,"")</f>
        <v/>
      </c>
      <c r="L1090" s="26" t="str">
        <f t="shared" ref="L1090:L1153" si="140">IF(J1090="Cooling",H1090,"")</f>
        <v/>
      </c>
      <c r="P1090" t="e">
        <f t="shared" ref="P1090:P1153" si="141">IF(K1090="",NA(),K1090)</f>
        <v>#N/A</v>
      </c>
      <c r="Q1090" t="e">
        <f t="shared" ref="Q1090:Q1153" si="142">IF(L1090="",NA(),L1090)</f>
        <v>#N/A</v>
      </c>
    </row>
    <row r="1091" spans="1:17">
      <c r="A1091" s="28"/>
      <c r="B1091" s="28"/>
      <c r="C1091" s="28"/>
      <c r="D1091" s="28"/>
      <c r="E1091" s="28"/>
      <c r="F1091" s="28"/>
      <c r="G1091" s="26" t="str">
        <f t="shared" si="136"/>
        <v/>
      </c>
      <c r="H1091" s="26" t="str">
        <f t="shared" si="135"/>
        <v/>
      </c>
      <c r="I1091" s="26" t="str">
        <f t="shared" si="137"/>
        <v/>
      </c>
      <c r="J1091" t="str">
        <f t="shared" si="138"/>
        <v/>
      </c>
      <c r="K1091" s="26" t="str">
        <f t="shared" si="139"/>
        <v/>
      </c>
      <c r="L1091" s="26" t="str">
        <f t="shared" si="140"/>
        <v/>
      </c>
      <c r="P1091" t="e">
        <f t="shared" si="141"/>
        <v>#N/A</v>
      </c>
      <c r="Q1091" t="e">
        <f t="shared" si="142"/>
        <v>#N/A</v>
      </c>
    </row>
    <row r="1092" spans="1:17">
      <c r="A1092" s="28"/>
      <c r="B1092" s="28"/>
      <c r="C1092" s="28"/>
      <c r="D1092" s="28"/>
      <c r="E1092" s="28"/>
      <c r="F1092" s="28"/>
      <c r="G1092" s="26" t="str">
        <f t="shared" si="136"/>
        <v/>
      </c>
      <c r="H1092" s="26" t="str">
        <f t="shared" ref="H1092:H1155" si="143">IFERROR(IF(OR(B1090="",B1094=""),"",(B1094-B1090)/4*60),"")</f>
        <v/>
      </c>
      <c r="I1092" s="26" t="str">
        <f t="shared" si="137"/>
        <v/>
      </c>
      <c r="J1092" t="str">
        <f t="shared" si="138"/>
        <v/>
      </c>
      <c r="K1092" s="26" t="str">
        <f t="shared" si="139"/>
        <v/>
      </c>
      <c r="L1092" s="26" t="str">
        <f t="shared" si="140"/>
        <v/>
      </c>
      <c r="P1092" t="e">
        <f t="shared" si="141"/>
        <v>#N/A</v>
      </c>
      <c r="Q1092" t="e">
        <f t="shared" si="142"/>
        <v>#N/A</v>
      </c>
    </row>
    <row r="1093" spans="1:17">
      <c r="A1093" s="28"/>
      <c r="B1093" s="28"/>
      <c r="C1093" s="28"/>
      <c r="D1093" s="28"/>
      <c r="E1093" s="28"/>
      <c r="F1093" s="28"/>
      <c r="G1093" s="26" t="str">
        <f t="shared" si="136"/>
        <v/>
      </c>
      <c r="H1093" s="26" t="str">
        <f t="shared" si="143"/>
        <v/>
      </c>
      <c r="I1093" s="26" t="str">
        <f t="shared" si="137"/>
        <v/>
      </c>
      <c r="J1093" t="str">
        <f t="shared" si="138"/>
        <v/>
      </c>
      <c r="K1093" s="26" t="str">
        <f t="shared" si="139"/>
        <v/>
      </c>
      <c r="L1093" s="26" t="str">
        <f t="shared" si="140"/>
        <v/>
      </c>
      <c r="P1093" t="e">
        <f t="shared" si="141"/>
        <v>#N/A</v>
      </c>
      <c r="Q1093" t="e">
        <f t="shared" si="142"/>
        <v>#N/A</v>
      </c>
    </row>
    <row r="1094" spans="1:17">
      <c r="A1094" s="28"/>
      <c r="B1094" s="28"/>
      <c r="C1094" s="28"/>
      <c r="D1094" s="28"/>
      <c r="E1094" s="28"/>
      <c r="F1094" s="28"/>
      <c r="G1094" s="26" t="str">
        <f t="shared" si="136"/>
        <v/>
      </c>
      <c r="H1094" s="26" t="str">
        <f t="shared" si="143"/>
        <v/>
      </c>
      <c r="I1094" s="26" t="str">
        <f t="shared" si="137"/>
        <v/>
      </c>
      <c r="J1094" t="str">
        <f t="shared" si="138"/>
        <v/>
      </c>
      <c r="K1094" s="26" t="str">
        <f t="shared" si="139"/>
        <v/>
      </c>
      <c r="L1094" s="26" t="str">
        <f t="shared" si="140"/>
        <v/>
      </c>
      <c r="P1094" t="e">
        <f t="shared" si="141"/>
        <v>#N/A</v>
      </c>
      <c r="Q1094" t="e">
        <f t="shared" si="142"/>
        <v>#N/A</v>
      </c>
    </row>
    <row r="1095" spans="1:17">
      <c r="A1095" s="28"/>
      <c r="B1095" s="28"/>
      <c r="C1095" s="28"/>
      <c r="D1095" s="28"/>
      <c r="E1095" s="28"/>
      <c r="F1095" s="28"/>
      <c r="G1095" s="26" t="str">
        <f t="shared" si="136"/>
        <v/>
      </c>
      <c r="H1095" s="26" t="str">
        <f t="shared" si="143"/>
        <v/>
      </c>
      <c r="I1095" s="26" t="str">
        <f t="shared" si="137"/>
        <v/>
      </c>
      <c r="J1095" t="str">
        <f t="shared" si="138"/>
        <v/>
      </c>
      <c r="K1095" s="26" t="str">
        <f t="shared" si="139"/>
        <v/>
      </c>
      <c r="L1095" s="26" t="str">
        <f t="shared" si="140"/>
        <v/>
      </c>
      <c r="P1095" t="e">
        <f t="shared" si="141"/>
        <v>#N/A</v>
      </c>
      <c r="Q1095" t="e">
        <f t="shared" si="142"/>
        <v>#N/A</v>
      </c>
    </row>
    <row r="1096" spans="1:17">
      <c r="A1096" s="28"/>
      <c r="B1096" s="28"/>
      <c r="C1096" s="28"/>
      <c r="D1096" s="28"/>
      <c r="E1096" s="28"/>
      <c r="F1096" s="28"/>
      <c r="G1096" s="26" t="str">
        <f t="shared" si="136"/>
        <v/>
      </c>
      <c r="H1096" s="26" t="str">
        <f t="shared" si="143"/>
        <v/>
      </c>
      <c r="I1096" s="26" t="str">
        <f t="shared" si="137"/>
        <v/>
      </c>
      <c r="J1096" t="str">
        <f t="shared" si="138"/>
        <v/>
      </c>
      <c r="K1096" s="26" t="str">
        <f t="shared" si="139"/>
        <v/>
      </c>
      <c r="L1096" s="26" t="str">
        <f t="shared" si="140"/>
        <v/>
      </c>
      <c r="P1096" t="e">
        <f t="shared" si="141"/>
        <v>#N/A</v>
      </c>
      <c r="Q1096" t="e">
        <f t="shared" si="142"/>
        <v>#N/A</v>
      </c>
    </row>
    <row r="1097" spans="1:17">
      <c r="A1097" s="28"/>
      <c r="B1097" s="28"/>
      <c r="C1097" s="28"/>
      <c r="D1097" s="28"/>
      <c r="E1097" s="28"/>
      <c r="F1097" s="28"/>
      <c r="G1097" s="26" t="str">
        <f t="shared" si="136"/>
        <v/>
      </c>
      <c r="H1097" s="26" t="str">
        <f t="shared" si="143"/>
        <v/>
      </c>
      <c r="I1097" s="26" t="str">
        <f t="shared" si="137"/>
        <v/>
      </c>
      <c r="J1097" t="str">
        <f t="shared" si="138"/>
        <v/>
      </c>
      <c r="K1097" s="26" t="str">
        <f t="shared" si="139"/>
        <v/>
      </c>
      <c r="L1097" s="26" t="str">
        <f t="shared" si="140"/>
        <v/>
      </c>
      <c r="P1097" t="e">
        <f t="shared" si="141"/>
        <v>#N/A</v>
      </c>
      <c r="Q1097" t="e">
        <f t="shared" si="142"/>
        <v>#N/A</v>
      </c>
    </row>
    <row r="1098" spans="1:17">
      <c r="A1098" s="28"/>
      <c r="B1098" s="28"/>
      <c r="C1098" s="28"/>
      <c r="D1098" s="28"/>
      <c r="E1098" s="28"/>
      <c r="F1098" s="28"/>
      <c r="G1098" s="26" t="str">
        <f t="shared" si="136"/>
        <v/>
      </c>
      <c r="H1098" s="26" t="str">
        <f t="shared" si="143"/>
        <v/>
      </c>
      <c r="I1098" s="26" t="str">
        <f t="shared" si="137"/>
        <v/>
      </c>
      <c r="J1098" t="str">
        <f t="shared" si="138"/>
        <v/>
      </c>
      <c r="K1098" s="26" t="str">
        <f t="shared" si="139"/>
        <v/>
      </c>
      <c r="L1098" s="26" t="str">
        <f t="shared" si="140"/>
        <v/>
      </c>
      <c r="P1098" t="e">
        <f t="shared" si="141"/>
        <v>#N/A</v>
      </c>
      <c r="Q1098" t="e">
        <f t="shared" si="142"/>
        <v>#N/A</v>
      </c>
    </row>
    <row r="1099" spans="1:17">
      <c r="A1099" s="28"/>
      <c r="B1099" s="28"/>
      <c r="C1099" s="28"/>
      <c r="D1099" s="28"/>
      <c r="E1099" s="28"/>
      <c r="F1099" s="28"/>
      <c r="G1099" s="26" t="str">
        <f t="shared" si="136"/>
        <v/>
      </c>
      <c r="H1099" s="26" t="str">
        <f t="shared" si="143"/>
        <v/>
      </c>
      <c r="I1099" s="26" t="str">
        <f t="shared" si="137"/>
        <v/>
      </c>
      <c r="J1099" t="str">
        <f t="shared" si="138"/>
        <v/>
      </c>
      <c r="K1099" s="26" t="str">
        <f t="shared" si="139"/>
        <v/>
      </c>
      <c r="L1099" s="26" t="str">
        <f t="shared" si="140"/>
        <v/>
      </c>
      <c r="P1099" t="e">
        <f t="shared" si="141"/>
        <v>#N/A</v>
      </c>
      <c r="Q1099" t="e">
        <f t="shared" si="142"/>
        <v>#N/A</v>
      </c>
    </row>
    <row r="1100" spans="1:17">
      <c r="A1100" s="28"/>
      <c r="B1100" s="28"/>
      <c r="C1100" s="28"/>
      <c r="D1100" s="28"/>
      <c r="E1100" s="28"/>
      <c r="F1100" s="28"/>
      <c r="G1100" s="26" t="str">
        <f t="shared" si="136"/>
        <v/>
      </c>
      <c r="H1100" s="26" t="str">
        <f t="shared" si="143"/>
        <v/>
      </c>
      <c r="I1100" s="26" t="str">
        <f t="shared" si="137"/>
        <v/>
      </c>
      <c r="J1100" t="str">
        <f t="shared" si="138"/>
        <v/>
      </c>
      <c r="K1100" s="26" t="str">
        <f t="shared" si="139"/>
        <v/>
      </c>
      <c r="L1100" s="26" t="str">
        <f t="shared" si="140"/>
        <v/>
      </c>
      <c r="P1100" t="e">
        <f t="shared" si="141"/>
        <v>#N/A</v>
      </c>
      <c r="Q1100" t="e">
        <f t="shared" si="142"/>
        <v>#N/A</v>
      </c>
    </row>
    <row r="1101" spans="1:17">
      <c r="A1101" s="28"/>
      <c r="B1101" s="28"/>
      <c r="C1101" s="28"/>
      <c r="D1101" s="28"/>
      <c r="E1101" s="28"/>
      <c r="F1101" s="28"/>
      <c r="G1101" s="26" t="str">
        <f t="shared" si="136"/>
        <v/>
      </c>
      <c r="H1101" s="26" t="str">
        <f t="shared" si="143"/>
        <v/>
      </c>
      <c r="I1101" s="26" t="str">
        <f t="shared" si="137"/>
        <v/>
      </c>
      <c r="J1101" t="str">
        <f t="shared" si="138"/>
        <v/>
      </c>
      <c r="K1101" s="26" t="str">
        <f t="shared" si="139"/>
        <v/>
      </c>
      <c r="L1101" s="26" t="str">
        <f t="shared" si="140"/>
        <v/>
      </c>
      <c r="P1101" t="e">
        <f t="shared" si="141"/>
        <v>#N/A</v>
      </c>
      <c r="Q1101" t="e">
        <f t="shared" si="142"/>
        <v>#N/A</v>
      </c>
    </row>
    <row r="1102" spans="1:17">
      <c r="A1102" s="28"/>
      <c r="B1102" s="28"/>
      <c r="C1102" s="28"/>
      <c r="D1102" s="28"/>
      <c r="E1102" s="28"/>
      <c r="F1102" s="28"/>
      <c r="G1102" s="26" t="str">
        <f t="shared" si="136"/>
        <v/>
      </c>
      <c r="H1102" s="26" t="str">
        <f t="shared" si="143"/>
        <v/>
      </c>
      <c r="I1102" s="26" t="str">
        <f t="shared" si="137"/>
        <v/>
      </c>
      <c r="J1102" t="str">
        <f t="shared" si="138"/>
        <v/>
      </c>
      <c r="K1102" s="26" t="str">
        <f t="shared" si="139"/>
        <v/>
      </c>
      <c r="L1102" s="26" t="str">
        <f t="shared" si="140"/>
        <v/>
      </c>
      <c r="P1102" t="e">
        <f t="shared" si="141"/>
        <v>#N/A</v>
      </c>
      <c r="Q1102" t="e">
        <f t="shared" si="142"/>
        <v>#N/A</v>
      </c>
    </row>
    <row r="1103" spans="1:17">
      <c r="A1103" s="28"/>
      <c r="B1103" s="28"/>
      <c r="C1103" s="28"/>
      <c r="D1103" s="28"/>
      <c r="E1103" s="28"/>
      <c r="F1103" s="28"/>
      <c r="G1103" s="26" t="str">
        <f t="shared" si="136"/>
        <v/>
      </c>
      <c r="H1103" s="26" t="str">
        <f t="shared" si="143"/>
        <v/>
      </c>
      <c r="I1103" s="26" t="str">
        <f t="shared" si="137"/>
        <v/>
      </c>
      <c r="J1103" t="str">
        <f t="shared" si="138"/>
        <v/>
      </c>
      <c r="K1103" s="26" t="str">
        <f t="shared" si="139"/>
        <v/>
      </c>
      <c r="L1103" s="26" t="str">
        <f t="shared" si="140"/>
        <v/>
      </c>
      <c r="P1103" t="e">
        <f t="shared" si="141"/>
        <v>#N/A</v>
      </c>
      <c r="Q1103" t="e">
        <f t="shared" si="142"/>
        <v>#N/A</v>
      </c>
    </row>
    <row r="1104" spans="1:17">
      <c r="A1104" s="28"/>
      <c r="B1104" s="28"/>
      <c r="C1104" s="28"/>
      <c r="D1104" s="28"/>
      <c r="E1104" s="28"/>
      <c r="F1104" s="28"/>
      <c r="G1104" s="26" t="str">
        <f t="shared" si="136"/>
        <v/>
      </c>
      <c r="H1104" s="26" t="str">
        <f t="shared" si="143"/>
        <v/>
      </c>
      <c r="I1104" s="26" t="str">
        <f t="shared" si="137"/>
        <v/>
      </c>
      <c r="J1104" t="str">
        <f t="shared" si="138"/>
        <v/>
      </c>
      <c r="K1104" s="26" t="str">
        <f t="shared" si="139"/>
        <v/>
      </c>
      <c r="L1104" s="26" t="str">
        <f t="shared" si="140"/>
        <v/>
      </c>
      <c r="P1104" t="e">
        <f t="shared" si="141"/>
        <v>#N/A</v>
      </c>
      <c r="Q1104" t="e">
        <f t="shared" si="142"/>
        <v>#N/A</v>
      </c>
    </row>
    <row r="1105" spans="1:17">
      <c r="A1105" s="28"/>
      <c r="B1105" s="28"/>
      <c r="C1105" s="28"/>
      <c r="D1105" s="28"/>
      <c r="E1105" s="28"/>
      <c r="F1105" s="28"/>
      <c r="G1105" s="26" t="str">
        <f t="shared" si="136"/>
        <v/>
      </c>
      <c r="H1105" s="26" t="str">
        <f t="shared" si="143"/>
        <v/>
      </c>
      <c r="I1105" s="26" t="str">
        <f t="shared" si="137"/>
        <v/>
      </c>
      <c r="J1105" t="str">
        <f t="shared" si="138"/>
        <v/>
      </c>
      <c r="K1105" s="26" t="str">
        <f t="shared" si="139"/>
        <v/>
      </c>
      <c r="L1105" s="26" t="str">
        <f t="shared" si="140"/>
        <v/>
      </c>
      <c r="P1105" t="e">
        <f t="shared" si="141"/>
        <v>#N/A</v>
      </c>
      <c r="Q1105" t="e">
        <f t="shared" si="142"/>
        <v>#N/A</v>
      </c>
    </row>
    <row r="1106" spans="1:17">
      <c r="A1106" s="28"/>
      <c r="B1106" s="28"/>
      <c r="C1106" s="28"/>
      <c r="D1106" s="28"/>
      <c r="E1106" s="28"/>
      <c r="F1106" s="28"/>
      <c r="G1106" s="26" t="str">
        <f t="shared" si="136"/>
        <v/>
      </c>
      <c r="H1106" s="26" t="str">
        <f t="shared" si="143"/>
        <v/>
      </c>
      <c r="I1106" s="26" t="str">
        <f t="shared" si="137"/>
        <v/>
      </c>
      <c r="J1106" t="str">
        <f t="shared" si="138"/>
        <v/>
      </c>
      <c r="K1106" s="26" t="str">
        <f t="shared" si="139"/>
        <v/>
      </c>
      <c r="L1106" s="26" t="str">
        <f t="shared" si="140"/>
        <v/>
      </c>
      <c r="P1106" t="e">
        <f t="shared" si="141"/>
        <v>#N/A</v>
      </c>
      <c r="Q1106" t="e">
        <f t="shared" si="142"/>
        <v>#N/A</v>
      </c>
    </row>
    <row r="1107" spans="1:17">
      <c r="A1107" s="28"/>
      <c r="B1107" s="28"/>
      <c r="C1107" s="28"/>
      <c r="D1107" s="28"/>
      <c r="E1107" s="28"/>
      <c r="F1107" s="28"/>
      <c r="G1107" s="26" t="str">
        <f t="shared" si="136"/>
        <v/>
      </c>
      <c r="H1107" s="26" t="str">
        <f t="shared" si="143"/>
        <v/>
      </c>
      <c r="I1107" s="26" t="str">
        <f t="shared" si="137"/>
        <v/>
      </c>
      <c r="J1107" t="str">
        <f t="shared" si="138"/>
        <v/>
      </c>
      <c r="K1107" s="26" t="str">
        <f t="shared" si="139"/>
        <v/>
      </c>
      <c r="L1107" s="26" t="str">
        <f t="shared" si="140"/>
        <v/>
      </c>
      <c r="P1107" t="e">
        <f t="shared" si="141"/>
        <v>#N/A</v>
      </c>
      <c r="Q1107" t="e">
        <f t="shared" si="142"/>
        <v>#N/A</v>
      </c>
    </row>
    <row r="1108" spans="1:17">
      <c r="A1108" s="28"/>
      <c r="B1108" s="28"/>
      <c r="C1108" s="28"/>
      <c r="D1108" s="28"/>
      <c r="E1108" s="28"/>
      <c r="F1108" s="28"/>
      <c r="G1108" s="26" t="str">
        <f t="shared" si="136"/>
        <v/>
      </c>
      <c r="H1108" s="26" t="str">
        <f t="shared" si="143"/>
        <v/>
      </c>
      <c r="I1108" s="26" t="str">
        <f t="shared" si="137"/>
        <v/>
      </c>
      <c r="J1108" t="str">
        <f t="shared" si="138"/>
        <v/>
      </c>
      <c r="K1108" s="26" t="str">
        <f t="shared" si="139"/>
        <v/>
      </c>
      <c r="L1108" s="26" t="str">
        <f t="shared" si="140"/>
        <v/>
      </c>
      <c r="P1108" t="e">
        <f t="shared" si="141"/>
        <v>#N/A</v>
      </c>
      <c r="Q1108" t="e">
        <f t="shared" si="142"/>
        <v>#N/A</v>
      </c>
    </row>
    <row r="1109" spans="1:17">
      <c r="A1109" s="28"/>
      <c r="B1109" s="28"/>
      <c r="C1109" s="28"/>
      <c r="D1109" s="28"/>
      <c r="E1109" s="28"/>
      <c r="F1109" s="28"/>
      <c r="G1109" s="26" t="str">
        <f t="shared" si="136"/>
        <v/>
      </c>
      <c r="H1109" s="26" t="str">
        <f t="shared" si="143"/>
        <v/>
      </c>
      <c r="I1109" s="26" t="str">
        <f t="shared" si="137"/>
        <v/>
      </c>
      <c r="J1109" t="str">
        <f t="shared" si="138"/>
        <v/>
      </c>
      <c r="K1109" s="26" t="str">
        <f t="shared" si="139"/>
        <v/>
      </c>
      <c r="L1109" s="26" t="str">
        <f t="shared" si="140"/>
        <v/>
      </c>
      <c r="P1109" t="e">
        <f t="shared" si="141"/>
        <v>#N/A</v>
      </c>
      <c r="Q1109" t="e">
        <f t="shared" si="142"/>
        <v>#N/A</v>
      </c>
    </row>
    <row r="1110" spans="1:17">
      <c r="A1110" s="28"/>
      <c r="B1110" s="28"/>
      <c r="C1110" s="28"/>
      <c r="D1110" s="28"/>
      <c r="E1110" s="28"/>
      <c r="F1110" s="28"/>
      <c r="G1110" s="26" t="str">
        <f t="shared" si="136"/>
        <v/>
      </c>
      <c r="H1110" s="26" t="str">
        <f t="shared" si="143"/>
        <v/>
      </c>
      <c r="I1110" s="26" t="str">
        <f t="shared" si="137"/>
        <v/>
      </c>
      <c r="J1110" t="str">
        <f t="shared" si="138"/>
        <v/>
      </c>
      <c r="K1110" s="26" t="str">
        <f t="shared" si="139"/>
        <v/>
      </c>
      <c r="L1110" s="26" t="str">
        <f t="shared" si="140"/>
        <v/>
      </c>
      <c r="P1110" t="e">
        <f t="shared" si="141"/>
        <v>#N/A</v>
      </c>
      <c r="Q1110" t="e">
        <f t="shared" si="142"/>
        <v>#N/A</v>
      </c>
    </row>
    <row r="1111" spans="1:17">
      <c r="A1111" s="28"/>
      <c r="B1111" s="28"/>
      <c r="C1111" s="28"/>
      <c r="D1111" s="28"/>
      <c r="E1111" s="28"/>
      <c r="F1111" s="28"/>
      <c r="G1111" s="26" t="str">
        <f t="shared" si="136"/>
        <v/>
      </c>
      <c r="H1111" s="26" t="str">
        <f t="shared" si="143"/>
        <v/>
      </c>
      <c r="I1111" s="26" t="str">
        <f t="shared" si="137"/>
        <v/>
      </c>
      <c r="J1111" t="str">
        <f t="shared" si="138"/>
        <v/>
      </c>
      <c r="K1111" s="26" t="str">
        <f t="shared" si="139"/>
        <v/>
      </c>
      <c r="L1111" s="26" t="str">
        <f t="shared" si="140"/>
        <v/>
      </c>
      <c r="P1111" t="e">
        <f t="shared" si="141"/>
        <v>#N/A</v>
      </c>
      <c r="Q1111" t="e">
        <f t="shared" si="142"/>
        <v>#N/A</v>
      </c>
    </row>
    <row r="1112" spans="1:17">
      <c r="A1112" s="28"/>
      <c r="B1112" s="28"/>
      <c r="C1112" s="28"/>
      <c r="D1112" s="28"/>
      <c r="E1112" s="28"/>
      <c r="F1112" s="28"/>
      <c r="G1112" s="26" t="str">
        <f t="shared" si="136"/>
        <v/>
      </c>
      <c r="H1112" s="26" t="str">
        <f t="shared" si="143"/>
        <v/>
      </c>
      <c r="I1112" s="26" t="str">
        <f t="shared" si="137"/>
        <v/>
      </c>
      <c r="J1112" t="str">
        <f t="shared" si="138"/>
        <v/>
      </c>
      <c r="K1112" s="26" t="str">
        <f t="shared" si="139"/>
        <v/>
      </c>
      <c r="L1112" s="26" t="str">
        <f t="shared" si="140"/>
        <v/>
      </c>
      <c r="P1112" t="e">
        <f t="shared" si="141"/>
        <v>#N/A</v>
      </c>
      <c r="Q1112" t="e">
        <f t="shared" si="142"/>
        <v>#N/A</v>
      </c>
    </row>
    <row r="1113" spans="1:17">
      <c r="A1113" s="28"/>
      <c r="B1113" s="28"/>
      <c r="C1113" s="28"/>
      <c r="D1113" s="28"/>
      <c r="E1113" s="28"/>
      <c r="F1113" s="28"/>
      <c r="G1113" s="26" t="str">
        <f t="shared" si="136"/>
        <v/>
      </c>
      <c r="H1113" s="26" t="str">
        <f t="shared" si="143"/>
        <v/>
      </c>
      <c r="I1113" s="26" t="str">
        <f t="shared" si="137"/>
        <v/>
      </c>
      <c r="J1113" t="str">
        <f t="shared" si="138"/>
        <v/>
      </c>
      <c r="K1113" s="26" t="str">
        <f t="shared" si="139"/>
        <v/>
      </c>
      <c r="L1113" s="26" t="str">
        <f t="shared" si="140"/>
        <v/>
      </c>
      <c r="P1113" t="e">
        <f t="shared" si="141"/>
        <v>#N/A</v>
      </c>
      <c r="Q1113" t="e">
        <f t="shared" si="142"/>
        <v>#N/A</v>
      </c>
    </row>
    <row r="1114" spans="1:17">
      <c r="A1114" s="28"/>
      <c r="B1114" s="28"/>
      <c r="C1114" s="28"/>
      <c r="D1114" s="28"/>
      <c r="E1114" s="28"/>
      <c r="F1114" s="28"/>
      <c r="G1114" s="26" t="str">
        <f t="shared" si="136"/>
        <v/>
      </c>
      <c r="H1114" s="26" t="str">
        <f t="shared" si="143"/>
        <v/>
      </c>
      <c r="I1114" s="26" t="str">
        <f t="shared" si="137"/>
        <v/>
      </c>
      <c r="J1114" t="str">
        <f t="shared" si="138"/>
        <v/>
      </c>
      <c r="K1114" s="26" t="str">
        <f t="shared" si="139"/>
        <v/>
      </c>
      <c r="L1114" s="26" t="str">
        <f t="shared" si="140"/>
        <v/>
      </c>
      <c r="P1114" t="e">
        <f t="shared" si="141"/>
        <v>#N/A</v>
      </c>
      <c r="Q1114" t="e">
        <f t="shared" si="142"/>
        <v>#N/A</v>
      </c>
    </row>
    <row r="1115" spans="1:17">
      <c r="A1115" s="28"/>
      <c r="B1115" s="28"/>
      <c r="C1115" s="28"/>
      <c r="D1115" s="28"/>
      <c r="E1115" s="28"/>
      <c r="F1115" s="28"/>
      <c r="G1115" s="26" t="str">
        <f t="shared" si="136"/>
        <v/>
      </c>
      <c r="H1115" s="26" t="str">
        <f t="shared" si="143"/>
        <v/>
      </c>
      <c r="I1115" s="26" t="str">
        <f t="shared" si="137"/>
        <v/>
      </c>
      <c r="J1115" t="str">
        <f t="shared" si="138"/>
        <v/>
      </c>
      <c r="K1115" s="26" t="str">
        <f t="shared" si="139"/>
        <v/>
      </c>
      <c r="L1115" s="26" t="str">
        <f t="shared" si="140"/>
        <v/>
      </c>
      <c r="P1115" t="e">
        <f t="shared" si="141"/>
        <v>#N/A</v>
      </c>
      <c r="Q1115" t="e">
        <f t="shared" si="142"/>
        <v>#N/A</v>
      </c>
    </row>
    <row r="1116" spans="1:17">
      <c r="A1116" s="28"/>
      <c r="B1116" s="28"/>
      <c r="C1116" s="28"/>
      <c r="D1116" s="28"/>
      <c r="E1116" s="28"/>
      <c r="F1116" s="28"/>
      <c r="G1116" s="26" t="str">
        <f t="shared" si="136"/>
        <v/>
      </c>
      <c r="H1116" s="26" t="str">
        <f t="shared" si="143"/>
        <v/>
      </c>
      <c r="I1116" s="26" t="str">
        <f t="shared" si="137"/>
        <v/>
      </c>
      <c r="J1116" t="str">
        <f t="shared" si="138"/>
        <v/>
      </c>
      <c r="K1116" s="26" t="str">
        <f t="shared" si="139"/>
        <v/>
      </c>
      <c r="L1116" s="26" t="str">
        <f t="shared" si="140"/>
        <v/>
      </c>
      <c r="P1116" t="e">
        <f t="shared" si="141"/>
        <v>#N/A</v>
      </c>
      <c r="Q1116" t="e">
        <f t="shared" si="142"/>
        <v>#N/A</v>
      </c>
    </row>
    <row r="1117" spans="1:17">
      <c r="A1117" s="28"/>
      <c r="B1117" s="28"/>
      <c r="C1117" s="28"/>
      <c r="D1117" s="28"/>
      <c r="E1117" s="28"/>
      <c r="F1117" s="28"/>
      <c r="G1117" s="26" t="str">
        <f t="shared" si="136"/>
        <v/>
      </c>
      <c r="H1117" s="26" t="str">
        <f t="shared" si="143"/>
        <v/>
      </c>
      <c r="I1117" s="26" t="str">
        <f t="shared" si="137"/>
        <v/>
      </c>
      <c r="J1117" t="str">
        <f t="shared" si="138"/>
        <v/>
      </c>
      <c r="K1117" s="26" t="str">
        <f t="shared" si="139"/>
        <v/>
      </c>
      <c r="L1117" s="26" t="str">
        <f t="shared" si="140"/>
        <v/>
      </c>
      <c r="P1117" t="e">
        <f t="shared" si="141"/>
        <v>#N/A</v>
      </c>
      <c r="Q1117" t="e">
        <f t="shared" si="142"/>
        <v>#N/A</v>
      </c>
    </row>
    <row r="1118" spans="1:17">
      <c r="A1118" s="28"/>
      <c r="B1118" s="28"/>
      <c r="C1118" s="28"/>
      <c r="D1118" s="28"/>
      <c r="E1118" s="28"/>
      <c r="F1118" s="28"/>
      <c r="G1118" s="26" t="str">
        <f t="shared" si="136"/>
        <v/>
      </c>
      <c r="H1118" s="26" t="str">
        <f t="shared" si="143"/>
        <v/>
      </c>
      <c r="I1118" s="26" t="str">
        <f t="shared" si="137"/>
        <v/>
      </c>
      <c r="J1118" t="str">
        <f t="shared" si="138"/>
        <v/>
      </c>
      <c r="K1118" s="26" t="str">
        <f t="shared" si="139"/>
        <v/>
      </c>
      <c r="L1118" s="26" t="str">
        <f t="shared" si="140"/>
        <v/>
      </c>
      <c r="P1118" t="e">
        <f t="shared" si="141"/>
        <v>#N/A</v>
      </c>
      <c r="Q1118" t="e">
        <f t="shared" si="142"/>
        <v>#N/A</v>
      </c>
    </row>
    <row r="1119" spans="1:17">
      <c r="A1119" s="28"/>
      <c r="B1119" s="28"/>
      <c r="C1119" s="28"/>
      <c r="D1119" s="28"/>
      <c r="E1119" s="28"/>
      <c r="F1119" s="28"/>
      <c r="G1119" s="26" t="str">
        <f t="shared" si="136"/>
        <v/>
      </c>
      <c r="H1119" s="26" t="str">
        <f t="shared" si="143"/>
        <v/>
      </c>
      <c r="I1119" s="26" t="str">
        <f t="shared" si="137"/>
        <v/>
      </c>
      <c r="J1119" t="str">
        <f t="shared" si="138"/>
        <v/>
      </c>
      <c r="K1119" s="26" t="str">
        <f t="shared" si="139"/>
        <v/>
      </c>
      <c r="L1119" s="26" t="str">
        <f t="shared" si="140"/>
        <v/>
      </c>
      <c r="P1119" t="e">
        <f t="shared" si="141"/>
        <v>#N/A</v>
      </c>
      <c r="Q1119" t="e">
        <f t="shared" si="142"/>
        <v>#N/A</v>
      </c>
    </row>
    <row r="1120" spans="1:17">
      <c r="A1120" s="28"/>
      <c r="B1120" s="28"/>
      <c r="C1120" s="28"/>
      <c r="D1120" s="28"/>
      <c r="E1120" s="28"/>
      <c r="F1120" s="28"/>
      <c r="G1120" s="26" t="str">
        <f t="shared" si="136"/>
        <v/>
      </c>
      <c r="H1120" s="26" t="str">
        <f t="shared" si="143"/>
        <v/>
      </c>
      <c r="I1120" s="26" t="str">
        <f t="shared" si="137"/>
        <v/>
      </c>
      <c r="J1120" t="str">
        <f t="shared" si="138"/>
        <v/>
      </c>
      <c r="K1120" s="26" t="str">
        <f t="shared" si="139"/>
        <v/>
      </c>
      <c r="L1120" s="26" t="str">
        <f t="shared" si="140"/>
        <v/>
      </c>
      <c r="P1120" t="e">
        <f t="shared" si="141"/>
        <v>#N/A</v>
      </c>
      <c r="Q1120" t="e">
        <f t="shared" si="142"/>
        <v>#N/A</v>
      </c>
    </row>
    <row r="1121" spans="1:17">
      <c r="A1121" s="28"/>
      <c r="B1121" s="28"/>
      <c r="C1121" s="28"/>
      <c r="D1121" s="28"/>
      <c r="E1121" s="28"/>
      <c r="F1121" s="28"/>
      <c r="G1121" s="26" t="str">
        <f t="shared" si="136"/>
        <v/>
      </c>
      <c r="H1121" s="26" t="str">
        <f t="shared" si="143"/>
        <v/>
      </c>
      <c r="I1121" s="26" t="str">
        <f t="shared" si="137"/>
        <v/>
      </c>
      <c r="J1121" t="str">
        <f t="shared" si="138"/>
        <v/>
      </c>
      <c r="K1121" s="26" t="str">
        <f t="shared" si="139"/>
        <v/>
      </c>
      <c r="L1121" s="26" t="str">
        <f t="shared" si="140"/>
        <v/>
      </c>
      <c r="P1121" t="e">
        <f t="shared" si="141"/>
        <v>#N/A</v>
      </c>
      <c r="Q1121" t="e">
        <f t="shared" si="142"/>
        <v>#N/A</v>
      </c>
    </row>
    <row r="1122" spans="1:17">
      <c r="A1122" s="28"/>
      <c r="B1122" s="28"/>
      <c r="C1122" s="28"/>
      <c r="D1122" s="28"/>
      <c r="E1122" s="28"/>
      <c r="F1122" s="28"/>
      <c r="G1122" s="26" t="str">
        <f t="shared" si="136"/>
        <v/>
      </c>
      <c r="H1122" s="26" t="str">
        <f t="shared" si="143"/>
        <v/>
      </c>
      <c r="I1122" s="26" t="str">
        <f t="shared" si="137"/>
        <v/>
      </c>
      <c r="J1122" t="str">
        <f t="shared" si="138"/>
        <v/>
      </c>
      <c r="K1122" s="26" t="str">
        <f t="shared" si="139"/>
        <v/>
      </c>
      <c r="L1122" s="26" t="str">
        <f t="shared" si="140"/>
        <v/>
      </c>
      <c r="P1122" t="e">
        <f t="shared" si="141"/>
        <v>#N/A</v>
      </c>
      <c r="Q1122" t="e">
        <f t="shared" si="142"/>
        <v>#N/A</v>
      </c>
    </row>
    <row r="1123" spans="1:17">
      <c r="A1123" s="28"/>
      <c r="B1123" s="28"/>
      <c r="C1123" s="28"/>
      <c r="D1123" s="28"/>
      <c r="E1123" s="28"/>
      <c r="F1123" s="28"/>
      <c r="G1123" s="26" t="str">
        <f t="shared" si="136"/>
        <v/>
      </c>
      <c r="H1123" s="26" t="str">
        <f t="shared" si="143"/>
        <v/>
      </c>
      <c r="I1123" s="26" t="str">
        <f t="shared" si="137"/>
        <v/>
      </c>
      <c r="J1123" t="str">
        <f t="shared" si="138"/>
        <v/>
      </c>
      <c r="K1123" s="26" t="str">
        <f t="shared" si="139"/>
        <v/>
      </c>
      <c r="L1123" s="26" t="str">
        <f t="shared" si="140"/>
        <v/>
      </c>
      <c r="P1123" t="e">
        <f t="shared" si="141"/>
        <v>#N/A</v>
      </c>
      <c r="Q1123" t="e">
        <f t="shared" si="142"/>
        <v>#N/A</v>
      </c>
    </row>
    <row r="1124" spans="1:17">
      <c r="A1124" s="28"/>
      <c r="B1124" s="28"/>
      <c r="C1124" s="28"/>
      <c r="D1124" s="28"/>
      <c r="E1124" s="28"/>
      <c r="F1124" s="28"/>
      <c r="G1124" s="26" t="str">
        <f t="shared" si="136"/>
        <v/>
      </c>
      <c r="H1124" s="26" t="str">
        <f t="shared" si="143"/>
        <v/>
      </c>
      <c r="I1124" s="26" t="str">
        <f t="shared" si="137"/>
        <v/>
      </c>
      <c r="J1124" t="str">
        <f t="shared" si="138"/>
        <v/>
      </c>
      <c r="K1124" s="26" t="str">
        <f t="shared" si="139"/>
        <v/>
      </c>
      <c r="L1124" s="26" t="str">
        <f t="shared" si="140"/>
        <v/>
      </c>
      <c r="P1124" t="e">
        <f t="shared" si="141"/>
        <v>#N/A</v>
      </c>
      <c r="Q1124" t="e">
        <f t="shared" si="142"/>
        <v>#N/A</v>
      </c>
    </row>
    <row r="1125" spans="1:17">
      <c r="A1125" s="28"/>
      <c r="B1125" s="28"/>
      <c r="C1125" s="28"/>
      <c r="D1125" s="28"/>
      <c r="E1125" s="28"/>
      <c r="F1125" s="28"/>
      <c r="G1125" s="26" t="str">
        <f t="shared" si="136"/>
        <v/>
      </c>
      <c r="H1125" s="26" t="str">
        <f t="shared" si="143"/>
        <v/>
      </c>
      <c r="I1125" s="26" t="str">
        <f t="shared" si="137"/>
        <v/>
      </c>
      <c r="J1125" t="str">
        <f t="shared" si="138"/>
        <v/>
      </c>
      <c r="K1125" s="26" t="str">
        <f t="shared" si="139"/>
        <v/>
      </c>
      <c r="L1125" s="26" t="str">
        <f t="shared" si="140"/>
        <v/>
      </c>
      <c r="P1125" t="e">
        <f t="shared" si="141"/>
        <v>#N/A</v>
      </c>
      <c r="Q1125" t="e">
        <f t="shared" si="142"/>
        <v>#N/A</v>
      </c>
    </row>
    <row r="1126" spans="1:17">
      <c r="A1126" s="28"/>
      <c r="B1126" s="28"/>
      <c r="C1126" s="28"/>
      <c r="D1126" s="28"/>
      <c r="E1126" s="28"/>
      <c r="F1126" s="28"/>
      <c r="G1126" s="26" t="str">
        <f t="shared" si="136"/>
        <v/>
      </c>
      <c r="H1126" s="26" t="str">
        <f t="shared" si="143"/>
        <v/>
      </c>
      <c r="I1126" s="26" t="str">
        <f t="shared" si="137"/>
        <v/>
      </c>
      <c r="J1126" t="str">
        <f t="shared" si="138"/>
        <v/>
      </c>
      <c r="K1126" s="26" t="str">
        <f t="shared" si="139"/>
        <v/>
      </c>
      <c r="L1126" s="26" t="str">
        <f t="shared" si="140"/>
        <v/>
      </c>
      <c r="P1126" t="e">
        <f t="shared" si="141"/>
        <v>#N/A</v>
      </c>
      <c r="Q1126" t="e">
        <f t="shared" si="142"/>
        <v>#N/A</v>
      </c>
    </row>
    <row r="1127" spans="1:17">
      <c r="A1127" s="28"/>
      <c r="B1127" s="28"/>
      <c r="C1127" s="28"/>
      <c r="D1127" s="28"/>
      <c r="E1127" s="28"/>
      <c r="F1127" s="28"/>
      <c r="G1127" s="26" t="str">
        <f t="shared" si="136"/>
        <v/>
      </c>
      <c r="H1127" s="26" t="str">
        <f t="shared" si="143"/>
        <v/>
      </c>
      <c r="I1127" s="26" t="str">
        <f t="shared" si="137"/>
        <v/>
      </c>
      <c r="J1127" t="str">
        <f t="shared" si="138"/>
        <v/>
      </c>
      <c r="K1127" s="26" t="str">
        <f t="shared" si="139"/>
        <v/>
      </c>
      <c r="L1127" s="26" t="str">
        <f t="shared" si="140"/>
        <v/>
      </c>
      <c r="P1127" t="e">
        <f t="shared" si="141"/>
        <v>#N/A</v>
      </c>
      <c r="Q1127" t="e">
        <f t="shared" si="142"/>
        <v>#N/A</v>
      </c>
    </row>
    <row r="1128" spans="1:17">
      <c r="A1128" s="28"/>
      <c r="B1128" s="28"/>
      <c r="C1128" s="28"/>
      <c r="D1128" s="28"/>
      <c r="E1128" s="28"/>
      <c r="F1128" s="28"/>
      <c r="G1128" s="26" t="str">
        <f t="shared" si="136"/>
        <v/>
      </c>
      <c r="H1128" s="26" t="str">
        <f t="shared" si="143"/>
        <v/>
      </c>
      <c r="I1128" s="26" t="str">
        <f t="shared" si="137"/>
        <v/>
      </c>
      <c r="J1128" t="str">
        <f t="shared" si="138"/>
        <v/>
      </c>
      <c r="K1128" s="26" t="str">
        <f t="shared" si="139"/>
        <v/>
      </c>
      <c r="L1128" s="26" t="str">
        <f t="shared" si="140"/>
        <v/>
      </c>
      <c r="P1128" t="e">
        <f t="shared" si="141"/>
        <v>#N/A</v>
      </c>
      <c r="Q1128" t="e">
        <f t="shared" si="142"/>
        <v>#N/A</v>
      </c>
    </row>
    <row r="1129" spans="1:17">
      <c r="A1129" s="28"/>
      <c r="B1129" s="28"/>
      <c r="C1129" s="28"/>
      <c r="D1129" s="28"/>
      <c r="E1129" s="28"/>
      <c r="F1129" s="28"/>
      <c r="G1129" s="26" t="str">
        <f t="shared" si="136"/>
        <v/>
      </c>
      <c r="H1129" s="26" t="str">
        <f t="shared" si="143"/>
        <v/>
      </c>
      <c r="I1129" s="26" t="str">
        <f t="shared" si="137"/>
        <v/>
      </c>
      <c r="J1129" t="str">
        <f t="shared" si="138"/>
        <v/>
      </c>
      <c r="K1129" s="26" t="str">
        <f t="shared" si="139"/>
        <v/>
      </c>
      <c r="L1129" s="26" t="str">
        <f t="shared" si="140"/>
        <v/>
      </c>
      <c r="P1129" t="e">
        <f t="shared" si="141"/>
        <v>#N/A</v>
      </c>
      <c r="Q1129" t="e">
        <f t="shared" si="142"/>
        <v>#N/A</v>
      </c>
    </row>
    <row r="1130" spans="1:17">
      <c r="A1130" s="28"/>
      <c r="B1130" s="28"/>
      <c r="C1130" s="28"/>
      <c r="D1130" s="28"/>
      <c r="E1130" s="28"/>
      <c r="F1130" s="28"/>
      <c r="G1130" s="26" t="str">
        <f t="shared" si="136"/>
        <v/>
      </c>
      <c r="H1130" s="26" t="str">
        <f t="shared" si="143"/>
        <v/>
      </c>
      <c r="I1130" s="26" t="str">
        <f t="shared" si="137"/>
        <v/>
      </c>
      <c r="J1130" t="str">
        <f t="shared" si="138"/>
        <v/>
      </c>
      <c r="K1130" s="26" t="str">
        <f t="shared" si="139"/>
        <v/>
      </c>
      <c r="L1130" s="26" t="str">
        <f t="shared" si="140"/>
        <v/>
      </c>
      <c r="P1130" t="e">
        <f t="shared" si="141"/>
        <v>#N/A</v>
      </c>
      <c r="Q1130" t="e">
        <f t="shared" si="142"/>
        <v>#N/A</v>
      </c>
    </row>
    <row r="1131" spans="1:17">
      <c r="A1131" s="28"/>
      <c r="B1131" s="28"/>
      <c r="C1131" s="28"/>
      <c r="D1131" s="28"/>
      <c r="E1131" s="28"/>
      <c r="F1131" s="28"/>
      <c r="G1131" s="26" t="str">
        <f t="shared" si="136"/>
        <v/>
      </c>
      <c r="H1131" s="26" t="str">
        <f t="shared" si="143"/>
        <v/>
      </c>
      <c r="I1131" s="26" t="str">
        <f t="shared" si="137"/>
        <v/>
      </c>
      <c r="J1131" t="str">
        <f t="shared" si="138"/>
        <v/>
      </c>
      <c r="K1131" s="26" t="str">
        <f t="shared" si="139"/>
        <v/>
      </c>
      <c r="L1131" s="26" t="str">
        <f t="shared" si="140"/>
        <v/>
      </c>
      <c r="P1131" t="e">
        <f t="shared" si="141"/>
        <v>#N/A</v>
      </c>
      <c r="Q1131" t="e">
        <f t="shared" si="142"/>
        <v>#N/A</v>
      </c>
    </row>
    <row r="1132" spans="1:17">
      <c r="A1132" s="28"/>
      <c r="B1132" s="28"/>
      <c r="C1132" s="28"/>
      <c r="D1132" s="28"/>
      <c r="E1132" s="28"/>
      <c r="F1132" s="28"/>
      <c r="G1132" s="26" t="str">
        <f t="shared" si="136"/>
        <v/>
      </c>
      <c r="H1132" s="26" t="str">
        <f t="shared" si="143"/>
        <v/>
      </c>
      <c r="I1132" s="26" t="str">
        <f t="shared" si="137"/>
        <v/>
      </c>
      <c r="J1132" t="str">
        <f t="shared" si="138"/>
        <v/>
      </c>
      <c r="K1132" s="26" t="str">
        <f t="shared" si="139"/>
        <v/>
      </c>
      <c r="L1132" s="26" t="str">
        <f t="shared" si="140"/>
        <v/>
      </c>
      <c r="P1132" t="e">
        <f t="shared" si="141"/>
        <v>#N/A</v>
      </c>
      <c r="Q1132" t="e">
        <f t="shared" si="142"/>
        <v>#N/A</v>
      </c>
    </row>
    <row r="1133" spans="1:17">
      <c r="A1133" s="28"/>
      <c r="B1133" s="28"/>
      <c r="C1133" s="28"/>
      <c r="D1133" s="28"/>
      <c r="E1133" s="28"/>
      <c r="F1133" s="28"/>
      <c r="G1133" s="26" t="str">
        <f t="shared" si="136"/>
        <v/>
      </c>
      <c r="H1133" s="26" t="str">
        <f t="shared" si="143"/>
        <v/>
      </c>
      <c r="I1133" s="26" t="str">
        <f t="shared" si="137"/>
        <v/>
      </c>
      <c r="J1133" t="str">
        <f t="shared" si="138"/>
        <v/>
      </c>
      <c r="K1133" s="26" t="str">
        <f t="shared" si="139"/>
        <v/>
      </c>
      <c r="L1133" s="26" t="str">
        <f t="shared" si="140"/>
        <v/>
      </c>
      <c r="P1133" t="e">
        <f t="shared" si="141"/>
        <v>#N/A</v>
      </c>
      <c r="Q1133" t="e">
        <f t="shared" si="142"/>
        <v>#N/A</v>
      </c>
    </row>
    <row r="1134" spans="1:17">
      <c r="A1134" s="28"/>
      <c r="B1134" s="28"/>
      <c r="C1134" s="28"/>
      <c r="D1134" s="28"/>
      <c r="E1134" s="28"/>
      <c r="F1134" s="28"/>
      <c r="G1134" s="26" t="str">
        <f t="shared" si="136"/>
        <v/>
      </c>
      <c r="H1134" s="26" t="str">
        <f t="shared" si="143"/>
        <v/>
      </c>
      <c r="I1134" s="26" t="str">
        <f t="shared" si="137"/>
        <v/>
      </c>
      <c r="J1134" t="str">
        <f t="shared" si="138"/>
        <v/>
      </c>
      <c r="K1134" s="26" t="str">
        <f t="shared" si="139"/>
        <v/>
      </c>
      <c r="L1134" s="26" t="str">
        <f t="shared" si="140"/>
        <v/>
      </c>
      <c r="P1134" t="e">
        <f t="shared" si="141"/>
        <v>#N/A</v>
      </c>
      <c r="Q1134" t="e">
        <f t="shared" si="142"/>
        <v>#N/A</v>
      </c>
    </row>
    <row r="1135" spans="1:17">
      <c r="A1135" s="28"/>
      <c r="B1135" s="28"/>
      <c r="C1135" s="28"/>
      <c r="D1135" s="28"/>
      <c r="E1135" s="28"/>
      <c r="F1135" s="28"/>
      <c r="G1135" s="26" t="str">
        <f t="shared" si="136"/>
        <v/>
      </c>
      <c r="H1135" s="26" t="str">
        <f t="shared" si="143"/>
        <v/>
      </c>
      <c r="I1135" s="26" t="str">
        <f t="shared" si="137"/>
        <v/>
      </c>
      <c r="J1135" t="str">
        <f t="shared" si="138"/>
        <v/>
      </c>
      <c r="K1135" s="26" t="str">
        <f t="shared" si="139"/>
        <v/>
      </c>
      <c r="L1135" s="26" t="str">
        <f t="shared" si="140"/>
        <v/>
      </c>
      <c r="P1135" t="e">
        <f t="shared" si="141"/>
        <v>#N/A</v>
      </c>
      <c r="Q1135" t="e">
        <f t="shared" si="142"/>
        <v>#N/A</v>
      </c>
    </row>
    <row r="1136" spans="1:17">
      <c r="A1136" s="28"/>
      <c r="B1136" s="28"/>
      <c r="C1136" s="28"/>
      <c r="D1136" s="28"/>
      <c r="E1136" s="28"/>
      <c r="F1136" s="28"/>
      <c r="G1136" s="26" t="str">
        <f t="shared" si="136"/>
        <v/>
      </c>
      <c r="H1136" s="26" t="str">
        <f t="shared" si="143"/>
        <v/>
      </c>
      <c r="I1136" s="26" t="str">
        <f t="shared" si="137"/>
        <v/>
      </c>
      <c r="J1136" t="str">
        <f t="shared" si="138"/>
        <v/>
      </c>
      <c r="K1136" s="26" t="str">
        <f t="shared" si="139"/>
        <v/>
      </c>
      <c r="L1136" s="26" t="str">
        <f t="shared" si="140"/>
        <v/>
      </c>
      <c r="P1136" t="e">
        <f t="shared" si="141"/>
        <v>#N/A</v>
      </c>
      <c r="Q1136" t="e">
        <f t="shared" si="142"/>
        <v>#N/A</v>
      </c>
    </row>
    <row r="1137" spans="1:17">
      <c r="A1137" s="28"/>
      <c r="B1137" s="28"/>
      <c r="C1137" s="28"/>
      <c r="D1137" s="28"/>
      <c r="E1137" s="28"/>
      <c r="F1137" s="28"/>
      <c r="G1137" s="26" t="str">
        <f t="shared" si="136"/>
        <v/>
      </c>
      <c r="H1137" s="26" t="str">
        <f t="shared" si="143"/>
        <v/>
      </c>
      <c r="I1137" s="26" t="str">
        <f t="shared" si="137"/>
        <v/>
      </c>
      <c r="J1137" t="str">
        <f t="shared" si="138"/>
        <v/>
      </c>
      <c r="K1137" s="26" t="str">
        <f t="shared" si="139"/>
        <v/>
      </c>
      <c r="L1137" s="26" t="str">
        <f t="shared" si="140"/>
        <v/>
      </c>
      <c r="P1137" t="e">
        <f t="shared" si="141"/>
        <v>#N/A</v>
      </c>
      <c r="Q1137" t="e">
        <f t="shared" si="142"/>
        <v>#N/A</v>
      </c>
    </row>
    <row r="1138" spans="1:17">
      <c r="A1138" s="28"/>
      <c r="B1138" s="28"/>
      <c r="C1138" s="28"/>
      <c r="D1138" s="28"/>
      <c r="E1138" s="28"/>
      <c r="F1138" s="28"/>
      <c r="G1138" s="26" t="str">
        <f t="shared" si="136"/>
        <v/>
      </c>
      <c r="H1138" s="26" t="str">
        <f t="shared" si="143"/>
        <v/>
      </c>
      <c r="I1138" s="26" t="str">
        <f t="shared" si="137"/>
        <v/>
      </c>
      <c r="J1138" t="str">
        <f t="shared" si="138"/>
        <v/>
      </c>
      <c r="K1138" s="26" t="str">
        <f t="shared" si="139"/>
        <v/>
      </c>
      <c r="L1138" s="26" t="str">
        <f t="shared" si="140"/>
        <v/>
      </c>
      <c r="P1138" t="e">
        <f t="shared" si="141"/>
        <v>#N/A</v>
      </c>
      <c r="Q1138" t="e">
        <f t="shared" si="142"/>
        <v>#N/A</v>
      </c>
    </row>
    <row r="1139" spans="1:17">
      <c r="A1139" s="28"/>
      <c r="B1139" s="28"/>
      <c r="C1139" s="28"/>
      <c r="D1139" s="28"/>
      <c r="E1139" s="28"/>
      <c r="F1139" s="28"/>
      <c r="G1139" s="26" t="str">
        <f t="shared" si="136"/>
        <v/>
      </c>
      <c r="H1139" s="26" t="str">
        <f t="shared" si="143"/>
        <v/>
      </c>
      <c r="I1139" s="26" t="str">
        <f t="shared" si="137"/>
        <v/>
      </c>
      <c r="J1139" t="str">
        <f t="shared" si="138"/>
        <v/>
      </c>
      <c r="K1139" s="26" t="str">
        <f t="shared" si="139"/>
        <v/>
      </c>
      <c r="L1139" s="26" t="str">
        <f t="shared" si="140"/>
        <v/>
      </c>
      <c r="P1139" t="e">
        <f t="shared" si="141"/>
        <v>#N/A</v>
      </c>
      <c r="Q1139" t="e">
        <f t="shared" si="142"/>
        <v>#N/A</v>
      </c>
    </row>
    <row r="1140" spans="1:17">
      <c r="A1140" s="28"/>
      <c r="B1140" s="28"/>
      <c r="C1140" s="28"/>
      <c r="D1140" s="28"/>
      <c r="E1140" s="28"/>
      <c r="F1140" s="28"/>
      <c r="G1140" s="26" t="str">
        <f t="shared" si="136"/>
        <v/>
      </c>
      <c r="H1140" s="26" t="str">
        <f t="shared" si="143"/>
        <v/>
      </c>
      <c r="I1140" s="26" t="str">
        <f t="shared" si="137"/>
        <v/>
      </c>
      <c r="J1140" t="str">
        <f t="shared" si="138"/>
        <v/>
      </c>
      <c r="K1140" s="26" t="str">
        <f t="shared" si="139"/>
        <v/>
      </c>
      <c r="L1140" s="26" t="str">
        <f t="shared" si="140"/>
        <v/>
      </c>
      <c r="P1140" t="e">
        <f t="shared" si="141"/>
        <v>#N/A</v>
      </c>
      <c r="Q1140" t="e">
        <f t="shared" si="142"/>
        <v>#N/A</v>
      </c>
    </row>
    <row r="1141" spans="1:17">
      <c r="A1141" s="28"/>
      <c r="B1141" s="28"/>
      <c r="C1141" s="28"/>
      <c r="D1141" s="28"/>
      <c r="E1141" s="28"/>
      <c r="F1141" s="28"/>
      <c r="G1141" s="26" t="str">
        <f t="shared" si="136"/>
        <v/>
      </c>
      <c r="H1141" s="26" t="str">
        <f t="shared" si="143"/>
        <v/>
      </c>
      <c r="I1141" s="26" t="str">
        <f t="shared" si="137"/>
        <v/>
      </c>
      <c r="J1141" t="str">
        <f t="shared" si="138"/>
        <v/>
      </c>
      <c r="K1141" s="26" t="str">
        <f t="shared" si="139"/>
        <v/>
      </c>
      <c r="L1141" s="26" t="str">
        <f t="shared" si="140"/>
        <v/>
      </c>
      <c r="P1141" t="e">
        <f t="shared" si="141"/>
        <v>#N/A</v>
      </c>
      <c r="Q1141" t="e">
        <f t="shared" si="142"/>
        <v>#N/A</v>
      </c>
    </row>
    <row r="1142" spans="1:17">
      <c r="A1142" s="28"/>
      <c r="B1142" s="28"/>
      <c r="C1142" s="28"/>
      <c r="D1142" s="28"/>
      <c r="E1142" s="28"/>
      <c r="F1142" s="28"/>
      <c r="G1142" s="26" t="str">
        <f t="shared" si="136"/>
        <v/>
      </c>
      <c r="H1142" s="26" t="str">
        <f t="shared" si="143"/>
        <v/>
      </c>
      <c r="I1142" s="26" t="str">
        <f t="shared" si="137"/>
        <v/>
      </c>
      <c r="J1142" t="str">
        <f t="shared" si="138"/>
        <v/>
      </c>
      <c r="K1142" s="26" t="str">
        <f t="shared" si="139"/>
        <v/>
      </c>
      <c r="L1142" s="26" t="str">
        <f t="shared" si="140"/>
        <v/>
      </c>
      <c r="P1142" t="e">
        <f t="shared" si="141"/>
        <v>#N/A</v>
      </c>
      <c r="Q1142" t="e">
        <f t="shared" si="142"/>
        <v>#N/A</v>
      </c>
    </row>
    <row r="1143" spans="1:17">
      <c r="A1143" s="28"/>
      <c r="B1143" s="28"/>
      <c r="C1143" s="28"/>
      <c r="D1143" s="28"/>
      <c r="E1143" s="28"/>
      <c r="F1143" s="28"/>
      <c r="G1143" s="26" t="str">
        <f t="shared" si="136"/>
        <v/>
      </c>
      <c r="H1143" s="26" t="str">
        <f t="shared" si="143"/>
        <v/>
      </c>
      <c r="I1143" s="26" t="str">
        <f t="shared" si="137"/>
        <v/>
      </c>
      <c r="J1143" t="str">
        <f t="shared" si="138"/>
        <v/>
      </c>
      <c r="K1143" s="26" t="str">
        <f t="shared" si="139"/>
        <v/>
      </c>
      <c r="L1143" s="26" t="str">
        <f t="shared" si="140"/>
        <v/>
      </c>
      <c r="P1143" t="e">
        <f t="shared" si="141"/>
        <v>#N/A</v>
      </c>
      <c r="Q1143" t="e">
        <f t="shared" si="142"/>
        <v>#N/A</v>
      </c>
    </row>
    <row r="1144" spans="1:17">
      <c r="A1144" s="28"/>
      <c r="B1144" s="28"/>
      <c r="C1144" s="28"/>
      <c r="D1144" s="28"/>
      <c r="E1144" s="28"/>
      <c r="F1144" s="28"/>
      <c r="G1144" s="26" t="str">
        <f t="shared" si="136"/>
        <v/>
      </c>
      <c r="H1144" s="26" t="str">
        <f t="shared" si="143"/>
        <v/>
      </c>
      <c r="I1144" s="26" t="str">
        <f t="shared" si="137"/>
        <v/>
      </c>
      <c r="J1144" t="str">
        <f t="shared" si="138"/>
        <v/>
      </c>
      <c r="K1144" s="26" t="str">
        <f t="shared" si="139"/>
        <v/>
      </c>
      <c r="L1144" s="26" t="str">
        <f t="shared" si="140"/>
        <v/>
      </c>
      <c r="P1144" t="e">
        <f t="shared" si="141"/>
        <v>#N/A</v>
      </c>
      <c r="Q1144" t="e">
        <f t="shared" si="142"/>
        <v>#N/A</v>
      </c>
    </row>
    <row r="1145" spans="1:17">
      <c r="A1145" s="28"/>
      <c r="B1145" s="28"/>
      <c r="C1145" s="28"/>
      <c r="D1145" s="28"/>
      <c r="E1145" s="28"/>
      <c r="F1145" s="28"/>
      <c r="G1145" s="26" t="str">
        <f t="shared" si="136"/>
        <v/>
      </c>
      <c r="H1145" s="26" t="str">
        <f t="shared" si="143"/>
        <v/>
      </c>
      <c r="I1145" s="26" t="str">
        <f t="shared" si="137"/>
        <v/>
      </c>
      <c r="J1145" t="str">
        <f t="shared" si="138"/>
        <v/>
      </c>
      <c r="K1145" s="26" t="str">
        <f t="shared" si="139"/>
        <v/>
      </c>
      <c r="L1145" s="26" t="str">
        <f t="shared" si="140"/>
        <v/>
      </c>
      <c r="P1145" t="e">
        <f t="shared" si="141"/>
        <v>#N/A</v>
      </c>
      <c r="Q1145" t="e">
        <f t="shared" si="142"/>
        <v>#N/A</v>
      </c>
    </row>
    <row r="1146" spans="1:17">
      <c r="A1146" s="28"/>
      <c r="B1146" s="28"/>
      <c r="C1146" s="28"/>
      <c r="D1146" s="28"/>
      <c r="E1146" s="28"/>
      <c r="F1146" s="28"/>
      <c r="G1146" s="26" t="str">
        <f t="shared" si="136"/>
        <v/>
      </c>
      <c r="H1146" s="26" t="str">
        <f t="shared" si="143"/>
        <v/>
      </c>
      <c r="I1146" s="26" t="str">
        <f t="shared" si="137"/>
        <v/>
      </c>
      <c r="J1146" t="str">
        <f t="shared" si="138"/>
        <v/>
      </c>
      <c r="K1146" s="26" t="str">
        <f t="shared" si="139"/>
        <v/>
      </c>
      <c r="L1146" s="26" t="str">
        <f t="shared" si="140"/>
        <v/>
      </c>
      <c r="P1146" t="e">
        <f t="shared" si="141"/>
        <v>#N/A</v>
      </c>
      <c r="Q1146" t="e">
        <f t="shared" si="142"/>
        <v>#N/A</v>
      </c>
    </row>
    <row r="1147" spans="1:17">
      <c r="A1147" s="28"/>
      <c r="B1147" s="28"/>
      <c r="C1147" s="28"/>
      <c r="D1147" s="28"/>
      <c r="E1147" s="28"/>
      <c r="F1147" s="28"/>
      <c r="G1147" s="26" t="str">
        <f t="shared" si="136"/>
        <v/>
      </c>
      <c r="H1147" s="26" t="str">
        <f t="shared" si="143"/>
        <v/>
      </c>
      <c r="I1147" s="26" t="str">
        <f t="shared" si="137"/>
        <v/>
      </c>
      <c r="J1147" t="str">
        <f t="shared" si="138"/>
        <v/>
      </c>
      <c r="K1147" s="26" t="str">
        <f t="shared" si="139"/>
        <v/>
      </c>
      <c r="L1147" s="26" t="str">
        <f t="shared" si="140"/>
        <v/>
      </c>
      <c r="P1147" t="e">
        <f t="shared" si="141"/>
        <v>#N/A</v>
      </c>
      <c r="Q1147" t="e">
        <f t="shared" si="142"/>
        <v>#N/A</v>
      </c>
    </row>
    <row r="1148" spans="1:17">
      <c r="A1148" s="28"/>
      <c r="B1148" s="28"/>
      <c r="C1148" s="28"/>
      <c r="D1148" s="28"/>
      <c r="E1148" s="28"/>
      <c r="F1148" s="28"/>
      <c r="G1148" s="26" t="str">
        <f t="shared" si="136"/>
        <v/>
      </c>
      <c r="H1148" s="26" t="str">
        <f t="shared" si="143"/>
        <v/>
      </c>
      <c r="I1148" s="26" t="str">
        <f t="shared" si="137"/>
        <v/>
      </c>
      <c r="J1148" t="str">
        <f t="shared" si="138"/>
        <v/>
      </c>
      <c r="K1148" s="26" t="str">
        <f t="shared" si="139"/>
        <v/>
      </c>
      <c r="L1148" s="26" t="str">
        <f t="shared" si="140"/>
        <v/>
      </c>
      <c r="P1148" t="e">
        <f t="shared" si="141"/>
        <v>#N/A</v>
      </c>
      <c r="Q1148" t="e">
        <f t="shared" si="142"/>
        <v>#N/A</v>
      </c>
    </row>
    <row r="1149" spans="1:17">
      <c r="A1149" s="28"/>
      <c r="B1149" s="28"/>
      <c r="C1149" s="28"/>
      <c r="D1149" s="28"/>
      <c r="E1149" s="28"/>
      <c r="F1149" s="28"/>
      <c r="G1149" s="26" t="str">
        <f t="shared" si="136"/>
        <v/>
      </c>
      <c r="H1149" s="26" t="str">
        <f t="shared" si="143"/>
        <v/>
      </c>
      <c r="I1149" s="26" t="str">
        <f t="shared" si="137"/>
        <v/>
      </c>
      <c r="J1149" t="str">
        <f t="shared" si="138"/>
        <v/>
      </c>
      <c r="K1149" s="26" t="str">
        <f t="shared" si="139"/>
        <v/>
      </c>
      <c r="L1149" s="26" t="str">
        <f t="shared" si="140"/>
        <v/>
      </c>
      <c r="P1149" t="e">
        <f t="shared" si="141"/>
        <v>#N/A</v>
      </c>
      <c r="Q1149" t="e">
        <f t="shared" si="142"/>
        <v>#N/A</v>
      </c>
    </row>
    <row r="1150" spans="1:17">
      <c r="A1150" s="28"/>
      <c r="B1150" s="28"/>
      <c r="C1150" s="28"/>
      <c r="D1150" s="28"/>
      <c r="E1150" s="28"/>
      <c r="F1150" s="28"/>
      <c r="G1150" s="26" t="str">
        <f t="shared" si="136"/>
        <v/>
      </c>
      <c r="H1150" s="26" t="str">
        <f t="shared" si="143"/>
        <v/>
      </c>
      <c r="I1150" s="26" t="str">
        <f t="shared" si="137"/>
        <v/>
      </c>
      <c r="J1150" t="str">
        <f t="shared" si="138"/>
        <v/>
      </c>
      <c r="K1150" s="26" t="str">
        <f t="shared" si="139"/>
        <v/>
      </c>
      <c r="L1150" s="26" t="str">
        <f t="shared" si="140"/>
        <v/>
      </c>
      <c r="P1150" t="e">
        <f t="shared" si="141"/>
        <v>#N/A</v>
      </c>
      <c r="Q1150" t="e">
        <f t="shared" si="142"/>
        <v>#N/A</v>
      </c>
    </row>
    <row r="1151" spans="1:17">
      <c r="A1151" s="28"/>
      <c r="B1151" s="28"/>
      <c r="C1151" s="28"/>
      <c r="D1151" s="28"/>
      <c r="E1151" s="28"/>
      <c r="F1151" s="28"/>
      <c r="G1151" s="26" t="str">
        <f t="shared" si="136"/>
        <v/>
      </c>
      <c r="H1151" s="26" t="str">
        <f t="shared" si="143"/>
        <v/>
      </c>
      <c r="I1151" s="26" t="str">
        <f t="shared" si="137"/>
        <v/>
      </c>
      <c r="J1151" t="str">
        <f t="shared" si="138"/>
        <v/>
      </c>
      <c r="K1151" s="26" t="str">
        <f t="shared" si="139"/>
        <v/>
      </c>
      <c r="L1151" s="26" t="str">
        <f t="shared" si="140"/>
        <v/>
      </c>
      <c r="P1151" t="e">
        <f t="shared" si="141"/>
        <v>#N/A</v>
      </c>
      <c r="Q1151" t="e">
        <f t="shared" si="142"/>
        <v>#N/A</v>
      </c>
    </row>
    <row r="1152" spans="1:17">
      <c r="A1152" s="28"/>
      <c r="B1152" s="28"/>
      <c r="C1152" s="28"/>
      <c r="D1152" s="28"/>
      <c r="E1152" s="28"/>
      <c r="F1152" s="28"/>
      <c r="G1152" s="26" t="str">
        <f t="shared" si="136"/>
        <v/>
      </c>
      <c r="H1152" s="26" t="str">
        <f t="shared" si="143"/>
        <v/>
      </c>
      <c r="I1152" s="26" t="str">
        <f t="shared" si="137"/>
        <v/>
      </c>
      <c r="J1152" t="str">
        <f t="shared" si="138"/>
        <v/>
      </c>
      <c r="K1152" s="26" t="str">
        <f t="shared" si="139"/>
        <v/>
      </c>
      <c r="L1152" s="26" t="str">
        <f t="shared" si="140"/>
        <v/>
      </c>
      <c r="P1152" t="e">
        <f t="shared" si="141"/>
        <v>#N/A</v>
      </c>
      <c r="Q1152" t="e">
        <f t="shared" si="142"/>
        <v>#N/A</v>
      </c>
    </row>
    <row r="1153" spans="1:17">
      <c r="A1153" s="28"/>
      <c r="B1153" s="28"/>
      <c r="C1153" s="28"/>
      <c r="D1153" s="28"/>
      <c r="E1153" s="28"/>
      <c r="F1153" s="28"/>
      <c r="G1153" s="26" t="str">
        <f t="shared" si="136"/>
        <v/>
      </c>
      <c r="H1153" s="26" t="str">
        <f t="shared" si="143"/>
        <v/>
      </c>
      <c r="I1153" s="26" t="str">
        <f t="shared" si="137"/>
        <v/>
      </c>
      <c r="J1153" t="str">
        <f t="shared" si="138"/>
        <v/>
      </c>
      <c r="K1153" s="26" t="str">
        <f t="shared" si="139"/>
        <v/>
      </c>
      <c r="L1153" s="26" t="str">
        <f t="shared" si="140"/>
        <v/>
      </c>
      <c r="P1153" t="e">
        <f t="shared" si="141"/>
        <v>#N/A</v>
      </c>
      <c r="Q1153" t="e">
        <f t="shared" si="142"/>
        <v>#N/A</v>
      </c>
    </row>
    <row r="1154" spans="1:17">
      <c r="A1154" s="28"/>
      <c r="B1154" s="28"/>
      <c r="C1154" s="28"/>
      <c r="D1154" s="28"/>
      <c r="E1154" s="28"/>
      <c r="F1154" s="28"/>
      <c r="G1154" s="26" t="str">
        <f t="shared" ref="G1154:G1217" si="144">IF(B1154="","",243.04*(LN(C1154/100)+17.625*B1154/(243.04+B1154))/(17.625-LN(C1154/100)-17.625*B1154/(243.04+B1154)))</f>
        <v/>
      </c>
      <c r="H1154" s="26" t="str">
        <f t="shared" si="143"/>
        <v/>
      </c>
      <c r="I1154" s="26" t="str">
        <f t="shared" ref="I1154:I1217" si="145">IF(B1154="","",B1154-E1154)</f>
        <v/>
      </c>
      <c r="J1154" t="str">
        <f t="shared" ref="J1154:J1217" si="146">IF(H1154="","",IF(H1154&gt;0.6,"Heating",IF(H1154&lt;-0.2,"Cooling","Steady")))</f>
        <v/>
      </c>
      <c r="K1154" s="26" t="str">
        <f t="shared" ref="K1154:K1217" si="147">IF(J1154="Cooling",I1154,"")</f>
        <v/>
      </c>
      <c r="L1154" s="26" t="str">
        <f t="shared" ref="L1154:L1217" si="148">IF(J1154="Cooling",H1154,"")</f>
        <v/>
      </c>
      <c r="P1154" t="e">
        <f t="shared" ref="P1154:P1217" si="149">IF(K1154="",NA(),K1154)</f>
        <v>#N/A</v>
      </c>
      <c r="Q1154" t="e">
        <f t="shared" ref="Q1154:Q1217" si="150">IF(L1154="",NA(),L1154)</f>
        <v>#N/A</v>
      </c>
    </row>
    <row r="1155" spans="1:17">
      <c r="A1155" s="28"/>
      <c r="B1155" s="28"/>
      <c r="C1155" s="28"/>
      <c r="D1155" s="28"/>
      <c r="E1155" s="28"/>
      <c r="F1155" s="28"/>
      <c r="G1155" s="26" t="str">
        <f t="shared" si="144"/>
        <v/>
      </c>
      <c r="H1155" s="26" t="str">
        <f t="shared" si="143"/>
        <v/>
      </c>
      <c r="I1155" s="26" t="str">
        <f t="shared" si="145"/>
        <v/>
      </c>
      <c r="J1155" t="str">
        <f t="shared" si="146"/>
        <v/>
      </c>
      <c r="K1155" s="26" t="str">
        <f t="shared" si="147"/>
        <v/>
      </c>
      <c r="L1155" s="26" t="str">
        <f t="shared" si="148"/>
        <v/>
      </c>
      <c r="P1155" t="e">
        <f t="shared" si="149"/>
        <v>#N/A</v>
      </c>
      <c r="Q1155" t="e">
        <f t="shared" si="150"/>
        <v>#N/A</v>
      </c>
    </row>
    <row r="1156" spans="1:17">
      <c r="A1156" s="28"/>
      <c r="B1156" s="28"/>
      <c r="C1156" s="28"/>
      <c r="D1156" s="28"/>
      <c r="E1156" s="28"/>
      <c r="F1156" s="28"/>
      <c r="G1156" s="26" t="str">
        <f t="shared" si="144"/>
        <v/>
      </c>
      <c r="H1156" s="26" t="str">
        <f t="shared" ref="H1156:H1219" si="151">IFERROR(IF(OR(B1154="",B1158=""),"",(B1158-B1154)/4*60),"")</f>
        <v/>
      </c>
      <c r="I1156" s="26" t="str">
        <f t="shared" si="145"/>
        <v/>
      </c>
      <c r="J1156" t="str">
        <f t="shared" si="146"/>
        <v/>
      </c>
      <c r="K1156" s="26" t="str">
        <f t="shared" si="147"/>
        <v/>
      </c>
      <c r="L1156" s="26" t="str">
        <f t="shared" si="148"/>
        <v/>
      </c>
      <c r="P1156" t="e">
        <f t="shared" si="149"/>
        <v>#N/A</v>
      </c>
      <c r="Q1156" t="e">
        <f t="shared" si="150"/>
        <v>#N/A</v>
      </c>
    </row>
    <row r="1157" spans="1:17">
      <c r="A1157" s="28"/>
      <c r="B1157" s="28"/>
      <c r="C1157" s="28"/>
      <c r="D1157" s="28"/>
      <c r="E1157" s="28"/>
      <c r="F1157" s="28"/>
      <c r="G1157" s="26" t="str">
        <f t="shared" si="144"/>
        <v/>
      </c>
      <c r="H1157" s="26" t="str">
        <f t="shared" si="151"/>
        <v/>
      </c>
      <c r="I1157" s="26" t="str">
        <f t="shared" si="145"/>
        <v/>
      </c>
      <c r="J1157" t="str">
        <f t="shared" si="146"/>
        <v/>
      </c>
      <c r="K1157" s="26" t="str">
        <f t="shared" si="147"/>
        <v/>
      </c>
      <c r="L1157" s="26" t="str">
        <f t="shared" si="148"/>
        <v/>
      </c>
      <c r="P1157" t="e">
        <f t="shared" si="149"/>
        <v>#N/A</v>
      </c>
      <c r="Q1157" t="e">
        <f t="shared" si="150"/>
        <v>#N/A</v>
      </c>
    </row>
    <row r="1158" spans="1:17">
      <c r="A1158" s="28"/>
      <c r="B1158" s="28"/>
      <c r="C1158" s="28"/>
      <c r="D1158" s="28"/>
      <c r="E1158" s="28"/>
      <c r="F1158" s="28"/>
      <c r="G1158" s="26" t="str">
        <f t="shared" si="144"/>
        <v/>
      </c>
      <c r="H1158" s="26" t="str">
        <f t="shared" si="151"/>
        <v/>
      </c>
      <c r="I1158" s="26" t="str">
        <f t="shared" si="145"/>
        <v/>
      </c>
      <c r="J1158" t="str">
        <f t="shared" si="146"/>
        <v/>
      </c>
      <c r="K1158" s="26" t="str">
        <f t="shared" si="147"/>
        <v/>
      </c>
      <c r="L1158" s="26" t="str">
        <f t="shared" si="148"/>
        <v/>
      </c>
      <c r="P1158" t="e">
        <f t="shared" si="149"/>
        <v>#N/A</v>
      </c>
      <c r="Q1158" t="e">
        <f t="shared" si="150"/>
        <v>#N/A</v>
      </c>
    </row>
    <row r="1159" spans="1:17">
      <c r="A1159" s="28"/>
      <c r="B1159" s="28"/>
      <c r="C1159" s="28"/>
      <c r="D1159" s="28"/>
      <c r="E1159" s="28"/>
      <c r="F1159" s="28"/>
      <c r="G1159" s="26" t="str">
        <f t="shared" si="144"/>
        <v/>
      </c>
      <c r="H1159" s="26" t="str">
        <f t="shared" si="151"/>
        <v/>
      </c>
      <c r="I1159" s="26" t="str">
        <f t="shared" si="145"/>
        <v/>
      </c>
      <c r="J1159" t="str">
        <f t="shared" si="146"/>
        <v/>
      </c>
      <c r="K1159" s="26" t="str">
        <f t="shared" si="147"/>
        <v/>
      </c>
      <c r="L1159" s="26" t="str">
        <f t="shared" si="148"/>
        <v/>
      </c>
      <c r="P1159" t="e">
        <f t="shared" si="149"/>
        <v>#N/A</v>
      </c>
      <c r="Q1159" t="e">
        <f t="shared" si="150"/>
        <v>#N/A</v>
      </c>
    </row>
    <row r="1160" spans="1:17">
      <c r="A1160" s="28"/>
      <c r="B1160" s="28"/>
      <c r="C1160" s="28"/>
      <c r="D1160" s="28"/>
      <c r="E1160" s="28"/>
      <c r="F1160" s="28"/>
      <c r="G1160" s="26" t="str">
        <f t="shared" si="144"/>
        <v/>
      </c>
      <c r="H1160" s="26" t="str">
        <f t="shared" si="151"/>
        <v/>
      </c>
      <c r="I1160" s="26" t="str">
        <f t="shared" si="145"/>
        <v/>
      </c>
      <c r="J1160" t="str">
        <f t="shared" si="146"/>
        <v/>
      </c>
      <c r="K1160" s="26" t="str">
        <f t="shared" si="147"/>
        <v/>
      </c>
      <c r="L1160" s="26" t="str">
        <f t="shared" si="148"/>
        <v/>
      </c>
      <c r="P1160" t="e">
        <f t="shared" si="149"/>
        <v>#N/A</v>
      </c>
      <c r="Q1160" t="e">
        <f t="shared" si="150"/>
        <v>#N/A</v>
      </c>
    </row>
    <row r="1161" spans="1:17">
      <c r="A1161" s="28"/>
      <c r="B1161" s="28"/>
      <c r="C1161" s="28"/>
      <c r="D1161" s="28"/>
      <c r="E1161" s="28"/>
      <c r="F1161" s="28"/>
      <c r="G1161" s="26" t="str">
        <f t="shared" si="144"/>
        <v/>
      </c>
      <c r="H1161" s="26" t="str">
        <f t="shared" si="151"/>
        <v/>
      </c>
      <c r="I1161" s="26" t="str">
        <f t="shared" si="145"/>
        <v/>
      </c>
      <c r="J1161" t="str">
        <f t="shared" si="146"/>
        <v/>
      </c>
      <c r="K1161" s="26" t="str">
        <f t="shared" si="147"/>
        <v/>
      </c>
      <c r="L1161" s="26" t="str">
        <f t="shared" si="148"/>
        <v/>
      </c>
      <c r="P1161" t="e">
        <f t="shared" si="149"/>
        <v>#N/A</v>
      </c>
      <c r="Q1161" t="e">
        <f t="shared" si="150"/>
        <v>#N/A</v>
      </c>
    </row>
    <row r="1162" spans="1:17">
      <c r="A1162" s="28"/>
      <c r="B1162" s="28"/>
      <c r="C1162" s="28"/>
      <c r="D1162" s="28"/>
      <c r="E1162" s="28"/>
      <c r="F1162" s="28"/>
      <c r="G1162" s="26" t="str">
        <f t="shared" si="144"/>
        <v/>
      </c>
      <c r="H1162" s="26" t="str">
        <f t="shared" si="151"/>
        <v/>
      </c>
      <c r="I1162" s="26" t="str">
        <f t="shared" si="145"/>
        <v/>
      </c>
      <c r="J1162" t="str">
        <f t="shared" si="146"/>
        <v/>
      </c>
      <c r="K1162" s="26" t="str">
        <f t="shared" si="147"/>
        <v/>
      </c>
      <c r="L1162" s="26" t="str">
        <f t="shared" si="148"/>
        <v/>
      </c>
      <c r="P1162" t="e">
        <f t="shared" si="149"/>
        <v>#N/A</v>
      </c>
      <c r="Q1162" t="e">
        <f t="shared" si="150"/>
        <v>#N/A</v>
      </c>
    </row>
    <row r="1163" spans="1:17">
      <c r="A1163" s="28"/>
      <c r="B1163" s="28"/>
      <c r="C1163" s="28"/>
      <c r="D1163" s="28"/>
      <c r="E1163" s="28"/>
      <c r="F1163" s="28"/>
      <c r="G1163" s="26" t="str">
        <f t="shared" si="144"/>
        <v/>
      </c>
      <c r="H1163" s="26" t="str">
        <f t="shared" si="151"/>
        <v/>
      </c>
      <c r="I1163" s="26" t="str">
        <f t="shared" si="145"/>
        <v/>
      </c>
      <c r="J1163" t="str">
        <f t="shared" si="146"/>
        <v/>
      </c>
      <c r="K1163" s="26" t="str">
        <f t="shared" si="147"/>
        <v/>
      </c>
      <c r="L1163" s="26" t="str">
        <f t="shared" si="148"/>
        <v/>
      </c>
      <c r="P1163" t="e">
        <f t="shared" si="149"/>
        <v>#N/A</v>
      </c>
      <c r="Q1163" t="e">
        <f t="shared" si="150"/>
        <v>#N/A</v>
      </c>
    </row>
    <row r="1164" spans="1:17">
      <c r="A1164" s="28"/>
      <c r="B1164" s="28"/>
      <c r="C1164" s="28"/>
      <c r="D1164" s="28"/>
      <c r="E1164" s="28"/>
      <c r="F1164" s="28"/>
      <c r="G1164" s="26" t="str">
        <f t="shared" si="144"/>
        <v/>
      </c>
      <c r="H1164" s="26" t="str">
        <f t="shared" si="151"/>
        <v/>
      </c>
      <c r="I1164" s="26" t="str">
        <f t="shared" si="145"/>
        <v/>
      </c>
      <c r="J1164" t="str">
        <f t="shared" si="146"/>
        <v/>
      </c>
      <c r="K1164" s="26" t="str">
        <f t="shared" si="147"/>
        <v/>
      </c>
      <c r="L1164" s="26" t="str">
        <f t="shared" si="148"/>
        <v/>
      </c>
      <c r="P1164" t="e">
        <f t="shared" si="149"/>
        <v>#N/A</v>
      </c>
      <c r="Q1164" t="e">
        <f t="shared" si="150"/>
        <v>#N/A</v>
      </c>
    </row>
    <row r="1165" spans="1:17">
      <c r="A1165" s="28"/>
      <c r="B1165" s="28"/>
      <c r="C1165" s="28"/>
      <c r="D1165" s="28"/>
      <c r="E1165" s="28"/>
      <c r="F1165" s="28"/>
      <c r="G1165" s="26" t="str">
        <f t="shared" si="144"/>
        <v/>
      </c>
      <c r="H1165" s="26" t="str">
        <f t="shared" si="151"/>
        <v/>
      </c>
      <c r="I1165" s="26" t="str">
        <f t="shared" si="145"/>
        <v/>
      </c>
      <c r="J1165" t="str">
        <f t="shared" si="146"/>
        <v/>
      </c>
      <c r="K1165" s="26" t="str">
        <f t="shared" si="147"/>
        <v/>
      </c>
      <c r="L1165" s="26" t="str">
        <f t="shared" si="148"/>
        <v/>
      </c>
      <c r="P1165" t="e">
        <f t="shared" si="149"/>
        <v>#N/A</v>
      </c>
      <c r="Q1165" t="e">
        <f t="shared" si="150"/>
        <v>#N/A</v>
      </c>
    </row>
    <row r="1166" spans="1:17">
      <c r="A1166" s="28"/>
      <c r="B1166" s="28"/>
      <c r="C1166" s="28"/>
      <c r="D1166" s="28"/>
      <c r="E1166" s="28"/>
      <c r="F1166" s="28"/>
      <c r="G1166" s="26" t="str">
        <f t="shared" si="144"/>
        <v/>
      </c>
      <c r="H1166" s="26" t="str">
        <f t="shared" si="151"/>
        <v/>
      </c>
      <c r="I1166" s="26" t="str">
        <f t="shared" si="145"/>
        <v/>
      </c>
      <c r="J1166" t="str">
        <f t="shared" si="146"/>
        <v/>
      </c>
      <c r="K1166" s="26" t="str">
        <f t="shared" si="147"/>
        <v/>
      </c>
      <c r="L1166" s="26" t="str">
        <f t="shared" si="148"/>
        <v/>
      </c>
      <c r="P1166" t="e">
        <f t="shared" si="149"/>
        <v>#N/A</v>
      </c>
      <c r="Q1166" t="e">
        <f t="shared" si="150"/>
        <v>#N/A</v>
      </c>
    </row>
    <row r="1167" spans="1:17">
      <c r="A1167" s="28"/>
      <c r="B1167" s="28"/>
      <c r="C1167" s="28"/>
      <c r="D1167" s="28"/>
      <c r="E1167" s="28"/>
      <c r="F1167" s="28"/>
      <c r="G1167" s="26" t="str">
        <f t="shared" si="144"/>
        <v/>
      </c>
      <c r="H1167" s="26" t="str">
        <f t="shared" si="151"/>
        <v/>
      </c>
      <c r="I1167" s="26" t="str">
        <f t="shared" si="145"/>
        <v/>
      </c>
      <c r="J1167" t="str">
        <f t="shared" si="146"/>
        <v/>
      </c>
      <c r="K1167" s="26" t="str">
        <f t="shared" si="147"/>
        <v/>
      </c>
      <c r="L1167" s="26" t="str">
        <f t="shared" si="148"/>
        <v/>
      </c>
      <c r="P1167" t="e">
        <f t="shared" si="149"/>
        <v>#N/A</v>
      </c>
      <c r="Q1167" t="e">
        <f t="shared" si="150"/>
        <v>#N/A</v>
      </c>
    </row>
    <row r="1168" spans="1:17">
      <c r="A1168" s="28"/>
      <c r="B1168" s="28"/>
      <c r="C1168" s="28"/>
      <c r="D1168" s="28"/>
      <c r="E1168" s="28"/>
      <c r="F1168" s="28"/>
      <c r="G1168" s="26" t="str">
        <f t="shared" si="144"/>
        <v/>
      </c>
      <c r="H1168" s="26" t="str">
        <f t="shared" si="151"/>
        <v/>
      </c>
      <c r="I1168" s="26" t="str">
        <f t="shared" si="145"/>
        <v/>
      </c>
      <c r="J1168" t="str">
        <f t="shared" si="146"/>
        <v/>
      </c>
      <c r="K1168" s="26" t="str">
        <f t="shared" si="147"/>
        <v/>
      </c>
      <c r="L1168" s="26" t="str">
        <f t="shared" si="148"/>
        <v/>
      </c>
      <c r="P1168" t="e">
        <f t="shared" si="149"/>
        <v>#N/A</v>
      </c>
      <c r="Q1168" t="e">
        <f t="shared" si="150"/>
        <v>#N/A</v>
      </c>
    </row>
    <row r="1169" spans="1:17">
      <c r="A1169" s="28"/>
      <c r="B1169" s="28"/>
      <c r="C1169" s="28"/>
      <c r="D1169" s="28"/>
      <c r="E1169" s="28"/>
      <c r="F1169" s="28"/>
      <c r="G1169" s="26" t="str">
        <f t="shared" si="144"/>
        <v/>
      </c>
      <c r="H1169" s="26" t="str">
        <f t="shared" si="151"/>
        <v/>
      </c>
      <c r="I1169" s="26" t="str">
        <f t="shared" si="145"/>
        <v/>
      </c>
      <c r="J1169" t="str">
        <f t="shared" si="146"/>
        <v/>
      </c>
      <c r="K1169" s="26" t="str">
        <f t="shared" si="147"/>
        <v/>
      </c>
      <c r="L1169" s="26" t="str">
        <f t="shared" si="148"/>
        <v/>
      </c>
      <c r="P1169" t="e">
        <f t="shared" si="149"/>
        <v>#N/A</v>
      </c>
      <c r="Q1169" t="e">
        <f t="shared" si="150"/>
        <v>#N/A</v>
      </c>
    </row>
    <row r="1170" spans="1:17">
      <c r="A1170" s="28"/>
      <c r="B1170" s="28"/>
      <c r="C1170" s="28"/>
      <c r="D1170" s="28"/>
      <c r="E1170" s="28"/>
      <c r="F1170" s="28"/>
      <c r="G1170" s="26" t="str">
        <f t="shared" si="144"/>
        <v/>
      </c>
      <c r="H1170" s="26" t="str">
        <f t="shared" si="151"/>
        <v/>
      </c>
      <c r="I1170" s="26" t="str">
        <f t="shared" si="145"/>
        <v/>
      </c>
      <c r="J1170" t="str">
        <f t="shared" si="146"/>
        <v/>
      </c>
      <c r="K1170" s="26" t="str">
        <f t="shared" si="147"/>
        <v/>
      </c>
      <c r="L1170" s="26" t="str">
        <f t="shared" si="148"/>
        <v/>
      </c>
      <c r="P1170" t="e">
        <f t="shared" si="149"/>
        <v>#N/A</v>
      </c>
      <c r="Q1170" t="e">
        <f t="shared" si="150"/>
        <v>#N/A</v>
      </c>
    </row>
    <row r="1171" spans="1:17">
      <c r="A1171" s="28"/>
      <c r="B1171" s="28"/>
      <c r="C1171" s="28"/>
      <c r="D1171" s="28"/>
      <c r="E1171" s="28"/>
      <c r="F1171" s="28"/>
      <c r="G1171" s="26" t="str">
        <f t="shared" si="144"/>
        <v/>
      </c>
      <c r="H1171" s="26" t="str">
        <f t="shared" si="151"/>
        <v/>
      </c>
      <c r="I1171" s="26" t="str">
        <f t="shared" si="145"/>
        <v/>
      </c>
      <c r="J1171" t="str">
        <f t="shared" si="146"/>
        <v/>
      </c>
      <c r="K1171" s="26" t="str">
        <f t="shared" si="147"/>
        <v/>
      </c>
      <c r="L1171" s="26" t="str">
        <f t="shared" si="148"/>
        <v/>
      </c>
      <c r="P1171" t="e">
        <f t="shared" si="149"/>
        <v>#N/A</v>
      </c>
      <c r="Q1171" t="e">
        <f t="shared" si="150"/>
        <v>#N/A</v>
      </c>
    </row>
    <row r="1172" spans="1:17">
      <c r="A1172" s="28"/>
      <c r="B1172" s="28"/>
      <c r="C1172" s="28"/>
      <c r="D1172" s="28"/>
      <c r="E1172" s="28"/>
      <c r="F1172" s="28"/>
      <c r="G1172" s="26" t="str">
        <f t="shared" si="144"/>
        <v/>
      </c>
      <c r="H1172" s="26" t="str">
        <f t="shared" si="151"/>
        <v/>
      </c>
      <c r="I1172" s="26" t="str">
        <f t="shared" si="145"/>
        <v/>
      </c>
      <c r="J1172" t="str">
        <f t="shared" si="146"/>
        <v/>
      </c>
      <c r="K1172" s="26" t="str">
        <f t="shared" si="147"/>
        <v/>
      </c>
      <c r="L1172" s="26" t="str">
        <f t="shared" si="148"/>
        <v/>
      </c>
      <c r="P1172" t="e">
        <f t="shared" si="149"/>
        <v>#N/A</v>
      </c>
      <c r="Q1172" t="e">
        <f t="shared" si="150"/>
        <v>#N/A</v>
      </c>
    </row>
    <row r="1173" spans="1:17">
      <c r="A1173" s="28"/>
      <c r="B1173" s="28"/>
      <c r="C1173" s="28"/>
      <c r="D1173" s="28"/>
      <c r="E1173" s="28"/>
      <c r="F1173" s="28"/>
      <c r="G1173" s="26" t="str">
        <f t="shared" si="144"/>
        <v/>
      </c>
      <c r="H1173" s="26" t="str">
        <f t="shared" si="151"/>
        <v/>
      </c>
      <c r="I1173" s="26" t="str">
        <f t="shared" si="145"/>
        <v/>
      </c>
      <c r="J1173" t="str">
        <f t="shared" si="146"/>
        <v/>
      </c>
      <c r="K1173" s="26" t="str">
        <f t="shared" si="147"/>
        <v/>
      </c>
      <c r="L1173" s="26" t="str">
        <f t="shared" si="148"/>
        <v/>
      </c>
      <c r="P1173" t="e">
        <f t="shared" si="149"/>
        <v>#N/A</v>
      </c>
      <c r="Q1173" t="e">
        <f t="shared" si="150"/>
        <v>#N/A</v>
      </c>
    </row>
    <row r="1174" spans="1:17">
      <c r="A1174" s="28"/>
      <c r="B1174" s="28"/>
      <c r="C1174" s="28"/>
      <c r="D1174" s="28"/>
      <c r="E1174" s="28"/>
      <c r="F1174" s="28"/>
      <c r="G1174" s="26" t="str">
        <f t="shared" si="144"/>
        <v/>
      </c>
      <c r="H1174" s="26" t="str">
        <f t="shared" si="151"/>
        <v/>
      </c>
      <c r="I1174" s="26" t="str">
        <f t="shared" si="145"/>
        <v/>
      </c>
      <c r="J1174" t="str">
        <f t="shared" si="146"/>
        <v/>
      </c>
      <c r="K1174" s="26" t="str">
        <f t="shared" si="147"/>
        <v/>
      </c>
      <c r="L1174" s="26" t="str">
        <f t="shared" si="148"/>
        <v/>
      </c>
      <c r="P1174" t="e">
        <f t="shared" si="149"/>
        <v>#N/A</v>
      </c>
      <c r="Q1174" t="e">
        <f t="shared" si="150"/>
        <v>#N/A</v>
      </c>
    </row>
    <row r="1175" spans="1:17">
      <c r="A1175" s="28"/>
      <c r="B1175" s="28"/>
      <c r="C1175" s="28"/>
      <c r="D1175" s="28"/>
      <c r="E1175" s="28"/>
      <c r="F1175" s="28"/>
      <c r="G1175" s="26" t="str">
        <f t="shared" si="144"/>
        <v/>
      </c>
      <c r="H1175" s="26" t="str">
        <f t="shared" si="151"/>
        <v/>
      </c>
      <c r="I1175" s="26" t="str">
        <f t="shared" si="145"/>
        <v/>
      </c>
      <c r="J1175" t="str">
        <f t="shared" si="146"/>
        <v/>
      </c>
      <c r="K1175" s="26" t="str">
        <f t="shared" si="147"/>
        <v/>
      </c>
      <c r="L1175" s="26" t="str">
        <f t="shared" si="148"/>
        <v/>
      </c>
      <c r="P1175" t="e">
        <f t="shared" si="149"/>
        <v>#N/A</v>
      </c>
      <c r="Q1175" t="e">
        <f t="shared" si="150"/>
        <v>#N/A</v>
      </c>
    </row>
    <row r="1176" spans="1:17">
      <c r="A1176" s="28"/>
      <c r="B1176" s="28"/>
      <c r="C1176" s="28"/>
      <c r="D1176" s="28"/>
      <c r="E1176" s="28"/>
      <c r="F1176" s="28"/>
      <c r="G1176" s="26" t="str">
        <f t="shared" si="144"/>
        <v/>
      </c>
      <c r="H1176" s="26" t="str">
        <f t="shared" si="151"/>
        <v/>
      </c>
      <c r="I1176" s="26" t="str">
        <f t="shared" si="145"/>
        <v/>
      </c>
      <c r="J1176" t="str">
        <f t="shared" si="146"/>
        <v/>
      </c>
      <c r="K1176" s="26" t="str">
        <f t="shared" si="147"/>
        <v/>
      </c>
      <c r="L1176" s="26" t="str">
        <f t="shared" si="148"/>
        <v/>
      </c>
      <c r="P1176" t="e">
        <f t="shared" si="149"/>
        <v>#N/A</v>
      </c>
      <c r="Q1176" t="e">
        <f t="shared" si="150"/>
        <v>#N/A</v>
      </c>
    </row>
    <row r="1177" spans="1:17">
      <c r="A1177" s="28"/>
      <c r="B1177" s="28"/>
      <c r="C1177" s="28"/>
      <c r="D1177" s="28"/>
      <c r="E1177" s="28"/>
      <c r="F1177" s="28"/>
      <c r="G1177" s="26" t="str">
        <f t="shared" si="144"/>
        <v/>
      </c>
      <c r="H1177" s="26" t="str">
        <f t="shared" si="151"/>
        <v/>
      </c>
      <c r="I1177" s="26" t="str">
        <f t="shared" si="145"/>
        <v/>
      </c>
      <c r="J1177" t="str">
        <f t="shared" si="146"/>
        <v/>
      </c>
      <c r="K1177" s="26" t="str">
        <f t="shared" si="147"/>
        <v/>
      </c>
      <c r="L1177" s="26" t="str">
        <f t="shared" si="148"/>
        <v/>
      </c>
      <c r="P1177" t="e">
        <f t="shared" si="149"/>
        <v>#N/A</v>
      </c>
      <c r="Q1177" t="e">
        <f t="shared" si="150"/>
        <v>#N/A</v>
      </c>
    </row>
    <row r="1178" spans="1:17">
      <c r="A1178" s="28"/>
      <c r="B1178" s="28"/>
      <c r="C1178" s="28"/>
      <c r="D1178" s="28"/>
      <c r="E1178" s="28"/>
      <c r="F1178" s="28"/>
      <c r="G1178" s="26" t="str">
        <f t="shared" si="144"/>
        <v/>
      </c>
      <c r="H1178" s="26" t="str">
        <f t="shared" si="151"/>
        <v/>
      </c>
      <c r="I1178" s="26" t="str">
        <f t="shared" si="145"/>
        <v/>
      </c>
      <c r="J1178" t="str">
        <f t="shared" si="146"/>
        <v/>
      </c>
      <c r="K1178" s="26" t="str">
        <f t="shared" si="147"/>
        <v/>
      </c>
      <c r="L1178" s="26" t="str">
        <f t="shared" si="148"/>
        <v/>
      </c>
      <c r="P1178" t="e">
        <f t="shared" si="149"/>
        <v>#N/A</v>
      </c>
      <c r="Q1178" t="e">
        <f t="shared" si="150"/>
        <v>#N/A</v>
      </c>
    </row>
    <row r="1179" spans="1:17">
      <c r="A1179" s="28"/>
      <c r="B1179" s="28"/>
      <c r="C1179" s="28"/>
      <c r="D1179" s="28"/>
      <c r="E1179" s="28"/>
      <c r="F1179" s="28"/>
      <c r="G1179" s="26" t="str">
        <f t="shared" si="144"/>
        <v/>
      </c>
      <c r="H1179" s="26" t="str">
        <f t="shared" si="151"/>
        <v/>
      </c>
      <c r="I1179" s="26" t="str">
        <f t="shared" si="145"/>
        <v/>
      </c>
      <c r="J1179" t="str">
        <f t="shared" si="146"/>
        <v/>
      </c>
      <c r="K1179" s="26" t="str">
        <f t="shared" si="147"/>
        <v/>
      </c>
      <c r="L1179" s="26" t="str">
        <f t="shared" si="148"/>
        <v/>
      </c>
      <c r="P1179" t="e">
        <f t="shared" si="149"/>
        <v>#N/A</v>
      </c>
      <c r="Q1179" t="e">
        <f t="shared" si="150"/>
        <v>#N/A</v>
      </c>
    </row>
    <row r="1180" spans="1:17">
      <c r="A1180" s="28"/>
      <c r="B1180" s="28"/>
      <c r="C1180" s="28"/>
      <c r="D1180" s="28"/>
      <c r="E1180" s="28"/>
      <c r="F1180" s="28"/>
      <c r="G1180" s="26" t="str">
        <f t="shared" si="144"/>
        <v/>
      </c>
      <c r="H1180" s="26" t="str">
        <f t="shared" si="151"/>
        <v/>
      </c>
      <c r="I1180" s="26" t="str">
        <f t="shared" si="145"/>
        <v/>
      </c>
      <c r="J1180" t="str">
        <f t="shared" si="146"/>
        <v/>
      </c>
      <c r="K1180" s="26" t="str">
        <f t="shared" si="147"/>
        <v/>
      </c>
      <c r="L1180" s="26" t="str">
        <f t="shared" si="148"/>
        <v/>
      </c>
      <c r="P1180" t="e">
        <f t="shared" si="149"/>
        <v>#N/A</v>
      </c>
      <c r="Q1180" t="e">
        <f t="shared" si="150"/>
        <v>#N/A</v>
      </c>
    </row>
    <row r="1181" spans="1:17">
      <c r="A1181" s="28"/>
      <c r="B1181" s="28"/>
      <c r="C1181" s="28"/>
      <c r="D1181" s="28"/>
      <c r="E1181" s="28"/>
      <c r="F1181" s="28"/>
      <c r="G1181" s="26" t="str">
        <f t="shared" si="144"/>
        <v/>
      </c>
      <c r="H1181" s="26" t="str">
        <f t="shared" si="151"/>
        <v/>
      </c>
      <c r="I1181" s="26" t="str">
        <f t="shared" si="145"/>
        <v/>
      </c>
      <c r="J1181" t="str">
        <f t="shared" si="146"/>
        <v/>
      </c>
      <c r="K1181" s="26" t="str">
        <f t="shared" si="147"/>
        <v/>
      </c>
      <c r="L1181" s="26" t="str">
        <f t="shared" si="148"/>
        <v/>
      </c>
      <c r="P1181" t="e">
        <f t="shared" si="149"/>
        <v>#N/A</v>
      </c>
      <c r="Q1181" t="e">
        <f t="shared" si="150"/>
        <v>#N/A</v>
      </c>
    </row>
    <row r="1182" spans="1:17">
      <c r="A1182" s="28"/>
      <c r="B1182" s="28"/>
      <c r="C1182" s="28"/>
      <c r="D1182" s="28"/>
      <c r="E1182" s="28"/>
      <c r="F1182" s="28"/>
      <c r="G1182" s="26" t="str">
        <f t="shared" si="144"/>
        <v/>
      </c>
      <c r="H1182" s="26" t="str">
        <f t="shared" si="151"/>
        <v/>
      </c>
      <c r="I1182" s="26" t="str">
        <f t="shared" si="145"/>
        <v/>
      </c>
      <c r="J1182" t="str">
        <f t="shared" si="146"/>
        <v/>
      </c>
      <c r="K1182" s="26" t="str">
        <f t="shared" si="147"/>
        <v/>
      </c>
      <c r="L1182" s="26" t="str">
        <f t="shared" si="148"/>
        <v/>
      </c>
      <c r="P1182" t="e">
        <f t="shared" si="149"/>
        <v>#N/A</v>
      </c>
      <c r="Q1182" t="e">
        <f t="shared" si="150"/>
        <v>#N/A</v>
      </c>
    </row>
    <row r="1183" spans="1:17">
      <c r="A1183" s="28"/>
      <c r="B1183" s="28"/>
      <c r="C1183" s="28"/>
      <c r="D1183" s="28"/>
      <c r="E1183" s="28"/>
      <c r="F1183" s="28"/>
      <c r="G1183" s="26" t="str">
        <f t="shared" si="144"/>
        <v/>
      </c>
      <c r="H1183" s="26" t="str">
        <f t="shared" si="151"/>
        <v/>
      </c>
      <c r="I1183" s="26" t="str">
        <f t="shared" si="145"/>
        <v/>
      </c>
      <c r="J1183" t="str">
        <f t="shared" si="146"/>
        <v/>
      </c>
      <c r="K1183" s="26" t="str">
        <f t="shared" si="147"/>
        <v/>
      </c>
      <c r="L1183" s="26" t="str">
        <f t="shared" si="148"/>
        <v/>
      </c>
      <c r="P1183" t="e">
        <f t="shared" si="149"/>
        <v>#N/A</v>
      </c>
      <c r="Q1183" t="e">
        <f t="shared" si="150"/>
        <v>#N/A</v>
      </c>
    </row>
    <row r="1184" spans="1:17">
      <c r="A1184" s="28"/>
      <c r="B1184" s="28"/>
      <c r="C1184" s="28"/>
      <c r="D1184" s="28"/>
      <c r="E1184" s="28"/>
      <c r="F1184" s="28"/>
      <c r="G1184" s="26" t="str">
        <f t="shared" si="144"/>
        <v/>
      </c>
      <c r="H1184" s="26" t="str">
        <f t="shared" si="151"/>
        <v/>
      </c>
      <c r="I1184" s="26" t="str">
        <f t="shared" si="145"/>
        <v/>
      </c>
      <c r="J1184" t="str">
        <f t="shared" si="146"/>
        <v/>
      </c>
      <c r="K1184" s="26" t="str">
        <f t="shared" si="147"/>
        <v/>
      </c>
      <c r="L1184" s="26" t="str">
        <f t="shared" si="148"/>
        <v/>
      </c>
      <c r="P1184" t="e">
        <f t="shared" si="149"/>
        <v>#N/A</v>
      </c>
      <c r="Q1184" t="e">
        <f t="shared" si="150"/>
        <v>#N/A</v>
      </c>
    </row>
    <row r="1185" spans="1:17">
      <c r="A1185" s="28"/>
      <c r="B1185" s="28"/>
      <c r="C1185" s="28"/>
      <c r="D1185" s="28"/>
      <c r="E1185" s="28"/>
      <c r="F1185" s="28"/>
      <c r="G1185" s="26" t="str">
        <f t="shared" si="144"/>
        <v/>
      </c>
      <c r="H1185" s="26" t="str">
        <f t="shared" si="151"/>
        <v/>
      </c>
      <c r="I1185" s="26" t="str">
        <f t="shared" si="145"/>
        <v/>
      </c>
      <c r="J1185" t="str">
        <f t="shared" si="146"/>
        <v/>
      </c>
      <c r="K1185" s="26" t="str">
        <f t="shared" si="147"/>
        <v/>
      </c>
      <c r="L1185" s="26" t="str">
        <f t="shared" si="148"/>
        <v/>
      </c>
      <c r="P1185" t="e">
        <f t="shared" si="149"/>
        <v>#N/A</v>
      </c>
      <c r="Q1185" t="e">
        <f t="shared" si="150"/>
        <v>#N/A</v>
      </c>
    </row>
    <row r="1186" spans="1:17">
      <c r="A1186" s="28"/>
      <c r="B1186" s="28"/>
      <c r="C1186" s="28"/>
      <c r="D1186" s="28"/>
      <c r="E1186" s="28"/>
      <c r="F1186" s="28"/>
      <c r="G1186" s="26" t="str">
        <f t="shared" si="144"/>
        <v/>
      </c>
      <c r="H1186" s="26" t="str">
        <f t="shared" si="151"/>
        <v/>
      </c>
      <c r="I1186" s="26" t="str">
        <f t="shared" si="145"/>
        <v/>
      </c>
      <c r="J1186" t="str">
        <f t="shared" si="146"/>
        <v/>
      </c>
      <c r="K1186" s="26" t="str">
        <f t="shared" si="147"/>
        <v/>
      </c>
      <c r="L1186" s="26" t="str">
        <f t="shared" si="148"/>
        <v/>
      </c>
      <c r="P1186" t="e">
        <f t="shared" si="149"/>
        <v>#N/A</v>
      </c>
      <c r="Q1186" t="e">
        <f t="shared" si="150"/>
        <v>#N/A</v>
      </c>
    </row>
    <row r="1187" spans="1:17">
      <c r="A1187" s="28"/>
      <c r="B1187" s="28"/>
      <c r="C1187" s="28"/>
      <c r="D1187" s="28"/>
      <c r="E1187" s="28"/>
      <c r="F1187" s="28"/>
      <c r="G1187" s="26" t="str">
        <f t="shared" si="144"/>
        <v/>
      </c>
      <c r="H1187" s="26" t="str">
        <f t="shared" si="151"/>
        <v/>
      </c>
      <c r="I1187" s="26" t="str">
        <f t="shared" si="145"/>
        <v/>
      </c>
      <c r="J1187" t="str">
        <f t="shared" si="146"/>
        <v/>
      </c>
      <c r="K1187" s="26" t="str">
        <f t="shared" si="147"/>
        <v/>
      </c>
      <c r="L1187" s="26" t="str">
        <f t="shared" si="148"/>
        <v/>
      </c>
      <c r="P1187" t="e">
        <f t="shared" si="149"/>
        <v>#N/A</v>
      </c>
      <c r="Q1187" t="e">
        <f t="shared" si="150"/>
        <v>#N/A</v>
      </c>
    </row>
    <row r="1188" spans="1:17">
      <c r="A1188" s="28"/>
      <c r="B1188" s="28"/>
      <c r="C1188" s="28"/>
      <c r="D1188" s="28"/>
      <c r="E1188" s="28"/>
      <c r="F1188" s="28"/>
      <c r="G1188" s="26" t="str">
        <f t="shared" si="144"/>
        <v/>
      </c>
      <c r="H1188" s="26" t="str">
        <f t="shared" si="151"/>
        <v/>
      </c>
      <c r="I1188" s="26" t="str">
        <f t="shared" si="145"/>
        <v/>
      </c>
      <c r="J1188" t="str">
        <f t="shared" si="146"/>
        <v/>
      </c>
      <c r="K1188" s="26" t="str">
        <f t="shared" si="147"/>
        <v/>
      </c>
      <c r="L1188" s="26" t="str">
        <f t="shared" si="148"/>
        <v/>
      </c>
      <c r="P1188" t="e">
        <f t="shared" si="149"/>
        <v>#N/A</v>
      </c>
      <c r="Q1188" t="e">
        <f t="shared" si="150"/>
        <v>#N/A</v>
      </c>
    </row>
    <row r="1189" spans="1:17">
      <c r="A1189" s="28"/>
      <c r="B1189" s="28"/>
      <c r="C1189" s="28"/>
      <c r="D1189" s="28"/>
      <c r="E1189" s="28"/>
      <c r="F1189" s="28"/>
      <c r="G1189" s="26" t="str">
        <f t="shared" si="144"/>
        <v/>
      </c>
      <c r="H1189" s="26" t="str">
        <f t="shared" si="151"/>
        <v/>
      </c>
      <c r="I1189" s="26" t="str">
        <f t="shared" si="145"/>
        <v/>
      </c>
      <c r="J1189" t="str">
        <f t="shared" si="146"/>
        <v/>
      </c>
      <c r="K1189" s="26" t="str">
        <f t="shared" si="147"/>
        <v/>
      </c>
      <c r="L1189" s="26" t="str">
        <f t="shared" si="148"/>
        <v/>
      </c>
      <c r="P1189" t="e">
        <f t="shared" si="149"/>
        <v>#N/A</v>
      </c>
      <c r="Q1189" t="e">
        <f t="shared" si="150"/>
        <v>#N/A</v>
      </c>
    </row>
    <row r="1190" spans="1:17">
      <c r="A1190" s="28"/>
      <c r="B1190" s="28"/>
      <c r="C1190" s="28"/>
      <c r="D1190" s="28"/>
      <c r="E1190" s="28"/>
      <c r="F1190" s="28"/>
      <c r="G1190" s="26" t="str">
        <f t="shared" si="144"/>
        <v/>
      </c>
      <c r="H1190" s="26" t="str">
        <f t="shared" si="151"/>
        <v/>
      </c>
      <c r="I1190" s="26" t="str">
        <f t="shared" si="145"/>
        <v/>
      </c>
      <c r="J1190" t="str">
        <f t="shared" si="146"/>
        <v/>
      </c>
      <c r="K1190" s="26" t="str">
        <f t="shared" si="147"/>
        <v/>
      </c>
      <c r="L1190" s="26" t="str">
        <f t="shared" si="148"/>
        <v/>
      </c>
      <c r="P1190" t="e">
        <f t="shared" si="149"/>
        <v>#N/A</v>
      </c>
      <c r="Q1190" t="e">
        <f t="shared" si="150"/>
        <v>#N/A</v>
      </c>
    </row>
    <row r="1191" spans="1:17">
      <c r="A1191" s="28"/>
      <c r="B1191" s="28"/>
      <c r="C1191" s="28"/>
      <c r="D1191" s="28"/>
      <c r="E1191" s="28"/>
      <c r="F1191" s="28"/>
      <c r="G1191" s="26" t="str">
        <f t="shared" si="144"/>
        <v/>
      </c>
      <c r="H1191" s="26" t="str">
        <f t="shared" si="151"/>
        <v/>
      </c>
      <c r="I1191" s="26" t="str">
        <f t="shared" si="145"/>
        <v/>
      </c>
      <c r="J1191" t="str">
        <f t="shared" si="146"/>
        <v/>
      </c>
      <c r="K1191" s="26" t="str">
        <f t="shared" si="147"/>
        <v/>
      </c>
      <c r="L1191" s="26" t="str">
        <f t="shared" si="148"/>
        <v/>
      </c>
      <c r="P1191" t="e">
        <f t="shared" si="149"/>
        <v>#N/A</v>
      </c>
      <c r="Q1191" t="e">
        <f t="shared" si="150"/>
        <v>#N/A</v>
      </c>
    </row>
    <row r="1192" spans="1:17">
      <c r="A1192" s="28"/>
      <c r="B1192" s="28"/>
      <c r="C1192" s="28"/>
      <c r="D1192" s="28"/>
      <c r="E1192" s="28"/>
      <c r="F1192" s="28"/>
      <c r="G1192" s="26" t="str">
        <f t="shared" si="144"/>
        <v/>
      </c>
      <c r="H1192" s="26" t="str">
        <f t="shared" si="151"/>
        <v/>
      </c>
      <c r="I1192" s="26" t="str">
        <f t="shared" si="145"/>
        <v/>
      </c>
      <c r="J1192" t="str">
        <f t="shared" si="146"/>
        <v/>
      </c>
      <c r="K1192" s="26" t="str">
        <f t="shared" si="147"/>
        <v/>
      </c>
      <c r="L1192" s="26" t="str">
        <f t="shared" si="148"/>
        <v/>
      </c>
      <c r="P1192" t="e">
        <f t="shared" si="149"/>
        <v>#N/A</v>
      </c>
      <c r="Q1192" t="e">
        <f t="shared" si="150"/>
        <v>#N/A</v>
      </c>
    </row>
    <row r="1193" spans="1:17">
      <c r="A1193" s="28"/>
      <c r="B1193" s="28"/>
      <c r="C1193" s="28"/>
      <c r="D1193" s="28"/>
      <c r="E1193" s="28"/>
      <c r="F1193" s="28"/>
      <c r="G1193" s="26" t="str">
        <f t="shared" si="144"/>
        <v/>
      </c>
      <c r="H1193" s="26" t="str">
        <f t="shared" si="151"/>
        <v/>
      </c>
      <c r="I1193" s="26" t="str">
        <f t="shared" si="145"/>
        <v/>
      </c>
      <c r="J1193" t="str">
        <f t="shared" si="146"/>
        <v/>
      </c>
      <c r="K1193" s="26" t="str">
        <f t="shared" si="147"/>
        <v/>
      </c>
      <c r="L1193" s="26" t="str">
        <f t="shared" si="148"/>
        <v/>
      </c>
      <c r="P1193" t="e">
        <f t="shared" si="149"/>
        <v>#N/A</v>
      </c>
      <c r="Q1193" t="e">
        <f t="shared" si="150"/>
        <v>#N/A</v>
      </c>
    </row>
    <row r="1194" spans="1:17">
      <c r="A1194" s="28"/>
      <c r="B1194" s="28"/>
      <c r="C1194" s="28"/>
      <c r="D1194" s="28"/>
      <c r="E1194" s="28"/>
      <c r="F1194" s="28"/>
      <c r="G1194" s="26" t="str">
        <f t="shared" si="144"/>
        <v/>
      </c>
      <c r="H1194" s="26" t="str">
        <f t="shared" si="151"/>
        <v/>
      </c>
      <c r="I1194" s="26" t="str">
        <f t="shared" si="145"/>
        <v/>
      </c>
      <c r="J1194" t="str">
        <f t="shared" si="146"/>
        <v/>
      </c>
      <c r="K1194" s="26" t="str">
        <f t="shared" si="147"/>
        <v/>
      </c>
      <c r="L1194" s="26" t="str">
        <f t="shared" si="148"/>
        <v/>
      </c>
      <c r="P1194" t="e">
        <f t="shared" si="149"/>
        <v>#N/A</v>
      </c>
      <c r="Q1194" t="e">
        <f t="shared" si="150"/>
        <v>#N/A</v>
      </c>
    </row>
    <row r="1195" spans="1:17">
      <c r="A1195" s="28"/>
      <c r="B1195" s="28"/>
      <c r="C1195" s="28"/>
      <c r="D1195" s="28"/>
      <c r="E1195" s="28"/>
      <c r="F1195" s="28"/>
      <c r="G1195" s="26" t="str">
        <f t="shared" si="144"/>
        <v/>
      </c>
      <c r="H1195" s="26" t="str">
        <f t="shared" si="151"/>
        <v/>
      </c>
      <c r="I1195" s="26" t="str">
        <f t="shared" si="145"/>
        <v/>
      </c>
      <c r="J1195" t="str">
        <f t="shared" si="146"/>
        <v/>
      </c>
      <c r="K1195" s="26" t="str">
        <f t="shared" si="147"/>
        <v/>
      </c>
      <c r="L1195" s="26" t="str">
        <f t="shared" si="148"/>
        <v/>
      </c>
      <c r="P1195" t="e">
        <f t="shared" si="149"/>
        <v>#N/A</v>
      </c>
      <c r="Q1195" t="e">
        <f t="shared" si="150"/>
        <v>#N/A</v>
      </c>
    </row>
    <row r="1196" spans="1:17">
      <c r="A1196" s="28"/>
      <c r="B1196" s="28"/>
      <c r="C1196" s="28"/>
      <c r="D1196" s="28"/>
      <c r="E1196" s="28"/>
      <c r="F1196" s="28"/>
      <c r="G1196" s="26" t="str">
        <f t="shared" si="144"/>
        <v/>
      </c>
      <c r="H1196" s="26" t="str">
        <f t="shared" si="151"/>
        <v/>
      </c>
      <c r="I1196" s="26" t="str">
        <f t="shared" si="145"/>
        <v/>
      </c>
      <c r="J1196" t="str">
        <f t="shared" si="146"/>
        <v/>
      </c>
      <c r="K1196" s="26" t="str">
        <f t="shared" si="147"/>
        <v/>
      </c>
      <c r="L1196" s="26" t="str">
        <f t="shared" si="148"/>
        <v/>
      </c>
      <c r="P1196" t="e">
        <f t="shared" si="149"/>
        <v>#N/A</v>
      </c>
      <c r="Q1196" t="e">
        <f t="shared" si="150"/>
        <v>#N/A</v>
      </c>
    </row>
    <row r="1197" spans="1:17">
      <c r="A1197" s="28"/>
      <c r="B1197" s="28"/>
      <c r="C1197" s="28"/>
      <c r="D1197" s="28"/>
      <c r="E1197" s="28"/>
      <c r="F1197" s="28"/>
      <c r="G1197" s="26" t="str">
        <f t="shared" si="144"/>
        <v/>
      </c>
      <c r="H1197" s="26" t="str">
        <f t="shared" si="151"/>
        <v/>
      </c>
      <c r="I1197" s="26" t="str">
        <f t="shared" si="145"/>
        <v/>
      </c>
      <c r="J1197" t="str">
        <f t="shared" si="146"/>
        <v/>
      </c>
      <c r="K1197" s="26" t="str">
        <f t="shared" si="147"/>
        <v/>
      </c>
      <c r="L1197" s="26" t="str">
        <f t="shared" si="148"/>
        <v/>
      </c>
      <c r="P1197" t="e">
        <f t="shared" si="149"/>
        <v>#N/A</v>
      </c>
      <c r="Q1197" t="e">
        <f t="shared" si="150"/>
        <v>#N/A</v>
      </c>
    </row>
    <row r="1198" spans="1:17">
      <c r="A1198" s="28"/>
      <c r="B1198" s="28"/>
      <c r="C1198" s="28"/>
      <c r="D1198" s="28"/>
      <c r="E1198" s="28"/>
      <c r="F1198" s="28"/>
      <c r="G1198" s="26" t="str">
        <f t="shared" si="144"/>
        <v/>
      </c>
      <c r="H1198" s="26" t="str">
        <f t="shared" si="151"/>
        <v/>
      </c>
      <c r="I1198" s="26" t="str">
        <f t="shared" si="145"/>
        <v/>
      </c>
      <c r="J1198" t="str">
        <f t="shared" si="146"/>
        <v/>
      </c>
      <c r="K1198" s="26" t="str">
        <f t="shared" si="147"/>
        <v/>
      </c>
      <c r="L1198" s="26" t="str">
        <f t="shared" si="148"/>
        <v/>
      </c>
      <c r="P1198" t="e">
        <f t="shared" si="149"/>
        <v>#N/A</v>
      </c>
      <c r="Q1198" t="e">
        <f t="shared" si="150"/>
        <v>#N/A</v>
      </c>
    </row>
    <row r="1199" spans="1:17">
      <c r="A1199" s="28"/>
      <c r="B1199" s="28"/>
      <c r="C1199" s="28"/>
      <c r="D1199" s="28"/>
      <c r="E1199" s="28"/>
      <c r="F1199" s="28"/>
      <c r="G1199" s="26" t="str">
        <f t="shared" si="144"/>
        <v/>
      </c>
      <c r="H1199" s="26" t="str">
        <f t="shared" si="151"/>
        <v/>
      </c>
      <c r="I1199" s="26" t="str">
        <f t="shared" si="145"/>
        <v/>
      </c>
      <c r="J1199" t="str">
        <f t="shared" si="146"/>
        <v/>
      </c>
      <c r="K1199" s="26" t="str">
        <f t="shared" si="147"/>
        <v/>
      </c>
      <c r="L1199" s="26" t="str">
        <f t="shared" si="148"/>
        <v/>
      </c>
      <c r="P1199" t="e">
        <f t="shared" si="149"/>
        <v>#N/A</v>
      </c>
      <c r="Q1199" t="e">
        <f t="shared" si="150"/>
        <v>#N/A</v>
      </c>
    </row>
    <row r="1200" spans="1:17">
      <c r="A1200" s="28"/>
      <c r="B1200" s="28"/>
      <c r="C1200" s="28"/>
      <c r="D1200" s="28"/>
      <c r="E1200" s="28"/>
      <c r="F1200" s="28"/>
      <c r="G1200" s="26" t="str">
        <f t="shared" si="144"/>
        <v/>
      </c>
      <c r="H1200" s="26" t="str">
        <f t="shared" si="151"/>
        <v/>
      </c>
      <c r="I1200" s="26" t="str">
        <f t="shared" si="145"/>
        <v/>
      </c>
      <c r="J1200" t="str">
        <f t="shared" si="146"/>
        <v/>
      </c>
      <c r="K1200" s="26" t="str">
        <f t="shared" si="147"/>
        <v/>
      </c>
      <c r="L1200" s="26" t="str">
        <f t="shared" si="148"/>
        <v/>
      </c>
      <c r="P1200" t="e">
        <f t="shared" si="149"/>
        <v>#N/A</v>
      </c>
      <c r="Q1200" t="e">
        <f t="shared" si="150"/>
        <v>#N/A</v>
      </c>
    </row>
    <row r="1201" spans="1:17">
      <c r="A1201" s="28"/>
      <c r="B1201" s="28"/>
      <c r="C1201" s="28"/>
      <c r="D1201" s="28"/>
      <c r="E1201" s="28"/>
      <c r="F1201" s="28"/>
      <c r="G1201" s="26" t="str">
        <f t="shared" si="144"/>
        <v/>
      </c>
      <c r="H1201" s="26" t="str">
        <f t="shared" si="151"/>
        <v/>
      </c>
      <c r="I1201" s="26" t="str">
        <f t="shared" si="145"/>
        <v/>
      </c>
      <c r="J1201" t="str">
        <f t="shared" si="146"/>
        <v/>
      </c>
      <c r="K1201" s="26" t="str">
        <f t="shared" si="147"/>
        <v/>
      </c>
      <c r="L1201" s="26" t="str">
        <f t="shared" si="148"/>
        <v/>
      </c>
      <c r="P1201" t="e">
        <f t="shared" si="149"/>
        <v>#N/A</v>
      </c>
      <c r="Q1201" t="e">
        <f t="shared" si="150"/>
        <v>#N/A</v>
      </c>
    </row>
    <row r="1202" spans="1:17">
      <c r="A1202" s="28"/>
      <c r="B1202" s="28"/>
      <c r="C1202" s="28"/>
      <c r="D1202" s="28"/>
      <c r="E1202" s="28"/>
      <c r="F1202" s="28"/>
      <c r="G1202" s="26" t="str">
        <f t="shared" si="144"/>
        <v/>
      </c>
      <c r="H1202" s="26" t="str">
        <f t="shared" si="151"/>
        <v/>
      </c>
      <c r="I1202" s="26" t="str">
        <f t="shared" si="145"/>
        <v/>
      </c>
      <c r="J1202" t="str">
        <f t="shared" si="146"/>
        <v/>
      </c>
      <c r="K1202" s="26" t="str">
        <f t="shared" si="147"/>
        <v/>
      </c>
      <c r="L1202" s="26" t="str">
        <f t="shared" si="148"/>
        <v/>
      </c>
      <c r="P1202" t="e">
        <f t="shared" si="149"/>
        <v>#N/A</v>
      </c>
      <c r="Q1202" t="e">
        <f t="shared" si="150"/>
        <v>#N/A</v>
      </c>
    </row>
    <row r="1203" spans="1:17">
      <c r="A1203" s="28"/>
      <c r="B1203" s="28"/>
      <c r="C1203" s="28"/>
      <c r="D1203" s="28"/>
      <c r="E1203" s="28"/>
      <c r="F1203" s="28"/>
      <c r="G1203" s="26" t="str">
        <f t="shared" si="144"/>
        <v/>
      </c>
      <c r="H1203" s="26" t="str">
        <f t="shared" si="151"/>
        <v/>
      </c>
      <c r="I1203" s="26" t="str">
        <f t="shared" si="145"/>
        <v/>
      </c>
      <c r="J1203" t="str">
        <f t="shared" si="146"/>
        <v/>
      </c>
      <c r="K1203" s="26" t="str">
        <f t="shared" si="147"/>
        <v/>
      </c>
      <c r="L1203" s="26" t="str">
        <f t="shared" si="148"/>
        <v/>
      </c>
      <c r="P1203" t="e">
        <f t="shared" si="149"/>
        <v>#N/A</v>
      </c>
      <c r="Q1203" t="e">
        <f t="shared" si="150"/>
        <v>#N/A</v>
      </c>
    </row>
    <row r="1204" spans="1:17">
      <c r="A1204" s="28"/>
      <c r="B1204" s="28"/>
      <c r="C1204" s="28"/>
      <c r="D1204" s="28"/>
      <c r="E1204" s="28"/>
      <c r="F1204" s="28"/>
      <c r="G1204" s="26" t="str">
        <f t="shared" si="144"/>
        <v/>
      </c>
      <c r="H1204" s="26" t="str">
        <f t="shared" si="151"/>
        <v/>
      </c>
      <c r="I1204" s="26" t="str">
        <f t="shared" si="145"/>
        <v/>
      </c>
      <c r="J1204" t="str">
        <f t="shared" si="146"/>
        <v/>
      </c>
      <c r="K1204" s="26" t="str">
        <f t="shared" si="147"/>
        <v/>
      </c>
      <c r="L1204" s="26" t="str">
        <f t="shared" si="148"/>
        <v/>
      </c>
      <c r="P1204" t="e">
        <f t="shared" si="149"/>
        <v>#N/A</v>
      </c>
      <c r="Q1204" t="e">
        <f t="shared" si="150"/>
        <v>#N/A</v>
      </c>
    </row>
    <row r="1205" spans="1:17">
      <c r="A1205" s="28"/>
      <c r="B1205" s="28"/>
      <c r="C1205" s="28"/>
      <c r="D1205" s="28"/>
      <c r="E1205" s="28"/>
      <c r="F1205" s="28"/>
      <c r="G1205" s="26" t="str">
        <f t="shared" si="144"/>
        <v/>
      </c>
      <c r="H1205" s="26" t="str">
        <f t="shared" si="151"/>
        <v/>
      </c>
      <c r="I1205" s="26" t="str">
        <f t="shared" si="145"/>
        <v/>
      </c>
      <c r="J1205" t="str">
        <f t="shared" si="146"/>
        <v/>
      </c>
      <c r="K1205" s="26" t="str">
        <f t="shared" si="147"/>
        <v/>
      </c>
      <c r="L1205" s="26" t="str">
        <f t="shared" si="148"/>
        <v/>
      </c>
      <c r="P1205" t="e">
        <f t="shared" si="149"/>
        <v>#N/A</v>
      </c>
      <c r="Q1205" t="e">
        <f t="shared" si="150"/>
        <v>#N/A</v>
      </c>
    </row>
    <row r="1206" spans="1:17">
      <c r="A1206" s="28"/>
      <c r="B1206" s="28"/>
      <c r="C1206" s="28"/>
      <c r="D1206" s="28"/>
      <c r="E1206" s="28"/>
      <c r="F1206" s="28"/>
      <c r="G1206" s="26" t="str">
        <f t="shared" si="144"/>
        <v/>
      </c>
      <c r="H1206" s="26" t="str">
        <f t="shared" si="151"/>
        <v/>
      </c>
      <c r="I1206" s="26" t="str">
        <f t="shared" si="145"/>
        <v/>
      </c>
      <c r="J1206" t="str">
        <f t="shared" si="146"/>
        <v/>
      </c>
      <c r="K1206" s="26" t="str">
        <f t="shared" si="147"/>
        <v/>
      </c>
      <c r="L1206" s="26" t="str">
        <f t="shared" si="148"/>
        <v/>
      </c>
      <c r="P1206" t="e">
        <f t="shared" si="149"/>
        <v>#N/A</v>
      </c>
      <c r="Q1206" t="e">
        <f t="shared" si="150"/>
        <v>#N/A</v>
      </c>
    </row>
    <row r="1207" spans="1:17">
      <c r="A1207" s="28"/>
      <c r="B1207" s="28"/>
      <c r="C1207" s="28"/>
      <c r="D1207" s="28"/>
      <c r="E1207" s="28"/>
      <c r="F1207" s="28"/>
      <c r="G1207" s="26" t="str">
        <f t="shared" si="144"/>
        <v/>
      </c>
      <c r="H1207" s="26" t="str">
        <f t="shared" si="151"/>
        <v/>
      </c>
      <c r="I1207" s="26" t="str">
        <f t="shared" si="145"/>
        <v/>
      </c>
      <c r="J1207" t="str">
        <f t="shared" si="146"/>
        <v/>
      </c>
      <c r="K1207" s="26" t="str">
        <f t="shared" si="147"/>
        <v/>
      </c>
      <c r="L1207" s="26" t="str">
        <f t="shared" si="148"/>
        <v/>
      </c>
      <c r="P1207" t="e">
        <f t="shared" si="149"/>
        <v>#N/A</v>
      </c>
      <c r="Q1207" t="e">
        <f t="shared" si="150"/>
        <v>#N/A</v>
      </c>
    </row>
    <row r="1208" spans="1:17">
      <c r="A1208" s="28"/>
      <c r="B1208" s="28"/>
      <c r="C1208" s="28"/>
      <c r="D1208" s="28"/>
      <c r="E1208" s="28"/>
      <c r="F1208" s="28"/>
      <c r="G1208" s="26" t="str">
        <f t="shared" si="144"/>
        <v/>
      </c>
      <c r="H1208" s="26" t="str">
        <f t="shared" si="151"/>
        <v/>
      </c>
      <c r="I1208" s="26" t="str">
        <f t="shared" si="145"/>
        <v/>
      </c>
      <c r="J1208" t="str">
        <f t="shared" si="146"/>
        <v/>
      </c>
      <c r="K1208" s="26" t="str">
        <f t="shared" si="147"/>
        <v/>
      </c>
      <c r="L1208" s="26" t="str">
        <f t="shared" si="148"/>
        <v/>
      </c>
      <c r="P1208" t="e">
        <f t="shared" si="149"/>
        <v>#N/A</v>
      </c>
      <c r="Q1208" t="e">
        <f t="shared" si="150"/>
        <v>#N/A</v>
      </c>
    </row>
    <row r="1209" spans="1:17">
      <c r="A1209" s="28"/>
      <c r="B1209" s="28"/>
      <c r="C1209" s="28"/>
      <c r="D1209" s="28"/>
      <c r="E1209" s="28"/>
      <c r="F1209" s="28"/>
      <c r="G1209" s="26" t="str">
        <f t="shared" si="144"/>
        <v/>
      </c>
      <c r="H1209" s="26" t="str">
        <f t="shared" si="151"/>
        <v/>
      </c>
      <c r="I1209" s="26" t="str">
        <f t="shared" si="145"/>
        <v/>
      </c>
      <c r="J1209" t="str">
        <f t="shared" si="146"/>
        <v/>
      </c>
      <c r="K1209" s="26" t="str">
        <f t="shared" si="147"/>
        <v/>
      </c>
      <c r="L1209" s="26" t="str">
        <f t="shared" si="148"/>
        <v/>
      </c>
      <c r="P1209" t="e">
        <f t="shared" si="149"/>
        <v>#N/A</v>
      </c>
      <c r="Q1209" t="e">
        <f t="shared" si="150"/>
        <v>#N/A</v>
      </c>
    </row>
    <row r="1210" spans="1:17">
      <c r="A1210" s="28"/>
      <c r="B1210" s="28"/>
      <c r="C1210" s="28"/>
      <c r="D1210" s="28"/>
      <c r="E1210" s="28"/>
      <c r="F1210" s="28"/>
      <c r="G1210" s="26" t="str">
        <f t="shared" si="144"/>
        <v/>
      </c>
      <c r="H1210" s="26" t="str">
        <f t="shared" si="151"/>
        <v/>
      </c>
      <c r="I1210" s="26" t="str">
        <f t="shared" si="145"/>
        <v/>
      </c>
      <c r="J1210" t="str">
        <f t="shared" si="146"/>
        <v/>
      </c>
      <c r="K1210" s="26" t="str">
        <f t="shared" si="147"/>
        <v/>
      </c>
      <c r="L1210" s="26" t="str">
        <f t="shared" si="148"/>
        <v/>
      </c>
      <c r="P1210" t="e">
        <f t="shared" si="149"/>
        <v>#N/A</v>
      </c>
      <c r="Q1210" t="e">
        <f t="shared" si="150"/>
        <v>#N/A</v>
      </c>
    </row>
    <row r="1211" spans="1:17">
      <c r="A1211" s="28"/>
      <c r="B1211" s="28"/>
      <c r="C1211" s="28"/>
      <c r="D1211" s="28"/>
      <c r="E1211" s="28"/>
      <c r="F1211" s="28"/>
      <c r="G1211" s="26" t="str">
        <f t="shared" si="144"/>
        <v/>
      </c>
      <c r="H1211" s="26" t="str">
        <f t="shared" si="151"/>
        <v/>
      </c>
      <c r="I1211" s="26" t="str">
        <f t="shared" si="145"/>
        <v/>
      </c>
      <c r="J1211" t="str">
        <f t="shared" si="146"/>
        <v/>
      </c>
      <c r="K1211" s="26" t="str">
        <f t="shared" si="147"/>
        <v/>
      </c>
      <c r="L1211" s="26" t="str">
        <f t="shared" si="148"/>
        <v/>
      </c>
      <c r="P1211" t="e">
        <f t="shared" si="149"/>
        <v>#N/A</v>
      </c>
      <c r="Q1211" t="e">
        <f t="shared" si="150"/>
        <v>#N/A</v>
      </c>
    </row>
    <row r="1212" spans="1:17">
      <c r="A1212" s="28"/>
      <c r="B1212" s="28"/>
      <c r="C1212" s="28"/>
      <c r="D1212" s="28"/>
      <c r="E1212" s="28"/>
      <c r="F1212" s="28"/>
      <c r="G1212" s="26" t="str">
        <f t="shared" si="144"/>
        <v/>
      </c>
      <c r="H1212" s="26" t="str">
        <f t="shared" si="151"/>
        <v/>
      </c>
      <c r="I1212" s="26" t="str">
        <f t="shared" si="145"/>
        <v/>
      </c>
      <c r="J1212" t="str">
        <f t="shared" si="146"/>
        <v/>
      </c>
      <c r="K1212" s="26" t="str">
        <f t="shared" si="147"/>
        <v/>
      </c>
      <c r="L1212" s="26" t="str">
        <f t="shared" si="148"/>
        <v/>
      </c>
      <c r="P1212" t="e">
        <f t="shared" si="149"/>
        <v>#N/A</v>
      </c>
      <c r="Q1212" t="e">
        <f t="shared" si="150"/>
        <v>#N/A</v>
      </c>
    </row>
    <row r="1213" spans="1:17">
      <c r="A1213" s="28"/>
      <c r="B1213" s="28"/>
      <c r="C1213" s="28"/>
      <c r="D1213" s="28"/>
      <c r="E1213" s="28"/>
      <c r="F1213" s="28"/>
      <c r="G1213" s="26" t="str">
        <f t="shared" si="144"/>
        <v/>
      </c>
      <c r="H1213" s="26" t="str">
        <f t="shared" si="151"/>
        <v/>
      </c>
      <c r="I1213" s="26" t="str">
        <f t="shared" si="145"/>
        <v/>
      </c>
      <c r="J1213" t="str">
        <f t="shared" si="146"/>
        <v/>
      </c>
      <c r="K1213" s="26" t="str">
        <f t="shared" si="147"/>
        <v/>
      </c>
      <c r="L1213" s="26" t="str">
        <f t="shared" si="148"/>
        <v/>
      </c>
      <c r="P1213" t="e">
        <f t="shared" si="149"/>
        <v>#N/A</v>
      </c>
      <c r="Q1213" t="e">
        <f t="shared" si="150"/>
        <v>#N/A</v>
      </c>
    </row>
    <row r="1214" spans="1:17">
      <c r="A1214" s="28"/>
      <c r="B1214" s="28"/>
      <c r="C1214" s="28"/>
      <c r="D1214" s="28"/>
      <c r="E1214" s="28"/>
      <c r="F1214" s="28"/>
      <c r="G1214" s="26" t="str">
        <f t="shared" si="144"/>
        <v/>
      </c>
      <c r="H1214" s="26" t="str">
        <f t="shared" si="151"/>
        <v/>
      </c>
      <c r="I1214" s="26" t="str">
        <f t="shared" si="145"/>
        <v/>
      </c>
      <c r="J1214" t="str">
        <f t="shared" si="146"/>
        <v/>
      </c>
      <c r="K1214" s="26" t="str">
        <f t="shared" si="147"/>
        <v/>
      </c>
      <c r="L1214" s="26" t="str">
        <f t="shared" si="148"/>
        <v/>
      </c>
      <c r="P1214" t="e">
        <f t="shared" si="149"/>
        <v>#N/A</v>
      </c>
      <c r="Q1214" t="e">
        <f t="shared" si="150"/>
        <v>#N/A</v>
      </c>
    </row>
    <row r="1215" spans="1:17">
      <c r="A1215" s="28"/>
      <c r="B1215" s="28"/>
      <c r="C1215" s="28"/>
      <c r="D1215" s="28"/>
      <c r="E1215" s="28"/>
      <c r="F1215" s="28"/>
      <c r="G1215" s="26" t="str">
        <f t="shared" si="144"/>
        <v/>
      </c>
      <c r="H1215" s="26" t="str">
        <f t="shared" si="151"/>
        <v/>
      </c>
      <c r="I1215" s="26" t="str">
        <f t="shared" si="145"/>
        <v/>
      </c>
      <c r="J1215" t="str">
        <f t="shared" si="146"/>
        <v/>
      </c>
      <c r="K1215" s="26" t="str">
        <f t="shared" si="147"/>
        <v/>
      </c>
      <c r="L1215" s="26" t="str">
        <f t="shared" si="148"/>
        <v/>
      </c>
      <c r="P1215" t="e">
        <f t="shared" si="149"/>
        <v>#N/A</v>
      </c>
      <c r="Q1215" t="e">
        <f t="shared" si="150"/>
        <v>#N/A</v>
      </c>
    </row>
    <row r="1216" spans="1:17">
      <c r="A1216" s="28"/>
      <c r="B1216" s="28"/>
      <c r="C1216" s="28"/>
      <c r="D1216" s="28"/>
      <c r="E1216" s="28"/>
      <c r="F1216" s="28"/>
      <c r="G1216" s="26" t="str">
        <f t="shared" si="144"/>
        <v/>
      </c>
      <c r="H1216" s="26" t="str">
        <f t="shared" si="151"/>
        <v/>
      </c>
      <c r="I1216" s="26" t="str">
        <f t="shared" si="145"/>
        <v/>
      </c>
      <c r="J1216" t="str">
        <f t="shared" si="146"/>
        <v/>
      </c>
      <c r="K1216" s="26" t="str">
        <f t="shared" si="147"/>
        <v/>
      </c>
      <c r="L1216" s="26" t="str">
        <f t="shared" si="148"/>
        <v/>
      </c>
      <c r="P1216" t="e">
        <f t="shared" si="149"/>
        <v>#N/A</v>
      </c>
      <c r="Q1216" t="e">
        <f t="shared" si="150"/>
        <v>#N/A</v>
      </c>
    </row>
    <row r="1217" spans="1:17">
      <c r="A1217" s="28"/>
      <c r="B1217" s="28"/>
      <c r="C1217" s="28"/>
      <c r="D1217" s="28"/>
      <c r="E1217" s="28"/>
      <c r="F1217" s="28"/>
      <c r="G1217" s="26" t="str">
        <f t="shared" si="144"/>
        <v/>
      </c>
      <c r="H1217" s="26" t="str">
        <f t="shared" si="151"/>
        <v/>
      </c>
      <c r="I1217" s="26" t="str">
        <f t="shared" si="145"/>
        <v/>
      </c>
      <c r="J1217" t="str">
        <f t="shared" si="146"/>
        <v/>
      </c>
      <c r="K1217" s="26" t="str">
        <f t="shared" si="147"/>
        <v/>
      </c>
      <c r="L1217" s="26" t="str">
        <f t="shared" si="148"/>
        <v/>
      </c>
      <c r="P1217" t="e">
        <f t="shared" si="149"/>
        <v>#N/A</v>
      </c>
      <c r="Q1217" t="e">
        <f t="shared" si="150"/>
        <v>#N/A</v>
      </c>
    </row>
    <row r="1218" spans="1:17">
      <c r="A1218" s="28"/>
      <c r="B1218" s="28"/>
      <c r="C1218" s="28"/>
      <c r="D1218" s="28"/>
      <c r="E1218" s="28"/>
      <c r="F1218" s="28"/>
      <c r="G1218" s="26" t="str">
        <f t="shared" ref="G1218:G1281" si="152">IF(B1218="","",243.04*(LN(C1218/100)+17.625*B1218/(243.04+B1218))/(17.625-LN(C1218/100)-17.625*B1218/(243.04+B1218)))</f>
        <v/>
      </c>
      <c r="H1218" s="26" t="str">
        <f t="shared" si="151"/>
        <v/>
      </c>
      <c r="I1218" s="26" t="str">
        <f t="shared" ref="I1218:I1281" si="153">IF(B1218="","",B1218-E1218)</f>
        <v/>
      </c>
      <c r="J1218" t="str">
        <f t="shared" ref="J1218:J1281" si="154">IF(H1218="","",IF(H1218&gt;0.6,"Heating",IF(H1218&lt;-0.2,"Cooling","Steady")))</f>
        <v/>
      </c>
      <c r="K1218" s="26" t="str">
        <f t="shared" ref="K1218:K1281" si="155">IF(J1218="Cooling",I1218,"")</f>
        <v/>
      </c>
      <c r="L1218" s="26" t="str">
        <f t="shared" ref="L1218:L1281" si="156">IF(J1218="Cooling",H1218,"")</f>
        <v/>
      </c>
      <c r="P1218" t="e">
        <f t="shared" ref="P1218:P1281" si="157">IF(K1218="",NA(),K1218)</f>
        <v>#N/A</v>
      </c>
      <c r="Q1218" t="e">
        <f t="shared" ref="Q1218:Q1281" si="158">IF(L1218="",NA(),L1218)</f>
        <v>#N/A</v>
      </c>
    </row>
    <row r="1219" spans="1:17">
      <c r="A1219" s="28"/>
      <c r="B1219" s="28"/>
      <c r="C1219" s="28"/>
      <c r="D1219" s="28"/>
      <c r="E1219" s="28"/>
      <c r="F1219" s="28"/>
      <c r="G1219" s="26" t="str">
        <f t="shared" si="152"/>
        <v/>
      </c>
      <c r="H1219" s="26" t="str">
        <f t="shared" si="151"/>
        <v/>
      </c>
      <c r="I1219" s="26" t="str">
        <f t="shared" si="153"/>
        <v/>
      </c>
      <c r="J1219" t="str">
        <f t="shared" si="154"/>
        <v/>
      </c>
      <c r="K1219" s="26" t="str">
        <f t="shared" si="155"/>
        <v/>
      </c>
      <c r="L1219" s="26" t="str">
        <f t="shared" si="156"/>
        <v/>
      </c>
      <c r="P1219" t="e">
        <f t="shared" si="157"/>
        <v>#N/A</v>
      </c>
      <c r="Q1219" t="e">
        <f t="shared" si="158"/>
        <v>#N/A</v>
      </c>
    </row>
    <row r="1220" spans="1:17">
      <c r="A1220" s="28"/>
      <c r="B1220" s="28"/>
      <c r="C1220" s="28"/>
      <c r="D1220" s="28"/>
      <c r="E1220" s="28"/>
      <c r="F1220" s="28"/>
      <c r="G1220" s="26" t="str">
        <f t="shared" si="152"/>
        <v/>
      </c>
      <c r="H1220" s="26" t="str">
        <f t="shared" ref="H1220:H1283" si="159">IFERROR(IF(OR(B1218="",B1222=""),"",(B1222-B1218)/4*60),"")</f>
        <v/>
      </c>
      <c r="I1220" s="26" t="str">
        <f t="shared" si="153"/>
        <v/>
      </c>
      <c r="J1220" t="str">
        <f t="shared" si="154"/>
        <v/>
      </c>
      <c r="K1220" s="26" t="str">
        <f t="shared" si="155"/>
        <v/>
      </c>
      <c r="L1220" s="26" t="str">
        <f t="shared" si="156"/>
        <v/>
      </c>
      <c r="P1220" t="e">
        <f t="shared" si="157"/>
        <v>#N/A</v>
      </c>
      <c r="Q1220" t="e">
        <f t="shared" si="158"/>
        <v>#N/A</v>
      </c>
    </row>
    <row r="1221" spans="1:17">
      <c r="A1221" s="28"/>
      <c r="B1221" s="28"/>
      <c r="C1221" s="28"/>
      <c r="D1221" s="28"/>
      <c r="E1221" s="28"/>
      <c r="F1221" s="28"/>
      <c r="G1221" s="26" t="str">
        <f t="shared" si="152"/>
        <v/>
      </c>
      <c r="H1221" s="26" t="str">
        <f t="shared" si="159"/>
        <v/>
      </c>
      <c r="I1221" s="26" t="str">
        <f t="shared" si="153"/>
        <v/>
      </c>
      <c r="J1221" t="str">
        <f t="shared" si="154"/>
        <v/>
      </c>
      <c r="K1221" s="26" t="str">
        <f t="shared" si="155"/>
        <v/>
      </c>
      <c r="L1221" s="26" t="str">
        <f t="shared" si="156"/>
        <v/>
      </c>
      <c r="P1221" t="e">
        <f t="shared" si="157"/>
        <v>#N/A</v>
      </c>
      <c r="Q1221" t="e">
        <f t="shared" si="158"/>
        <v>#N/A</v>
      </c>
    </row>
    <row r="1222" spans="1:17">
      <c r="A1222" s="28"/>
      <c r="B1222" s="28"/>
      <c r="C1222" s="28"/>
      <c r="D1222" s="28"/>
      <c r="E1222" s="28"/>
      <c r="F1222" s="28"/>
      <c r="G1222" s="26" t="str">
        <f t="shared" si="152"/>
        <v/>
      </c>
      <c r="H1222" s="26" t="str">
        <f t="shared" si="159"/>
        <v/>
      </c>
      <c r="I1222" s="26" t="str">
        <f t="shared" si="153"/>
        <v/>
      </c>
      <c r="J1222" t="str">
        <f t="shared" si="154"/>
        <v/>
      </c>
      <c r="K1222" s="26" t="str">
        <f t="shared" si="155"/>
        <v/>
      </c>
      <c r="L1222" s="26" t="str">
        <f t="shared" si="156"/>
        <v/>
      </c>
      <c r="P1222" t="e">
        <f t="shared" si="157"/>
        <v>#N/A</v>
      </c>
      <c r="Q1222" t="e">
        <f t="shared" si="158"/>
        <v>#N/A</v>
      </c>
    </row>
    <row r="1223" spans="1:17">
      <c r="A1223" s="28"/>
      <c r="B1223" s="28"/>
      <c r="C1223" s="28"/>
      <c r="D1223" s="28"/>
      <c r="E1223" s="28"/>
      <c r="F1223" s="28"/>
      <c r="G1223" s="26" t="str">
        <f t="shared" si="152"/>
        <v/>
      </c>
      <c r="H1223" s="26" t="str">
        <f t="shared" si="159"/>
        <v/>
      </c>
      <c r="I1223" s="26" t="str">
        <f t="shared" si="153"/>
        <v/>
      </c>
      <c r="J1223" t="str">
        <f t="shared" si="154"/>
        <v/>
      </c>
      <c r="K1223" s="26" t="str">
        <f t="shared" si="155"/>
        <v/>
      </c>
      <c r="L1223" s="26" t="str">
        <f t="shared" si="156"/>
        <v/>
      </c>
      <c r="P1223" t="e">
        <f t="shared" si="157"/>
        <v>#N/A</v>
      </c>
      <c r="Q1223" t="e">
        <f t="shared" si="158"/>
        <v>#N/A</v>
      </c>
    </row>
    <row r="1224" spans="1:17">
      <c r="A1224" s="28"/>
      <c r="B1224" s="28"/>
      <c r="C1224" s="28"/>
      <c r="D1224" s="28"/>
      <c r="E1224" s="28"/>
      <c r="F1224" s="28"/>
      <c r="G1224" s="26" t="str">
        <f t="shared" si="152"/>
        <v/>
      </c>
      <c r="H1224" s="26" t="str">
        <f t="shared" si="159"/>
        <v/>
      </c>
      <c r="I1224" s="26" t="str">
        <f t="shared" si="153"/>
        <v/>
      </c>
      <c r="J1224" t="str">
        <f t="shared" si="154"/>
        <v/>
      </c>
      <c r="K1224" s="26" t="str">
        <f t="shared" si="155"/>
        <v/>
      </c>
      <c r="L1224" s="26" t="str">
        <f t="shared" si="156"/>
        <v/>
      </c>
      <c r="P1224" t="e">
        <f t="shared" si="157"/>
        <v>#N/A</v>
      </c>
      <c r="Q1224" t="e">
        <f t="shared" si="158"/>
        <v>#N/A</v>
      </c>
    </row>
    <row r="1225" spans="1:17">
      <c r="A1225" s="28"/>
      <c r="B1225" s="28"/>
      <c r="C1225" s="28"/>
      <c r="D1225" s="28"/>
      <c r="E1225" s="28"/>
      <c r="F1225" s="28"/>
      <c r="G1225" s="26" t="str">
        <f t="shared" si="152"/>
        <v/>
      </c>
      <c r="H1225" s="26" t="str">
        <f t="shared" si="159"/>
        <v/>
      </c>
      <c r="I1225" s="26" t="str">
        <f t="shared" si="153"/>
        <v/>
      </c>
      <c r="J1225" t="str">
        <f t="shared" si="154"/>
        <v/>
      </c>
      <c r="K1225" s="26" t="str">
        <f t="shared" si="155"/>
        <v/>
      </c>
      <c r="L1225" s="26" t="str">
        <f t="shared" si="156"/>
        <v/>
      </c>
      <c r="P1225" t="e">
        <f t="shared" si="157"/>
        <v>#N/A</v>
      </c>
      <c r="Q1225" t="e">
        <f t="shared" si="158"/>
        <v>#N/A</v>
      </c>
    </row>
    <row r="1226" spans="1:17">
      <c r="A1226" s="28"/>
      <c r="B1226" s="28"/>
      <c r="C1226" s="28"/>
      <c r="D1226" s="28"/>
      <c r="E1226" s="28"/>
      <c r="F1226" s="28"/>
      <c r="G1226" s="26" t="str">
        <f t="shared" si="152"/>
        <v/>
      </c>
      <c r="H1226" s="26" t="str">
        <f t="shared" si="159"/>
        <v/>
      </c>
      <c r="I1226" s="26" t="str">
        <f t="shared" si="153"/>
        <v/>
      </c>
      <c r="J1226" t="str">
        <f t="shared" si="154"/>
        <v/>
      </c>
      <c r="K1226" s="26" t="str">
        <f t="shared" si="155"/>
        <v/>
      </c>
      <c r="L1226" s="26" t="str">
        <f t="shared" si="156"/>
        <v/>
      </c>
      <c r="P1226" t="e">
        <f t="shared" si="157"/>
        <v>#N/A</v>
      </c>
      <c r="Q1226" t="e">
        <f t="shared" si="158"/>
        <v>#N/A</v>
      </c>
    </row>
    <row r="1227" spans="1:17">
      <c r="A1227" s="28"/>
      <c r="B1227" s="28"/>
      <c r="C1227" s="28"/>
      <c r="D1227" s="28"/>
      <c r="E1227" s="28"/>
      <c r="F1227" s="28"/>
      <c r="G1227" s="26" t="str">
        <f t="shared" si="152"/>
        <v/>
      </c>
      <c r="H1227" s="26" t="str">
        <f t="shared" si="159"/>
        <v/>
      </c>
      <c r="I1227" s="26" t="str">
        <f t="shared" si="153"/>
        <v/>
      </c>
      <c r="J1227" t="str">
        <f t="shared" si="154"/>
        <v/>
      </c>
      <c r="K1227" s="26" t="str">
        <f t="shared" si="155"/>
        <v/>
      </c>
      <c r="L1227" s="26" t="str">
        <f t="shared" si="156"/>
        <v/>
      </c>
      <c r="P1227" t="e">
        <f t="shared" si="157"/>
        <v>#N/A</v>
      </c>
      <c r="Q1227" t="e">
        <f t="shared" si="158"/>
        <v>#N/A</v>
      </c>
    </row>
    <row r="1228" spans="1:17">
      <c r="A1228" s="28"/>
      <c r="B1228" s="28"/>
      <c r="C1228" s="28"/>
      <c r="D1228" s="28"/>
      <c r="E1228" s="28"/>
      <c r="F1228" s="28"/>
      <c r="G1228" s="26" t="str">
        <f t="shared" si="152"/>
        <v/>
      </c>
      <c r="H1228" s="26" t="str">
        <f t="shared" si="159"/>
        <v/>
      </c>
      <c r="I1228" s="26" t="str">
        <f t="shared" si="153"/>
        <v/>
      </c>
      <c r="J1228" t="str">
        <f t="shared" si="154"/>
        <v/>
      </c>
      <c r="K1228" s="26" t="str">
        <f t="shared" si="155"/>
        <v/>
      </c>
      <c r="L1228" s="26" t="str">
        <f t="shared" si="156"/>
        <v/>
      </c>
      <c r="P1228" t="e">
        <f t="shared" si="157"/>
        <v>#N/A</v>
      </c>
      <c r="Q1228" t="e">
        <f t="shared" si="158"/>
        <v>#N/A</v>
      </c>
    </row>
    <row r="1229" spans="1:17">
      <c r="A1229" s="28"/>
      <c r="B1229" s="28"/>
      <c r="C1229" s="28"/>
      <c r="D1229" s="28"/>
      <c r="E1229" s="28"/>
      <c r="F1229" s="28"/>
      <c r="G1229" s="26" t="str">
        <f t="shared" si="152"/>
        <v/>
      </c>
      <c r="H1229" s="26" t="str">
        <f t="shared" si="159"/>
        <v/>
      </c>
      <c r="I1229" s="26" t="str">
        <f t="shared" si="153"/>
        <v/>
      </c>
      <c r="J1229" t="str">
        <f t="shared" si="154"/>
        <v/>
      </c>
      <c r="K1229" s="26" t="str">
        <f t="shared" si="155"/>
        <v/>
      </c>
      <c r="L1229" s="26" t="str">
        <f t="shared" si="156"/>
        <v/>
      </c>
      <c r="P1229" t="e">
        <f t="shared" si="157"/>
        <v>#N/A</v>
      </c>
      <c r="Q1229" t="e">
        <f t="shared" si="158"/>
        <v>#N/A</v>
      </c>
    </row>
    <row r="1230" spans="1:17">
      <c r="A1230" s="28"/>
      <c r="B1230" s="28"/>
      <c r="C1230" s="28"/>
      <c r="D1230" s="28"/>
      <c r="E1230" s="28"/>
      <c r="F1230" s="28"/>
      <c r="G1230" s="26" t="str">
        <f t="shared" si="152"/>
        <v/>
      </c>
      <c r="H1230" s="26" t="str">
        <f t="shared" si="159"/>
        <v/>
      </c>
      <c r="I1230" s="26" t="str">
        <f t="shared" si="153"/>
        <v/>
      </c>
      <c r="J1230" t="str">
        <f t="shared" si="154"/>
        <v/>
      </c>
      <c r="K1230" s="26" t="str">
        <f t="shared" si="155"/>
        <v/>
      </c>
      <c r="L1230" s="26" t="str">
        <f t="shared" si="156"/>
        <v/>
      </c>
      <c r="P1230" t="e">
        <f t="shared" si="157"/>
        <v>#N/A</v>
      </c>
      <c r="Q1230" t="e">
        <f t="shared" si="158"/>
        <v>#N/A</v>
      </c>
    </row>
    <row r="1231" spans="1:17">
      <c r="A1231" s="28"/>
      <c r="B1231" s="28"/>
      <c r="C1231" s="28"/>
      <c r="D1231" s="28"/>
      <c r="E1231" s="28"/>
      <c r="F1231" s="28"/>
      <c r="G1231" s="26" t="str">
        <f t="shared" si="152"/>
        <v/>
      </c>
      <c r="H1231" s="26" t="str">
        <f t="shared" si="159"/>
        <v/>
      </c>
      <c r="I1231" s="26" t="str">
        <f t="shared" si="153"/>
        <v/>
      </c>
      <c r="J1231" t="str">
        <f t="shared" si="154"/>
        <v/>
      </c>
      <c r="K1231" s="26" t="str">
        <f t="shared" si="155"/>
        <v/>
      </c>
      <c r="L1231" s="26" t="str">
        <f t="shared" si="156"/>
        <v/>
      </c>
      <c r="P1231" t="e">
        <f t="shared" si="157"/>
        <v>#N/A</v>
      </c>
      <c r="Q1231" t="e">
        <f t="shared" si="158"/>
        <v>#N/A</v>
      </c>
    </row>
    <row r="1232" spans="1:17">
      <c r="A1232" s="28"/>
      <c r="B1232" s="28"/>
      <c r="C1232" s="28"/>
      <c r="D1232" s="28"/>
      <c r="E1232" s="28"/>
      <c r="F1232" s="28"/>
      <c r="G1232" s="26" t="str">
        <f t="shared" si="152"/>
        <v/>
      </c>
      <c r="H1232" s="26" t="str">
        <f t="shared" si="159"/>
        <v/>
      </c>
      <c r="I1232" s="26" t="str">
        <f t="shared" si="153"/>
        <v/>
      </c>
      <c r="J1232" t="str">
        <f t="shared" si="154"/>
        <v/>
      </c>
      <c r="K1232" s="26" t="str">
        <f t="shared" si="155"/>
        <v/>
      </c>
      <c r="L1232" s="26" t="str">
        <f t="shared" si="156"/>
        <v/>
      </c>
      <c r="P1232" t="e">
        <f t="shared" si="157"/>
        <v>#N/A</v>
      </c>
      <c r="Q1232" t="e">
        <f t="shared" si="158"/>
        <v>#N/A</v>
      </c>
    </row>
    <row r="1233" spans="1:17">
      <c r="A1233" s="28"/>
      <c r="B1233" s="28"/>
      <c r="C1233" s="28"/>
      <c r="D1233" s="28"/>
      <c r="E1233" s="28"/>
      <c r="F1233" s="28"/>
      <c r="G1233" s="26" t="str">
        <f t="shared" si="152"/>
        <v/>
      </c>
      <c r="H1233" s="26" t="str">
        <f t="shared" si="159"/>
        <v/>
      </c>
      <c r="I1233" s="26" t="str">
        <f t="shared" si="153"/>
        <v/>
      </c>
      <c r="J1233" t="str">
        <f t="shared" si="154"/>
        <v/>
      </c>
      <c r="K1233" s="26" t="str">
        <f t="shared" si="155"/>
        <v/>
      </c>
      <c r="L1233" s="26" t="str">
        <f t="shared" si="156"/>
        <v/>
      </c>
      <c r="P1233" t="e">
        <f t="shared" si="157"/>
        <v>#N/A</v>
      </c>
      <c r="Q1233" t="e">
        <f t="shared" si="158"/>
        <v>#N/A</v>
      </c>
    </row>
    <row r="1234" spans="1:17">
      <c r="A1234" s="28"/>
      <c r="B1234" s="28"/>
      <c r="C1234" s="28"/>
      <c r="D1234" s="28"/>
      <c r="E1234" s="28"/>
      <c r="F1234" s="28"/>
      <c r="G1234" s="26" t="str">
        <f t="shared" si="152"/>
        <v/>
      </c>
      <c r="H1234" s="26" t="str">
        <f t="shared" si="159"/>
        <v/>
      </c>
      <c r="I1234" s="26" t="str">
        <f t="shared" si="153"/>
        <v/>
      </c>
      <c r="J1234" t="str">
        <f t="shared" si="154"/>
        <v/>
      </c>
      <c r="K1234" s="26" t="str">
        <f t="shared" si="155"/>
        <v/>
      </c>
      <c r="L1234" s="26" t="str">
        <f t="shared" si="156"/>
        <v/>
      </c>
      <c r="P1234" t="e">
        <f t="shared" si="157"/>
        <v>#N/A</v>
      </c>
      <c r="Q1234" t="e">
        <f t="shared" si="158"/>
        <v>#N/A</v>
      </c>
    </row>
    <row r="1235" spans="1:17">
      <c r="A1235" s="28"/>
      <c r="B1235" s="28"/>
      <c r="C1235" s="28"/>
      <c r="D1235" s="28"/>
      <c r="E1235" s="28"/>
      <c r="F1235" s="28"/>
      <c r="G1235" s="26" t="str">
        <f t="shared" si="152"/>
        <v/>
      </c>
      <c r="H1235" s="26" t="str">
        <f t="shared" si="159"/>
        <v/>
      </c>
      <c r="I1235" s="26" t="str">
        <f t="shared" si="153"/>
        <v/>
      </c>
      <c r="J1235" t="str">
        <f t="shared" si="154"/>
        <v/>
      </c>
      <c r="K1235" s="26" t="str">
        <f t="shared" si="155"/>
        <v/>
      </c>
      <c r="L1235" s="26" t="str">
        <f t="shared" si="156"/>
        <v/>
      </c>
      <c r="P1235" t="e">
        <f t="shared" si="157"/>
        <v>#N/A</v>
      </c>
      <c r="Q1235" t="e">
        <f t="shared" si="158"/>
        <v>#N/A</v>
      </c>
    </row>
    <row r="1236" spans="1:17">
      <c r="A1236" s="28"/>
      <c r="B1236" s="28"/>
      <c r="C1236" s="28"/>
      <c r="D1236" s="28"/>
      <c r="E1236" s="28"/>
      <c r="F1236" s="28"/>
      <c r="G1236" s="26" t="str">
        <f t="shared" si="152"/>
        <v/>
      </c>
      <c r="H1236" s="26" t="str">
        <f t="shared" si="159"/>
        <v/>
      </c>
      <c r="I1236" s="26" t="str">
        <f t="shared" si="153"/>
        <v/>
      </c>
      <c r="J1236" t="str">
        <f t="shared" si="154"/>
        <v/>
      </c>
      <c r="K1236" s="26" t="str">
        <f t="shared" si="155"/>
        <v/>
      </c>
      <c r="L1236" s="26" t="str">
        <f t="shared" si="156"/>
        <v/>
      </c>
      <c r="P1236" t="e">
        <f t="shared" si="157"/>
        <v>#N/A</v>
      </c>
      <c r="Q1236" t="e">
        <f t="shared" si="158"/>
        <v>#N/A</v>
      </c>
    </row>
    <row r="1237" spans="1:17">
      <c r="A1237" s="28"/>
      <c r="B1237" s="28"/>
      <c r="C1237" s="28"/>
      <c r="D1237" s="28"/>
      <c r="E1237" s="28"/>
      <c r="F1237" s="28"/>
      <c r="G1237" s="26" t="str">
        <f t="shared" si="152"/>
        <v/>
      </c>
      <c r="H1237" s="26" t="str">
        <f t="shared" si="159"/>
        <v/>
      </c>
      <c r="I1237" s="26" t="str">
        <f t="shared" si="153"/>
        <v/>
      </c>
      <c r="J1237" t="str">
        <f t="shared" si="154"/>
        <v/>
      </c>
      <c r="K1237" s="26" t="str">
        <f t="shared" si="155"/>
        <v/>
      </c>
      <c r="L1237" s="26" t="str">
        <f t="shared" si="156"/>
        <v/>
      </c>
      <c r="P1237" t="e">
        <f t="shared" si="157"/>
        <v>#N/A</v>
      </c>
      <c r="Q1237" t="e">
        <f t="shared" si="158"/>
        <v>#N/A</v>
      </c>
    </row>
    <row r="1238" spans="1:17">
      <c r="A1238" s="28"/>
      <c r="B1238" s="28"/>
      <c r="C1238" s="28"/>
      <c r="D1238" s="28"/>
      <c r="E1238" s="28"/>
      <c r="F1238" s="28"/>
      <c r="G1238" s="26" t="str">
        <f t="shared" si="152"/>
        <v/>
      </c>
      <c r="H1238" s="26" t="str">
        <f t="shared" si="159"/>
        <v/>
      </c>
      <c r="I1238" s="26" t="str">
        <f t="shared" si="153"/>
        <v/>
      </c>
      <c r="J1238" t="str">
        <f t="shared" si="154"/>
        <v/>
      </c>
      <c r="K1238" s="26" t="str">
        <f t="shared" si="155"/>
        <v/>
      </c>
      <c r="L1238" s="26" t="str">
        <f t="shared" si="156"/>
        <v/>
      </c>
      <c r="P1238" t="e">
        <f t="shared" si="157"/>
        <v>#N/A</v>
      </c>
      <c r="Q1238" t="e">
        <f t="shared" si="158"/>
        <v>#N/A</v>
      </c>
    </row>
    <row r="1239" spans="1:17">
      <c r="A1239" s="28"/>
      <c r="B1239" s="28"/>
      <c r="C1239" s="28"/>
      <c r="D1239" s="28"/>
      <c r="E1239" s="28"/>
      <c r="F1239" s="28"/>
      <c r="G1239" s="26" t="str">
        <f t="shared" si="152"/>
        <v/>
      </c>
      <c r="H1239" s="26" t="str">
        <f t="shared" si="159"/>
        <v/>
      </c>
      <c r="I1239" s="26" t="str">
        <f t="shared" si="153"/>
        <v/>
      </c>
      <c r="J1239" t="str">
        <f t="shared" si="154"/>
        <v/>
      </c>
      <c r="K1239" s="26" t="str">
        <f t="shared" si="155"/>
        <v/>
      </c>
      <c r="L1239" s="26" t="str">
        <f t="shared" si="156"/>
        <v/>
      </c>
      <c r="P1239" t="e">
        <f t="shared" si="157"/>
        <v>#N/A</v>
      </c>
      <c r="Q1239" t="e">
        <f t="shared" si="158"/>
        <v>#N/A</v>
      </c>
    </row>
    <row r="1240" spans="1:17">
      <c r="A1240" s="28"/>
      <c r="B1240" s="28"/>
      <c r="C1240" s="28"/>
      <c r="D1240" s="28"/>
      <c r="E1240" s="28"/>
      <c r="F1240" s="28"/>
      <c r="G1240" s="26" t="str">
        <f t="shared" si="152"/>
        <v/>
      </c>
      <c r="H1240" s="26" t="str">
        <f t="shared" si="159"/>
        <v/>
      </c>
      <c r="I1240" s="26" t="str">
        <f t="shared" si="153"/>
        <v/>
      </c>
      <c r="J1240" t="str">
        <f t="shared" si="154"/>
        <v/>
      </c>
      <c r="K1240" s="26" t="str">
        <f t="shared" si="155"/>
        <v/>
      </c>
      <c r="L1240" s="26" t="str">
        <f t="shared" si="156"/>
        <v/>
      </c>
      <c r="P1240" t="e">
        <f t="shared" si="157"/>
        <v>#N/A</v>
      </c>
      <c r="Q1240" t="e">
        <f t="shared" si="158"/>
        <v>#N/A</v>
      </c>
    </row>
    <row r="1241" spans="1:17">
      <c r="A1241" s="28"/>
      <c r="B1241" s="28"/>
      <c r="C1241" s="28"/>
      <c r="D1241" s="28"/>
      <c r="E1241" s="28"/>
      <c r="F1241" s="28"/>
      <c r="G1241" s="26" t="str">
        <f t="shared" si="152"/>
        <v/>
      </c>
      <c r="H1241" s="26" t="str">
        <f t="shared" si="159"/>
        <v/>
      </c>
      <c r="I1241" s="26" t="str">
        <f t="shared" si="153"/>
        <v/>
      </c>
      <c r="J1241" t="str">
        <f t="shared" si="154"/>
        <v/>
      </c>
      <c r="K1241" s="26" t="str">
        <f t="shared" si="155"/>
        <v/>
      </c>
      <c r="L1241" s="26" t="str">
        <f t="shared" si="156"/>
        <v/>
      </c>
      <c r="P1241" t="e">
        <f t="shared" si="157"/>
        <v>#N/A</v>
      </c>
      <c r="Q1241" t="e">
        <f t="shared" si="158"/>
        <v>#N/A</v>
      </c>
    </row>
    <row r="1242" spans="1:17">
      <c r="A1242" s="28"/>
      <c r="B1242" s="28"/>
      <c r="C1242" s="28"/>
      <c r="D1242" s="28"/>
      <c r="E1242" s="28"/>
      <c r="F1242" s="28"/>
      <c r="G1242" s="26" t="str">
        <f t="shared" si="152"/>
        <v/>
      </c>
      <c r="H1242" s="26" t="str">
        <f t="shared" si="159"/>
        <v/>
      </c>
      <c r="I1242" s="26" t="str">
        <f t="shared" si="153"/>
        <v/>
      </c>
      <c r="J1242" t="str">
        <f t="shared" si="154"/>
        <v/>
      </c>
      <c r="K1242" s="26" t="str">
        <f t="shared" si="155"/>
        <v/>
      </c>
      <c r="L1242" s="26" t="str">
        <f t="shared" si="156"/>
        <v/>
      </c>
      <c r="P1242" t="e">
        <f t="shared" si="157"/>
        <v>#N/A</v>
      </c>
      <c r="Q1242" t="e">
        <f t="shared" si="158"/>
        <v>#N/A</v>
      </c>
    </row>
    <row r="1243" spans="1:17">
      <c r="A1243" s="28"/>
      <c r="B1243" s="28"/>
      <c r="C1243" s="28"/>
      <c r="D1243" s="28"/>
      <c r="E1243" s="28"/>
      <c r="F1243" s="28"/>
      <c r="G1243" s="26" t="str">
        <f t="shared" si="152"/>
        <v/>
      </c>
      <c r="H1243" s="26" t="str">
        <f t="shared" si="159"/>
        <v/>
      </c>
      <c r="I1243" s="26" t="str">
        <f t="shared" si="153"/>
        <v/>
      </c>
      <c r="J1243" t="str">
        <f t="shared" si="154"/>
        <v/>
      </c>
      <c r="K1243" s="26" t="str">
        <f t="shared" si="155"/>
        <v/>
      </c>
      <c r="L1243" s="26" t="str">
        <f t="shared" si="156"/>
        <v/>
      </c>
      <c r="P1243" t="e">
        <f t="shared" si="157"/>
        <v>#N/A</v>
      </c>
      <c r="Q1243" t="e">
        <f t="shared" si="158"/>
        <v>#N/A</v>
      </c>
    </row>
    <row r="1244" spans="1:17">
      <c r="A1244" s="28"/>
      <c r="B1244" s="28"/>
      <c r="C1244" s="28"/>
      <c r="D1244" s="28"/>
      <c r="E1244" s="28"/>
      <c r="F1244" s="28"/>
      <c r="G1244" s="26" t="str">
        <f t="shared" si="152"/>
        <v/>
      </c>
      <c r="H1244" s="26" t="str">
        <f t="shared" si="159"/>
        <v/>
      </c>
      <c r="I1244" s="26" t="str">
        <f t="shared" si="153"/>
        <v/>
      </c>
      <c r="J1244" t="str">
        <f t="shared" si="154"/>
        <v/>
      </c>
      <c r="K1244" s="26" t="str">
        <f t="shared" si="155"/>
        <v/>
      </c>
      <c r="L1244" s="26" t="str">
        <f t="shared" si="156"/>
        <v/>
      </c>
      <c r="P1244" t="e">
        <f t="shared" si="157"/>
        <v>#N/A</v>
      </c>
      <c r="Q1244" t="e">
        <f t="shared" si="158"/>
        <v>#N/A</v>
      </c>
    </row>
    <row r="1245" spans="1:17">
      <c r="A1245" s="28"/>
      <c r="B1245" s="28"/>
      <c r="C1245" s="28"/>
      <c r="D1245" s="28"/>
      <c r="E1245" s="28"/>
      <c r="F1245" s="28"/>
      <c r="G1245" s="26" t="str">
        <f t="shared" si="152"/>
        <v/>
      </c>
      <c r="H1245" s="26" t="str">
        <f t="shared" si="159"/>
        <v/>
      </c>
      <c r="I1245" s="26" t="str">
        <f t="shared" si="153"/>
        <v/>
      </c>
      <c r="J1245" t="str">
        <f t="shared" si="154"/>
        <v/>
      </c>
      <c r="K1245" s="26" t="str">
        <f t="shared" si="155"/>
        <v/>
      </c>
      <c r="L1245" s="26" t="str">
        <f t="shared" si="156"/>
        <v/>
      </c>
      <c r="P1245" t="e">
        <f t="shared" si="157"/>
        <v>#N/A</v>
      </c>
      <c r="Q1245" t="e">
        <f t="shared" si="158"/>
        <v>#N/A</v>
      </c>
    </row>
    <row r="1246" spans="1:17">
      <c r="A1246" s="28"/>
      <c r="B1246" s="28"/>
      <c r="C1246" s="28"/>
      <c r="D1246" s="28"/>
      <c r="E1246" s="28"/>
      <c r="F1246" s="28"/>
      <c r="G1246" s="26" t="str">
        <f t="shared" si="152"/>
        <v/>
      </c>
      <c r="H1246" s="26" t="str">
        <f t="shared" si="159"/>
        <v/>
      </c>
      <c r="I1246" s="26" t="str">
        <f t="shared" si="153"/>
        <v/>
      </c>
      <c r="J1246" t="str">
        <f t="shared" si="154"/>
        <v/>
      </c>
      <c r="K1246" s="26" t="str">
        <f t="shared" si="155"/>
        <v/>
      </c>
      <c r="L1246" s="26" t="str">
        <f t="shared" si="156"/>
        <v/>
      </c>
      <c r="P1246" t="e">
        <f t="shared" si="157"/>
        <v>#N/A</v>
      </c>
      <c r="Q1246" t="e">
        <f t="shared" si="158"/>
        <v>#N/A</v>
      </c>
    </row>
    <row r="1247" spans="1:17">
      <c r="A1247" s="28"/>
      <c r="B1247" s="28"/>
      <c r="C1247" s="28"/>
      <c r="D1247" s="28"/>
      <c r="E1247" s="28"/>
      <c r="F1247" s="28"/>
      <c r="G1247" s="26" t="str">
        <f t="shared" si="152"/>
        <v/>
      </c>
      <c r="H1247" s="26" t="str">
        <f t="shared" si="159"/>
        <v/>
      </c>
      <c r="I1247" s="26" t="str">
        <f t="shared" si="153"/>
        <v/>
      </c>
      <c r="J1247" t="str">
        <f t="shared" si="154"/>
        <v/>
      </c>
      <c r="K1247" s="26" t="str">
        <f t="shared" si="155"/>
        <v/>
      </c>
      <c r="L1247" s="26" t="str">
        <f t="shared" si="156"/>
        <v/>
      </c>
      <c r="P1247" t="e">
        <f t="shared" si="157"/>
        <v>#N/A</v>
      </c>
      <c r="Q1247" t="e">
        <f t="shared" si="158"/>
        <v>#N/A</v>
      </c>
    </row>
    <row r="1248" spans="1:17">
      <c r="A1248" s="28"/>
      <c r="B1248" s="28"/>
      <c r="C1248" s="28"/>
      <c r="D1248" s="28"/>
      <c r="E1248" s="28"/>
      <c r="F1248" s="28"/>
      <c r="G1248" s="26" t="str">
        <f t="shared" si="152"/>
        <v/>
      </c>
      <c r="H1248" s="26" t="str">
        <f t="shared" si="159"/>
        <v/>
      </c>
      <c r="I1248" s="26" t="str">
        <f t="shared" si="153"/>
        <v/>
      </c>
      <c r="J1248" t="str">
        <f t="shared" si="154"/>
        <v/>
      </c>
      <c r="K1248" s="26" t="str">
        <f t="shared" si="155"/>
        <v/>
      </c>
      <c r="L1248" s="26" t="str">
        <f t="shared" si="156"/>
        <v/>
      </c>
      <c r="P1248" t="e">
        <f t="shared" si="157"/>
        <v>#N/A</v>
      </c>
      <c r="Q1248" t="e">
        <f t="shared" si="158"/>
        <v>#N/A</v>
      </c>
    </row>
    <row r="1249" spans="1:17">
      <c r="A1249" s="28"/>
      <c r="B1249" s="28"/>
      <c r="C1249" s="28"/>
      <c r="D1249" s="28"/>
      <c r="E1249" s="28"/>
      <c r="F1249" s="28"/>
      <c r="G1249" s="26" t="str">
        <f t="shared" si="152"/>
        <v/>
      </c>
      <c r="H1249" s="26" t="str">
        <f t="shared" si="159"/>
        <v/>
      </c>
      <c r="I1249" s="26" t="str">
        <f t="shared" si="153"/>
        <v/>
      </c>
      <c r="J1249" t="str">
        <f t="shared" si="154"/>
        <v/>
      </c>
      <c r="K1249" s="26" t="str">
        <f t="shared" si="155"/>
        <v/>
      </c>
      <c r="L1249" s="26" t="str">
        <f t="shared" si="156"/>
        <v/>
      </c>
      <c r="P1249" t="e">
        <f t="shared" si="157"/>
        <v>#N/A</v>
      </c>
      <c r="Q1249" t="e">
        <f t="shared" si="158"/>
        <v>#N/A</v>
      </c>
    </row>
    <row r="1250" spans="1:17">
      <c r="A1250" s="28"/>
      <c r="B1250" s="28"/>
      <c r="C1250" s="28"/>
      <c r="D1250" s="28"/>
      <c r="E1250" s="28"/>
      <c r="F1250" s="28"/>
      <c r="G1250" s="26" t="str">
        <f t="shared" si="152"/>
        <v/>
      </c>
      <c r="H1250" s="26" t="str">
        <f t="shared" si="159"/>
        <v/>
      </c>
      <c r="I1250" s="26" t="str">
        <f t="shared" si="153"/>
        <v/>
      </c>
      <c r="J1250" t="str">
        <f t="shared" si="154"/>
        <v/>
      </c>
      <c r="K1250" s="26" t="str">
        <f t="shared" si="155"/>
        <v/>
      </c>
      <c r="L1250" s="26" t="str">
        <f t="shared" si="156"/>
        <v/>
      </c>
      <c r="P1250" t="e">
        <f t="shared" si="157"/>
        <v>#N/A</v>
      </c>
      <c r="Q1250" t="e">
        <f t="shared" si="158"/>
        <v>#N/A</v>
      </c>
    </row>
    <row r="1251" spans="1:17">
      <c r="A1251" s="28"/>
      <c r="B1251" s="28"/>
      <c r="C1251" s="28"/>
      <c r="D1251" s="28"/>
      <c r="E1251" s="28"/>
      <c r="F1251" s="28"/>
      <c r="G1251" s="26" t="str">
        <f t="shared" si="152"/>
        <v/>
      </c>
      <c r="H1251" s="26" t="str">
        <f t="shared" si="159"/>
        <v/>
      </c>
      <c r="I1251" s="26" t="str">
        <f t="shared" si="153"/>
        <v/>
      </c>
      <c r="J1251" t="str">
        <f t="shared" si="154"/>
        <v/>
      </c>
      <c r="K1251" s="26" t="str">
        <f t="shared" si="155"/>
        <v/>
      </c>
      <c r="L1251" s="26" t="str">
        <f t="shared" si="156"/>
        <v/>
      </c>
      <c r="P1251" t="e">
        <f t="shared" si="157"/>
        <v>#N/A</v>
      </c>
      <c r="Q1251" t="e">
        <f t="shared" si="158"/>
        <v>#N/A</v>
      </c>
    </row>
    <row r="1252" spans="1:17">
      <c r="A1252" s="28"/>
      <c r="B1252" s="28"/>
      <c r="C1252" s="28"/>
      <c r="D1252" s="28"/>
      <c r="E1252" s="28"/>
      <c r="F1252" s="28"/>
      <c r="G1252" s="26" t="str">
        <f t="shared" si="152"/>
        <v/>
      </c>
      <c r="H1252" s="26" t="str">
        <f t="shared" si="159"/>
        <v/>
      </c>
      <c r="I1252" s="26" t="str">
        <f t="shared" si="153"/>
        <v/>
      </c>
      <c r="J1252" t="str">
        <f t="shared" si="154"/>
        <v/>
      </c>
      <c r="K1252" s="26" t="str">
        <f t="shared" si="155"/>
        <v/>
      </c>
      <c r="L1252" s="26" t="str">
        <f t="shared" si="156"/>
        <v/>
      </c>
      <c r="P1252" t="e">
        <f t="shared" si="157"/>
        <v>#N/A</v>
      </c>
      <c r="Q1252" t="e">
        <f t="shared" si="158"/>
        <v>#N/A</v>
      </c>
    </row>
    <row r="1253" spans="1:17">
      <c r="A1253" s="28"/>
      <c r="B1253" s="28"/>
      <c r="C1253" s="28"/>
      <c r="D1253" s="28"/>
      <c r="E1253" s="28"/>
      <c r="F1253" s="28"/>
      <c r="G1253" s="26" t="str">
        <f t="shared" si="152"/>
        <v/>
      </c>
      <c r="H1253" s="26" t="str">
        <f t="shared" si="159"/>
        <v/>
      </c>
      <c r="I1253" s="26" t="str">
        <f t="shared" si="153"/>
        <v/>
      </c>
      <c r="J1253" t="str">
        <f t="shared" si="154"/>
        <v/>
      </c>
      <c r="K1253" s="26" t="str">
        <f t="shared" si="155"/>
        <v/>
      </c>
      <c r="L1253" s="26" t="str">
        <f t="shared" si="156"/>
        <v/>
      </c>
      <c r="P1253" t="e">
        <f t="shared" si="157"/>
        <v>#N/A</v>
      </c>
      <c r="Q1253" t="e">
        <f t="shared" si="158"/>
        <v>#N/A</v>
      </c>
    </row>
    <row r="1254" spans="1:17">
      <c r="A1254" s="28"/>
      <c r="B1254" s="28"/>
      <c r="C1254" s="28"/>
      <c r="D1254" s="28"/>
      <c r="E1254" s="28"/>
      <c r="F1254" s="28"/>
      <c r="G1254" s="26" t="str">
        <f t="shared" si="152"/>
        <v/>
      </c>
      <c r="H1254" s="26" t="str">
        <f t="shared" si="159"/>
        <v/>
      </c>
      <c r="I1254" s="26" t="str">
        <f t="shared" si="153"/>
        <v/>
      </c>
      <c r="J1254" t="str">
        <f t="shared" si="154"/>
        <v/>
      </c>
      <c r="K1254" s="26" t="str">
        <f t="shared" si="155"/>
        <v/>
      </c>
      <c r="L1254" s="26" t="str">
        <f t="shared" si="156"/>
        <v/>
      </c>
      <c r="P1254" t="e">
        <f t="shared" si="157"/>
        <v>#N/A</v>
      </c>
      <c r="Q1254" t="e">
        <f t="shared" si="158"/>
        <v>#N/A</v>
      </c>
    </row>
    <row r="1255" spans="1:17">
      <c r="A1255" s="28"/>
      <c r="B1255" s="28"/>
      <c r="C1255" s="28"/>
      <c r="D1255" s="28"/>
      <c r="E1255" s="28"/>
      <c r="F1255" s="28"/>
      <c r="G1255" s="26" t="str">
        <f t="shared" si="152"/>
        <v/>
      </c>
      <c r="H1255" s="26" t="str">
        <f t="shared" si="159"/>
        <v/>
      </c>
      <c r="I1255" s="26" t="str">
        <f t="shared" si="153"/>
        <v/>
      </c>
      <c r="J1255" t="str">
        <f t="shared" si="154"/>
        <v/>
      </c>
      <c r="K1255" s="26" t="str">
        <f t="shared" si="155"/>
        <v/>
      </c>
      <c r="L1255" s="26" t="str">
        <f t="shared" si="156"/>
        <v/>
      </c>
      <c r="P1255" t="e">
        <f t="shared" si="157"/>
        <v>#N/A</v>
      </c>
      <c r="Q1255" t="e">
        <f t="shared" si="158"/>
        <v>#N/A</v>
      </c>
    </row>
    <row r="1256" spans="1:17">
      <c r="A1256" s="28"/>
      <c r="B1256" s="28"/>
      <c r="C1256" s="28"/>
      <c r="D1256" s="28"/>
      <c r="E1256" s="28"/>
      <c r="F1256" s="28"/>
      <c r="G1256" s="26" t="str">
        <f t="shared" si="152"/>
        <v/>
      </c>
      <c r="H1256" s="26" t="str">
        <f t="shared" si="159"/>
        <v/>
      </c>
      <c r="I1256" s="26" t="str">
        <f t="shared" si="153"/>
        <v/>
      </c>
      <c r="J1256" t="str">
        <f t="shared" si="154"/>
        <v/>
      </c>
      <c r="K1256" s="26" t="str">
        <f t="shared" si="155"/>
        <v/>
      </c>
      <c r="L1256" s="26" t="str">
        <f t="shared" si="156"/>
        <v/>
      </c>
      <c r="P1256" t="e">
        <f t="shared" si="157"/>
        <v>#N/A</v>
      </c>
      <c r="Q1256" t="e">
        <f t="shared" si="158"/>
        <v>#N/A</v>
      </c>
    </row>
    <row r="1257" spans="1:17">
      <c r="A1257" s="28"/>
      <c r="B1257" s="28"/>
      <c r="C1257" s="28"/>
      <c r="D1257" s="28"/>
      <c r="E1257" s="28"/>
      <c r="F1257" s="28"/>
      <c r="G1257" s="26" t="str">
        <f t="shared" si="152"/>
        <v/>
      </c>
      <c r="H1257" s="26" t="str">
        <f t="shared" si="159"/>
        <v/>
      </c>
      <c r="I1257" s="26" t="str">
        <f t="shared" si="153"/>
        <v/>
      </c>
      <c r="J1257" t="str">
        <f t="shared" si="154"/>
        <v/>
      </c>
      <c r="K1257" s="26" t="str">
        <f t="shared" si="155"/>
        <v/>
      </c>
      <c r="L1257" s="26" t="str">
        <f t="shared" si="156"/>
        <v/>
      </c>
      <c r="P1257" t="e">
        <f t="shared" si="157"/>
        <v>#N/A</v>
      </c>
      <c r="Q1257" t="e">
        <f t="shared" si="158"/>
        <v>#N/A</v>
      </c>
    </row>
    <row r="1258" spans="1:17">
      <c r="A1258" s="28"/>
      <c r="B1258" s="28"/>
      <c r="C1258" s="28"/>
      <c r="D1258" s="28"/>
      <c r="E1258" s="28"/>
      <c r="F1258" s="28"/>
      <c r="G1258" s="26" t="str">
        <f t="shared" si="152"/>
        <v/>
      </c>
      <c r="H1258" s="26" t="str">
        <f t="shared" si="159"/>
        <v/>
      </c>
      <c r="I1258" s="26" t="str">
        <f t="shared" si="153"/>
        <v/>
      </c>
      <c r="J1258" t="str">
        <f t="shared" si="154"/>
        <v/>
      </c>
      <c r="K1258" s="26" t="str">
        <f t="shared" si="155"/>
        <v/>
      </c>
      <c r="L1258" s="26" t="str">
        <f t="shared" si="156"/>
        <v/>
      </c>
      <c r="P1258" t="e">
        <f t="shared" si="157"/>
        <v>#N/A</v>
      </c>
      <c r="Q1258" t="e">
        <f t="shared" si="158"/>
        <v>#N/A</v>
      </c>
    </row>
    <row r="1259" spans="1:17">
      <c r="A1259" s="28"/>
      <c r="B1259" s="28"/>
      <c r="C1259" s="28"/>
      <c r="D1259" s="28"/>
      <c r="E1259" s="28"/>
      <c r="F1259" s="28"/>
      <c r="G1259" s="26" t="str">
        <f t="shared" si="152"/>
        <v/>
      </c>
      <c r="H1259" s="26" t="str">
        <f t="shared" si="159"/>
        <v/>
      </c>
      <c r="I1259" s="26" t="str">
        <f t="shared" si="153"/>
        <v/>
      </c>
      <c r="J1259" t="str">
        <f t="shared" si="154"/>
        <v/>
      </c>
      <c r="K1259" s="26" t="str">
        <f t="shared" si="155"/>
        <v/>
      </c>
      <c r="L1259" s="26" t="str">
        <f t="shared" si="156"/>
        <v/>
      </c>
      <c r="P1259" t="e">
        <f t="shared" si="157"/>
        <v>#N/A</v>
      </c>
      <c r="Q1259" t="e">
        <f t="shared" si="158"/>
        <v>#N/A</v>
      </c>
    </row>
    <row r="1260" spans="1:17">
      <c r="A1260" s="28"/>
      <c r="B1260" s="28"/>
      <c r="C1260" s="28"/>
      <c r="D1260" s="28"/>
      <c r="E1260" s="28"/>
      <c r="F1260" s="28"/>
      <c r="G1260" s="26" t="str">
        <f t="shared" si="152"/>
        <v/>
      </c>
      <c r="H1260" s="26" t="str">
        <f t="shared" si="159"/>
        <v/>
      </c>
      <c r="I1260" s="26" t="str">
        <f t="shared" si="153"/>
        <v/>
      </c>
      <c r="J1260" t="str">
        <f t="shared" si="154"/>
        <v/>
      </c>
      <c r="K1260" s="26" t="str">
        <f t="shared" si="155"/>
        <v/>
      </c>
      <c r="L1260" s="26" t="str">
        <f t="shared" si="156"/>
        <v/>
      </c>
      <c r="P1260" t="e">
        <f t="shared" si="157"/>
        <v>#N/A</v>
      </c>
      <c r="Q1260" t="e">
        <f t="shared" si="158"/>
        <v>#N/A</v>
      </c>
    </row>
    <row r="1261" spans="1:17">
      <c r="A1261" s="28"/>
      <c r="B1261" s="28"/>
      <c r="C1261" s="28"/>
      <c r="D1261" s="28"/>
      <c r="E1261" s="28"/>
      <c r="F1261" s="28"/>
      <c r="G1261" s="26" t="str">
        <f t="shared" si="152"/>
        <v/>
      </c>
      <c r="H1261" s="26" t="str">
        <f t="shared" si="159"/>
        <v/>
      </c>
      <c r="I1261" s="26" t="str">
        <f t="shared" si="153"/>
        <v/>
      </c>
      <c r="J1261" t="str">
        <f t="shared" si="154"/>
        <v/>
      </c>
      <c r="K1261" s="26" t="str">
        <f t="shared" si="155"/>
        <v/>
      </c>
      <c r="L1261" s="26" t="str">
        <f t="shared" si="156"/>
        <v/>
      </c>
      <c r="P1261" t="e">
        <f t="shared" si="157"/>
        <v>#N/A</v>
      </c>
      <c r="Q1261" t="e">
        <f t="shared" si="158"/>
        <v>#N/A</v>
      </c>
    </row>
    <row r="1262" spans="1:17">
      <c r="A1262" s="28"/>
      <c r="B1262" s="28"/>
      <c r="C1262" s="28"/>
      <c r="D1262" s="28"/>
      <c r="E1262" s="28"/>
      <c r="F1262" s="28"/>
      <c r="G1262" s="26" t="str">
        <f t="shared" si="152"/>
        <v/>
      </c>
      <c r="H1262" s="26" t="str">
        <f t="shared" si="159"/>
        <v/>
      </c>
      <c r="I1262" s="26" t="str">
        <f t="shared" si="153"/>
        <v/>
      </c>
      <c r="J1262" t="str">
        <f t="shared" si="154"/>
        <v/>
      </c>
      <c r="K1262" s="26" t="str">
        <f t="shared" si="155"/>
        <v/>
      </c>
      <c r="L1262" s="26" t="str">
        <f t="shared" si="156"/>
        <v/>
      </c>
      <c r="P1262" t="e">
        <f t="shared" si="157"/>
        <v>#N/A</v>
      </c>
      <c r="Q1262" t="e">
        <f t="shared" si="158"/>
        <v>#N/A</v>
      </c>
    </row>
    <row r="1263" spans="1:17">
      <c r="A1263" s="28"/>
      <c r="B1263" s="28"/>
      <c r="C1263" s="28"/>
      <c r="D1263" s="28"/>
      <c r="E1263" s="28"/>
      <c r="F1263" s="28"/>
      <c r="G1263" s="26" t="str">
        <f t="shared" si="152"/>
        <v/>
      </c>
      <c r="H1263" s="26" t="str">
        <f t="shared" si="159"/>
        <v/>
      </c>
      <c r="I1263" s="26" t="str">
        <f t="shared" si="153"/>
        <v/>
      </c>
      <c r="J1263" t="str">
        <f t="shared" si="154"/>
        <v/>
      </c>
      <c r="K1263" s="26" t="str">
        <f t="shared" si="155"/>
        <v/>
      </c>
      <c r="L1263" s="26" t="str">
        <f t="shared" si="156"/>
        <v/>
      </c>
      <c r="P1263" t="e">
        <f t="shared" si="157"/>
        <v>#N/A</v>
      </c>
      <c r="Q1263" t="e">
        <f t="shared" si="158"/>
        <v>#N/A</v>
      </c>
    </row>
    <row r="1264" spans="1:17">
      <c r="A1264" s="28"/>
      <c r="B1264" s="28"/>
      <c r="C1264" s="28"/>
      <c r="D1264" s="28"/>
      <c r="E1264" s="28"/>
      <c r="F1264" s="28"/>
      <c r="G1264" s="26" t="str">
        <f t="shared" si="152"/>
        <v/>
      </c>
      <c r="H1264" s="26" t="str">
        <f t="shared" si="159"/>
        <v/>
      </c>
      <c r="I1264" s="26" t="str">
        <f t="shared" si="153"/>
        <v/>
      </c>
      <c r="J1264" t="str">
        <f t="shared" si="154"/>
        <v/>
      </c>
      <c r="K1264" s="26" t="str">
        <f t="shared" si="155"/>
        <v/>
      </c>
      <c r="L1264" s="26" t="str">
        <f t="shared" si="156"/>
        <v/>
      </c>
      <c r="P1264" t="e">
        <f t="shared" si="157"/>
        <v>#N/A</v>
      </c>
      <c r="Q1264" t="e">
        <f t="shared" si="158"/>
        <v>#N/A</v>
      </c>
    </row>
    <row r="1265" spans="1:17">
      <c r="A1265" s="28"/>
      <c r="B1265" s="28"/>
      <c r="C1265" s="28"/>
      <c r="D1265" s="28"/>
      <c r="E1265" s="28"/>
      <c r="F1265" s="28"/>
      <c r="G1265" s="26" t="str">
        <f t="shared" si="152"/>
        <v/>
      </c>
      <c r="H1265" s="26" t="str">
        <f t="shared" si="159"/>
        <v/>
      </c>
      <c r="I1265" s="26" t="str">
        <f t="shared" si="153"/>
        <v/>
      </c>
      <c r="J1265" t="str">
        <f t="shared" si="154"/>
        <v/>
      </c>
      <c r="K1265" s="26" t="str">
        <f t="shared" si="155"/>
        <v/>
      </c>
      <c r="L1265" s="26" t="str">
        <f t="shared" si="156"/>
        <v/>
      </c>
      <c r="P1265" t="e">
        <f t="shared" si="157"/>
        <v>#N/A</v>
      </c>
      <c r="Q1265" t="e">
        <f t="shared" si="158"/>
        <v>#N/A</v>
      </c>
    </row>
    <row r="1266" spans="1:17">
      <c r="A1266" s="28"/>
      <c r="B1266" s="28"/>
      <c r="C1266" s="28"/>
      <c r="D1266" s="28"/>
      <c r="E1266" s="28"/>
      <c r="F1266" s="28"/>
      <c r="G1266" s="26" t="str">
        <f t="shared" si="152"/>
        <v/>
      </c>
      <c r="H1266" s="26" t="str">
        <f t="shared" si="159"/>
        <v/>
      </c>
      <c r="I1266" s="26" t="str">
        <f t="shared" si="153"/>
        <v/>
      </c>
      <c r="J1266" t="str">
        <f t="shared" si="154"/>
        <v/>
      </c>
      <c r="K1266" s="26" t="str">
        <f t="shared" si="155"/>
        <v/>
      </c>
      <c r="L1266" s="26" t="str">
        <f t="shared" si="156"/>
        <v/>
      </c>
      <c r="P1266" t="e">
        <f t="shared" si="157"/>
        <v>#N/A</v>
      </c>
      <c r="Q1266" t="e">
        <f t="shared" si="158"/>
        <v>#N/A</v>
      </c>
    </row>
    <row r="1267" spans="1:17">
      <c r="A1267" s="28"/>
      <c r="B1267" s="28"/>
      <c r="C1267" s="28"/>
      <c r="D1267" s="28"/>
      <c r="E1267" s="28"/>
      <c r="F1267" s="28"/>
      <c r="G1267" s="26" t="str">
        <f t="shared" si="152"/>
        <v/>
      </c>
      <c r="H1267" s="26" t="str">
        <f t="shared" si="159"/>
        <v/>
      </c>
      <c r="I1267" s="26" t="str">
        <f t="shared" si="153"/>
        <v/>
      </c>
      <c r="J1267" t="str">
        <f t="shared" si="154"/>
        <v/>
      </c>
      <c r="K1267" s="26" t="str">
        <f t="shared" si="155"/>
        <v/>
      </c>
      <c r="L1267" s="26" t="str">
        <f t="shared" si="156"/>
        <v/>
      </c>
      <c r="P1267" t="e">
        <f t="shared" si="157"/>
        <v>#N/A</v>
      </c>
      <c r="Q1267" t="e">
        <f t="shared" si="158"/>
        <v>#N/A</v>
      </c>
    </row>
    <row r="1268" spans="1:17">
      <c r="A1268" s="28"/>
      <c r="B1268" s="28"/>
      <c r="C1268" s="28"/>
      <c r="D1268" s="28"/>
      <c r="E1268" s="28"/>
      <c r="F1268" s="28"/>
      <c r="G1268" s="26" t="str">
        <f t="shared" si="152"/>
        <v/>
      </c>
      <c r="H1268" s="26" t="str">
        <f t="shared" si="159"/>
        <v/>
      </c>
      <c r="I1268" s="26" t="str">
        <f t="shared" si="153"/>
        <v/>
      </c>
      <c r="J1268" t="str">
        <f t="shared" si="154"/>
        <v/>
      </c>
      <c r="K1268" s="26" t="str">
        <f t="shared" si="155"/>
        <v/>
      </c>
      <c r="L1268" s="26" t="str">
        <f t="shared" si="156"/>
        <v/>
      </c>
      <c r="P1268" t="e">
        <f t="shared" si="157"/>
        <v>#N/A</v>
      </c>
      <c r="Q1268" t="e">
        <f t="shared" si="158"/>
        <v>#N/A</v>
      </c>
    </row>
    <row r="1269" spans="1:17">
      <c r="A1269" s="28"/>
      <c r="B1269" s="28"/>
      <c r="C1269" s="28"/>
      <c r="D1269" s="28"/>
      <c r="E1269" s="28"/>
      <c r="F1269" s="28"/>
      <c r="G1269" s="26" t="str">
        <f t="shared" si="152"/>
        <v/>
      </c>
      <c r="H1269" s="26" t="str">
        <f t="shared" si="159"/>
        <v/>
      </c>
      <c r="I1269" s="26" t="str">
        <f t="shared" si="153"/>
        <v/>
      </c>
      <c r="J1269" t="str">
        <f t="shared" si="154"/>
        <v/>
      </c>
      <c r="K1269" s="26" t="str">
        <f t="shared" si="155"/>
        <v/>
      </c>
      <c r="L1269" s="26" t="str">
        <f t="shared" si="156"/>
        <v/>
      </c>
      <c r="P1269" t="e">
        <f t="shared" si="157"/>
        <v>#N/A</v>
      </c>
      <c r="Q1269" t="e">
        <f t="shared" si="158"/>
        <v>#N/A</v>
      </c>
    </row>
    <row r="1270" spans="1:17">
      <c r="A1270" s="28"/>
      <c r="B1270" s="28"/>
      <c r="C1270" s="28"/>
      <c r="D1270" s="28"/>
      <c r="E1270" s="28"/>
      <c r="F1270" s="28"/>
      <c r="G1270" s="26" t="str">
        <f t="shared" si="152"/>
        <v/>
      </c>
      <c r="H1270" s="26" t="str">
        <f t="shared" si="159"/>
        <v/>
      </c>
      <c r="I1270" s="26" t="str">
        <f t="shared" si="153"/>
        <v/>
      </c>
      <c r="J1270" t="str">
        <f t="shared" si="154"/>
        <v/>
      </c>
      <c r="K1270" s="26" t="str">
        <f t="shared" si="155"/>
        <v/>
      </c>
      <c r="L1270" s="26" t="str">
        <f t="shared" si="156"/>
        <v/>
      </c>
      <c r="P1270" t="e">
        <f t="shared" si="157"/>
        <v>#N/A</v>
      </c>
      <c r="Q1270" t="e">
        <f t="shared" si="158"/>
        <v>#N/A</v>
      </c>
    </row>
    <row r="1271" spans="1:17">
      <c r="A1271" s="28"/>
      <c r="B1271" s="28"/>
      <c r="C1271" s="28"/>
      <c r="D1271" s="28"/>
      <c r="E1271" s="28"/>
      <c r="F1271" s="28"/>
      <c r="G1271" s="26" t="str">
        <f t="shared" si="152"/>
        <v/>
      </c>
      <c r="H1271" s="26" t="str">
        <f t="shared" si="159"/>
        <v/>
      </c>
      <c r="I1271" s="26" t="str">
        <f t="shared" si="153"/>
        <v/>
      </c>
      <c r="J1271" t="str">
        <f t="shared" si="154"/>
        <v/>
      </c>
      <c r="K1271" s="26" t="str">
        <f t="shared" si="155"/>
        <v/>
      </c>
      <c r="L1271" s="26" t="str">
        <f t="shared" si="156"/>
        <v/>
      </c>
      <c r="P1271" t="e">
        <f t="shared" si="157"/>
        <v>#N/A</v>
      </c>
      <c r="Q1271" t="e">
        <f t="shared" si="158"/>
        <v>#N/A</v>
      </c>
    </row>
    <row r="1272" spans="1:17">
      <c r="A1272" s="28"/>
      <c r="B1272" s="28"/>
      <c r="C1272" s="28"/>
      <c r="D1272" s="28"/>
      <c r="E1272" s="28"/>
      <c r="F1272" s="28"/>
      <c r="G1272" s="26" t="str">
        <f t="shared" si="152"/>
        <v/>
      </c>
      <c r="H1272" s="26" t="str">
        <f t="shared" si="159"/>
        <v/>
      </c>
      <c r="I1272" s="26" t="str">
        <f t="shared" si="153"/>
        <v/>
      </c>
      <c r="J1272" t="str">
        <f t="shared" si="154"/>
        <v/>
      </c>
      <c r="K1272" s="26" t="str">
        <f t="shared" si="155"/>
        <v/>
      </c>
      <c r="L1272" s="26" t="str">
        <f t="shared" si="156"/>
        <v/>
      </c>
      <c r="P1272" t="e">
        <f t="shared" si="157"/>
        <v>#N/A</v>
      </c>
      <c r="Q1272" t="e">
        <f t="shared" si="158"/>
        <v>#N/A</v>
      </c>
    </row>
    <row r="1273" spans="1:17">
      <c r="A1273" s="28"/>
      <c r="B1273" s="28"/>
      <c r="C1273" s="28"/>
      <c r="D1273" s="28"/>
      <c r="E1273" s="28"/>
      <c r="F1273" s="28"/>
      <c r="G1273" s="26" t="str">
        <f t="shared" si="152"/>
        <v/>
      </c>
      <c r="H1273" s="26" t="str">
        <f t="shared" si="159"/>
        <v/>
      </c>
      <c r="I1273" s="26" t="str">
        <f t="shared" si="153"/>
        <v/>
      </c>
      <c r="J1273" t="str">
        <f t="shared" si="154"/>
        <v/>
      </c>
      <c r="K1273" s="26" t="str">
        <f t="shared" si="155"/>
        <v/>
      </c>
      <c r="L1273" s="26" t="str">
        <f t="shared" si="156"/>
        <v/>
      </c>
      <c r="P1273" t="e">
        <f t="shared" si="157"/>
        <v>#N/A</v>
      </c>
      <c r="Q1273" t="e">
        <f t="shared" si="158"/>
        <v>#N/A</v>
      </c>
    </row>
    <row r="1274" spans="1:17">
      <c r="A1274" s="28"/>
      <c r="B1274" s="28"/>
      <c r="C1274" s="28"/>
      <c r="D1274" s="28"/>
      <c r="E1274" s="28"/>
      <c r="F1274" s="28"/>
      <c r="G1274" s="26" t="str">
        <f t="shared" si="152"/>
        <v/>
      </c>
      <c r="H1274" s="26" t="str">
        <f t="shared" si="159"/>
        <v/>
      </c>
      <c r="I1274" s="26" t="str">
        <f t="shared" si="153"/>
        <v/>
      </c>
      <c r="J1274" t="str">
        <f t="shared" si="154"/>
        <v/>
      </c>
      <c r="K1274" s="26" t="str">
        <f t="shared" si="155"/>
        <v/>
      </c>
      <c r="L1274" s="26" t="str">
        <f t="shared" si="156"/>
        <v/>
      </c>
      <c r="P1274" t="e">
        <f t="shared" si="157"/>
        <v>#N/A</v>
      </c>
      <c r="Q1274" t="e">
        <f t="shared" si="158"/>
        <v>#N/A</v>
      </c>
    </row>
    <row r="1275" spans="1:17">
      <c r="A1275" s="28"/>
      <c r="B1275" s="28"/>
      <c r="C1275" s="28"/>
      <c r="D1275" s="28"/>
      <c r="E1275" s="28"/>
      <c r="F1275" s="28"/>
      <c r="G1275" s="26" t="str">
        <f t="shared" si="152"/>
        <v/>
      </c>
      <c r="H1275" s="26" t="str">
        <f t="shared" si="159"/>
        <v/>
      </c>
      <c r="I1275" s="26" t="str">
        <f t="shared" si="153"/>
        <v/>
      </c>
      <c r="J1275" t="str">
        <f t="shared" si="154"/>
        <v/>
      </c>
      <c r="K1275" s="26" t="str">
        <f t="shared" si="155"/>
        <v/>
      </c>
      <c r="L1275" s="26" t="str">
        <f t="shared" si="156"/>
        <v/>
      </c>
      <c r="P1275" t="e">
        <f t="shared" si="157"/>
        <v>#N/A</v>
      </c>
      <c r="Q1275" t="e">
        <f t="shared" si="158"/>
        <v>#N/A</v>
      </c>
    </row>
    <row r="1276" spans="1:17">
      <c r="A1276" s="28"/>
      <c r="B1276" s="28"/>
      <c r="C1276" s="28"/>
      <c r="D1276" s="28"/>
      <c r="E1276" s="28"/>
      <c r="F1276" s="28"/>
      <c r="G1276" s="26" t="str">
        <f t="shared" si="152"/>
        <v/>
      </c>
      <c r="H1276" s="26" t="str">
        <f t="shared" si="159"/>
        <v/>
      </c>
      <c r="I1276" s="26" t="str">
        <f t="shared" si="153"/>
        <v/>
      </c>
      <c r="J1276" t="str">
        <f t="shared" si="154"/>
        <v/>
      </c>
      <c r="K1276" s="26" t="str">
        <f t="shared" si="155"/>
        <v/>
      </c>
      <c r="L1276" s="26" t="str">
        <f t="shared" si="156"/>
        <v/>
      </c>
      <c r="P1276" t="e">
        <f t="shared" si="157"/>
        <v>#N/A</v>
      </c>
      <c r="Q1276" t="e">
        <f t="shared" si="158"/>
        <v>#N/A</v>
      </c>
    </row>
    <row r="1277" spans="1:17">
      <c r="A1277" s="28"/>
      <c r="B1277" s="28"/>
      <c r="C1277" s="28"/>
      <c r="D1277" s="28"/>
      <c r="E1277" s="28"/>
      <c r="F1277" s="28"/>
      <c r="G1277" s="26" t="str">
        <f t="shared" si="152"/>
        <v/>
      </c>
      <c r="H1277" s="26" t="str">
        <f t="shared" si="159"/>
        <v/>
      </c>
      <c r="I1277" s="26" t="str">
        <f t="shared" si="153"/>
        <v/>
      </c>
      <c r="J1277" t="str">
        <f t="shared" si="154"/>
        <v/>
      </c>
      <c r="K1277" s="26" t="str">
        <f t="shared" si="155"/>
        <v/>
      </c>
      <c r="L1277" s="26" t="str">
        <f t="shared" si="156"/>
        <v/>
      </c>
      <c r="P1277" t="e">
        <f t="shared" si="157"/>
        <v>#N/A</v>
      </c>
      <c r="Q1277" t="e">
        <f t="shared" si="158"/>
        <v>#N/A</v>
      </c>
    </row>
    <row r="1278" spans="1:17">
      <c r="A1278" s="28"/>
      <c r="B1278" s="28"/>
      <c r="C1278" s="28"/>
      <c r="D1278" s="28"/>
      <c r="E1278" s="28"/>
      <c r="F1278" s="28"/>
      <c r="G1278" s="26" t="str">
        <f t="shared" si="152"/>
        <v/>
      </c>
      <c r="H1278" s="26" t="str">
        <f t="shared" si="159"/>
        <v/>
      </c>
      <c r="I1278" s="26" t="str">
        <f t="shared" si="153"/>
        <v/>
      </c>
      <c r="J1278" t="str">
        <f t="shared" si="154"/>
        <v/>
      </c>
      <c r="K1278" s="26" t="str">
        <f t="shared" si="155"/>
        <v/>
      </c>
      <c r="L1278" s="26" t="str">
        <f t="shared" si="156"/>
        <v/>
      </c>
      <c r="P1278" t="e">
        <f t="shared" si="157"/>
        <v>#N/A</v>
      </c>
      <c r="Q1278" t="e">
        <f t="shared" si="158"/>
        <v>#N/A</v>
      </c>
    </row>
    <row r="1279" spans="1:17">
      <c r="A1279" s="28"/>
      <c r="B1279" s="28"/>
      <c r="C1279" s="28"/>
      <c r="D1279" s="28"/>
      <c r="E1279" s="28"/>
      <c r="F1279" s="28"/>
      <c r="G1279" s="26" t="str">
        <f t="shared" si="152"/>
        <v/>
      </c>
      <c r="H1279" s="26" t="str">
        <f t="shared" si="159"/>
        <v/>
      </c>
      <c r="I1279" s="26" t="str">
        <f t="shared" si="153"/>
        <v/>
      </c>
      <c r="J1279" t="str">
        <f t="shared" si="154"/>
        <v/>
      </c>
      <c r="K1279" s="26" t="str">
        <f t="shared" si="155"/>
        <v/>
      </c>
      <c r="L1279" s="26" t="str">
        <f t="shared" si="156"/>
        <v/>
      </c>
      <c r="P1279" t="e">
        <f t="shared" si="157"/>
        <v>#N/A</v>
      </c>
      <c r="Q1279" t="e">
        <f t="shared" si="158"/>
        <v>#N/A</v>
      </c>
    </row>
    <row r="1280" spans="1:17">
      <c r="A1280" s="28"/>
      <c r="B1280" s="28"/>
      <c r="C1280" s="28"/>
      <c r="D1280" s="28"/>
      <c r="E1280" s="28"/>
      <c r="F1280" s="28"/>
      <c r="G1280" s="26" t="str">
        <f t="shared" si="152"/>
        <v/>
      </c>
      <c r="H1280" s="26" t="str">
        <f t="shared" si="159"/>
        <v/>
      </c>
      <c r="I1280" s="26" t="str">
        <f t="shared" si="153"/>
        <v/>
      </c>
      <c r="J1280" t="str">
        <f t="shared" si="154"/>
        <v/>
      </c>
      <c r="K1280" s="26" t="str">
        <f t="shared" si="155"/>
        <v/>
      </c>
      <c r="L1280" s="26" t="str">
        <f t="shared" si="156"/>
        <v/>
      </c>
      <c r="P1280" t="e">
        <f t="shared" si="157"/>
        <v>#N/A</v>
      </c>
      <c r="Q1280" t="e">
        <f t="shared" si="158"/>
        <v>#N/A</v>
      </c>
    </row>
    <row r="1281" spans="1:17">
      <c r="A1281" s="28"/>
      <c r="B1281" s="28"/>
      <c r="C1281" s="28"/>
      <c r="D1281" s="28"/>
      <c r="E1281" s="28"/>
      <c r="F1281" s="28"/>
      <c r="G1281" s="26" t="str">
        <f t="shared" si="152"/>
        <v/>
      </c>
      <c r="H1281" s="26" t="str">
        <f t="shared" si="159"/>
        <v/>
      </c>
      <c r="I1281" s="26" t="str">
        <f t="shared" si="153"/>
        <v/>
      </c>
      <c r="J1281" t="str">
        <f t="shared" si="154"/>
        <v/>
      </c>
      <c r="K1281" s="26" t="str">
        <f t="shared" si="155"/>
        <v/>
      </c>
      <c r="L1281" s="26" t="str">
        <f t="shared" si="156"/>
        <v/>
      </c>
      <c r="P1281" t="e">
        <f t="shared" si="157"/>
        <v>#N/A</v>
      </c>
      <c r="Q1281" t="e">
        <f t="shared" si="158"/>
        <v>#N/A</v>
      </c>
    </row>
    <row r="1282" spans="1:17">
      <c r="A1282" s="28"/>
      <c r="B1282" s="28"/>
      <c r="C1282" s="28"/>
      <c r="D1282" s="28"/>
      <c r="E1282" s="28"/>
      <c r="F1282" s="28"/>
      <c r="G1282" s="26" t="str">
        <f t="shared" ref="G1282:G1345" si="160">IF(B1282="","",243.04*(LN(C1282/100)+17.625*B1282/(243.04+B1282))/(17.625-LN(C1282/100)-17.625*B1282/(243.04+B1282)))</f>
        <v/>
      </c>
      <c r="H1282" s="26" t="str">
        <f t="shared" si="159"/>
        <v/>
      </c>
      <c r="I1282" s="26" t="str">
        <f t="shared" ref="I1282:I1345" si="161">IF(B1282="","",B1282-E1282)</f>
        <v/>
      </c>
      <c r="J1282" t="str">
        <f t="shared" ref="J1282:J1345" si="162">IF(H1282="","",IF(H1282&gt;0.6,"Heating",IF(H1282&lt;-0.2,"Cooling","Steady")))</f>
        <v/>
      </c>
      <c r="K1282" s="26" t="str">
        <f t="shared" ref="K1282:K1345" si="163">IF(J1282="Cooling",I1282,"")</f>
        <v/>
      </c>
      <c r="L1282" s="26" t="str">
        <f t="shared" ref="L1282:L1345" si="164">IF(J1282="Cooling",H1282,"")</f>
        <v/>
      </c>
      <c r="P1282" t="e">
        <f t="shared" ref="P1282:P1345" si="165">IF(K1282="",NA(),K1282)</f>
        <v>#N/A</v>
      </c>
      <c r="Q1282" t="e">
        <f t="shared" ref="Q1282:Q1345" si="166">IF(L1282="",NA(),L1282)</f>
        <v>#N/A</v>
      </c>
    </row>
    <row r="1283" spans="1:17">
      <c r="A1283" s="28"/>
      <c r="B1283" s="28"/>
      <c r="C1283" s="28"/>
      <c r="D1283" s="28"/>
      <c r="E1283" s="28"/>
      <c r="F1283" s="28"/>
      <c r="G1283" s="26" t="str">
        <f t="shared" si="160"/>
        <v/>
      </c>
      <c r="H1283" s="26" t="str">
        <f t="shared" si="159"/>
        <v/>
      </c>
      <c r="I1283" s="26" t="str">
        <f t="shared" si="161"/>
        <v/>
      </c>
      <c r="J1283" t="str">
        <f t="shared" si="162"/>
        <v/>
      </c>
      <c r="K1283" s="26" t="str">
        <f t="shared" si="163"/>
        <v/>
      </c>
      <c r="L1283" s="26" t="str">
        <f t="shared" si="164"/>
        <v/>
      </c>
      <c r="P1283" t="e">
        <f t="shared" si="165"/>
        <v>#N/A</v>
      </c>
      <c r="Q1283" t="e">
        <f t="shared" si="166"/>
        <v>#N/A</v>
      </c>
    </row>
    <row r="1284" spans="1:17">
      <c r="A1284" s="28"/>
      <c r="B1284" s="28"/>
      <c r="C1284" s="28"/>
      <c r="D1284" s="28"/>
      <c r="E1284" s="28"/>
      <c r="F1284" s="28"/>
      <c r="G1284" s="26" t="str">
        <f t="shared" si="160"/>
        <v/>
      </c>
      <c r="H1284" s="26" t="str">
        <f t="shared" ref="H1284:H1347" si="167">IFERROR(IF(OR(B1282="",B1286=""),"",(B1286-B1282)/4*60),"")</f>
        <v/>
      </c>
      <c r="I1284" s="26" t="str">
        <f t="shared" si="161"/>
        <v/>
      </c>
      <c r="J1284" t="str">
        <f t="shared" si="162"/>
        <v/>
      </c>
      <c r="K1284" s="26" t="str">
        <f t="shared" si="163"/>
        <v/>
      </c>
      <c r="L1284" s="26" t="str">
        <f t="shared" si="164"/>
        <v/>
      </c>
      <c r="P1284" t="e">
        <f t="shared" si="165"/>
        <v>#N/A</v>
      </c>
      <c r="Q1284" t="e">
        <f t="shared" si="166"/>
        <v>#N/A</v>
      </c>
    </row>
    <row r="1285" spans="1:17">
      <c r="A1285" s="28"/>
      <c r="B1285" s="28"/>
      <c r="C1285" s="28"/>
      <c r="D1285" s="28"/>
      <c r="E1285" s="28"/>
      <c r="F1285" s="28"/>
      <c r="G1285" s="26" t="str">
        <f t="shared" si="160"/>
        <v/>
      </c>
      <c r="H1285" s="26" t="str">
        <f t="shared" si="167"/>
        <v/>
      </c>
      <c r="I1285" s="26" t="str">
        <f t="shared" si="161"/>
        <v/>
      </c>
      <c r="J1285" t="str">
        <f t="shared" si="162"/>
        <v/>
      </c>
      <c r="K1285" s="26" t="str">
        <f t="shared" si="163"/>
        <v/>
      </c>
      <c r="L1285" s="26" t="str">
        <f t="shared" si="164"/>
        <v/>
      </c>
      <c r="P1285" t="e">
        <f t="shared" si="165"/>
        <v>#N/A</v>
      </c>
      <c r="Q1285" t="e">
        <f t="shared" si="166"/>
        <v>#N/A</v>
      </c>
    </row>
    <row r="1286" spans="1:17">
      <c r="A1286" s="28"/>
      <c r="B1286" s="28"/>
      <c r="C1286" s="28"/>
      <c r="D1286" s="28"/>
      <c r="E1286" s="28"/>
      <c r="F1286" s="28"/>
      <c r="G1286" s="26" t="str">
        <f t="shared" si="160"/>
        <v/>
      </c>
      <c r="H1286" s="26" t="str">
        <f t="shared" si="167"/>
        <v/>
      </c>
      <c r="I1286" s="26" t="str">
        <f t="shared" si="161"/>
        <v/>
      </c>
      <c r="J1286" t="str">
        <f t="shared" si="162"/>
        <v/>
      </c>
      <c r="K1286" s="26" t="str">
        <f t="shared" si="163"/>
        <v/>
      </c>
      <c r="L1286" s="26" t="str">
        <f t="shared" si="164"/>
        <v/>
      </c>
      <c r="P1286" t="e">
        <f t="shared" si="165"/>
        <v>#N/A</v>
      </c>
      <c r="Q1286" t="e">
        <f t="shared" si="166"/>
        <v>#N/A</v>
      </c>
    </row>
    <row r="1287" spans="1:17">
      <c r="A1287" s="28"/>
      <c r="B1287" s="28"/>
      <c r="C1287" s="28"/>
      <c r="D1287" s="28"/>
      <c r="E1287" s="28"/>
      <c r="F1287" s="28"/>
      <c r="G1287" s="26" t="str">
        <f t="shared" si="160"/>
        <v/>
      </c>
      <c r="H1287" s="26" t="str">
        <f t="shared" si="167"/>
        <v/>
      </c>
      <c r="I1287" s="26" t="str">
        <f t="shared" si="161"/>
        <v/>
      </c>
      <c r="J1287" t="str">
        <f t="shared" si="162"/>
        <v/>
      </c>
      <c r="K1287" s="26" t="str">
        <f t="shared" si="163"/>
        <v/>
      </c>
      <c r="L1287" s="26" t="str">
        <f t="shared" si="164"/>
        <v/>
      </c>
      <c r="P1287" t="e">
        <f t="shared" si="165"/>
        <v>#N/A</v>
      </c>
      <c r="Q1287" t="e">
        <f t="shared" si="166"/>
        <v>#N/A</v>
      </c>
    </row>
    <row r="1288" spans="1:17">
      <c r="A1288" s="28"/>
      <c r="B1288" s="28"/>
      <c r="C1288" s="28"/>
      <c r="D1288" s="28"/>
      <c r="E1288" s="28"/>
      <c r="F1288" s="28"/>
      <c r="G1288" s="26" t="str">
        <f t="shared" si="160"/>
        <v/>
      </c>
      <c r="H1288" s="26" t="str">
        <f t="shared" si="167"/>
        <v/>
      </c>
      <c r="I1288" s="26" t="str">
        <f t="shared" si="161"/>
        <v/>
      </c>
      <c r="J1288" t="str">
        <f t="shared" si="162"/>
        <v/>
      </c>
      <c r="K1288" s="26" t="str">
        <f t="shared" si="163"/>
        <v/>
      </c>
      <c r="L1288" s="26" t="str">
        <f t="shared" si="164"/>
        <v/>
      </c>
      <c r="P1288" t="e">
        <f t="shared" si="165"/>
        <v>#N/A</v>
      </c>
      <c r="Q1288" t="e">
        <f t="shared" si="166"/>
        <v>#N/A</v>
      </c>
    </row>
    <row r="1289" spans="1:17">
      <c r="A1289" s="28"/>
      <c r="B1289" s="28"/>
      <c r="C1289" s="28"/>
      <c r="D1289" s="28"/>
      <c r="E1289" s="28"/>
      <c r="F1289" s="28"/>
      <c r="G1289" s="26" t="str">
        <f t="shared" si="160"/>
        <v/>
      </c>
      <c r="H1289" s="26" t="str">
        <f t="shared" si="167"/>
        <v/>
      </c>
      <c r="I1289" s="26" t="str">
        <f t="shared" si="161"/>
        <v/>
      </c>
      <c r="J1289" t="str">
        <f t="shared" si="162"/>
        <v/>
      </c>
      <c r="K1289" s="26" t="str">
        <f t="shared" si="163"/>
        <v/>
      </c>
      <c r="L1289" s="26" t="str">
        <f t="shared" si="164"/>
        <v/>
      </c>
      <c r="P1289" t="e">
        <f t="shared" si="165"/>
        <v>#N/A</v>
      </c>
      <c r="Q1289" t="e">
        <f t="shared" si="166"/>
        <v>#N/A</v>
      </c>
    </row>
    <row r="1290" spans="1:17">
      <c r="A1290" s="28"/>
      <c r="B1290" s="28"/>
      <c r="C1290" s="28"/>
      <c r="D1290" s="28"/>
      <c r="E1290" s="28"/>
      <c r="F1290" s="28"/>
      <c r="G1290" s="26" t="str">
        <f t="shared" si="160"/>
        <v/>
      </c>
      <c r="H1290" s="26" t="str">
        <f t="shared" si="167"/>
        <v/>
      </c>
      <c r="I1290" s="26" t="str">
        <f t="shared" si="161"/>
        <v/>
      </c>
      <c r="J1290" t="str">
        <f t="shared" si="162"/>
        <v/>
      </c>
      <c r="K1290" s="26" t="str">
        <f t="shared" si="163"/>
        <v/>
      </c>
      <c r="L1290" s="26" t="str">
        <f t="shared" si="164"/>
        <v/>
      </c>
      <c r="P1290" t="e">
        <f t="shared" si="165"/>
        <v>#N/A</v>
      </c>
      <c r="Q1290" t="e">
        <f t="shared" si="166"/>
        <v>#N/A</v>
      </c>
    </row>
    <row r="1291" spans="1:17">
      <c r="A1291" s="28"/>
      <c r="B1291" s="28"/>
      <c r="C1291" s="28"/>
      <c r="D1291" s="28"/>
      <c r="E1291" s="28"/>
      <c r="F1291" s="28"/>
      <c r="G1291" s="26" t="str">
        <f t="shared" si="160"/>
        <v/>
      </c>
      <c r="H1291" s="26" t="str">
        <f t="shared" si="167"/>
        <v/>
      </c>
      <c r="I1291" s="26" t="str">
        <f t="shared" si="161"/>
        <v/>
      </c>
      <c r="J1291" t="str">
        <f t="shared" si="162"/>
        <v/>
      </c>
      <c r="K1291" s="26" t="str">
        <f t="shared" si="163"/>
        <v/>
      </c>
      <c r="L1291" s="26" t="str">
        <f t="shared" si="164"/>
        <v/>
      </c>
      <c r="P1291" t="e">
        <f t="shared" si="165"/>
        <v>#N/A</v>
      </c>
      <c r="Q1291" t="e">
        <f t="shared" si="166"/>
        <v>#N/A</v>
      </c>
    </row>
    <row r="1292" spans="1:17">
      <c r="A1292" s="28"/>
      <c r="B1292" s="28"/>
      <c r="C1292" s="28"/>
      <c r="D1292" s="28"/>
      <c r="E1292" s="28"/>
      <c r="F1292" s="28"/>
      <c r="G1292" s="26" t="str">
        <f t="shared" si="160"/>
        <v/>
      </c>
      <c r="H1292" s="26" t="str">
        <f t="shared" si="167"/>
        <v/>
      </c>
      <c r="I1292" s="26" t="str">
        <f t="shared" si="161"/>
        <v/>
      </c>
      <c r="J1292" t="str">
        <f t="shared" si="162"/>
        <v/>
      </c>
      <c r="K1292" s="26" t="str">
        <f t="shared" si="163"/>
        <v/>
      </c>
      <c r="L1292" s="26" t="str">
        <f t="shared" si="164"/>
        <v/>
      </c>
      <c r="P1292" t="e">
        <f t="shared" si="165"/>
        <v>#N/A</v>
      </c>
      <c r="Q1292" t="e">
        <f t="shared" si="166"/>
        <v>#N/A</v>
      </c>
    </row>
    <row r="1293" spans="1:17">
      <c r="A1293" s="28"/>
      <c r="B1293" s="28"/>
      <c r="C1293" s="28"/>
      <c r="D1293" s="28"/>
      <c r="E1293" s="28"/>
      <c r="F1293" s="28"/>
      <c r="G1293" s="26" t="str">
        <f t="shared" si="160"/>
        <v/>
      </c>
      <c r="H1293" s="26" t="str">
        <f t="shared" si="167"/>
        <v/>
      </c>
      <c r="I1293" s="26" t="str">
        <f t="shared" si="161"/>
        <v/>
      </c>
      <c r="J1293" t="str">
        <f t="shared" si="162"/>
        <v/>
      </c>
      <c r="K1293" s="26" t="str">
        <f t="shared" si="163"/>
        <v/>
      </c>
      <c r="L1293" s="26" t="str">
        <f t="shared" si="164"/>
        <v/>
      </c>
      <c r="P1293" t="e">
        <f t="shared" si="165"/>
        <v>#N/A</v>
      </c>
      <c r="Q1293" t="e">
        <f t="shared" si="166"/>
        <v>#N/A</v>
      </c>
    </row>
    <row r="1294" spans="1:17">
      <c r="A1294" s="28"/>
      <c r="B1294" s="28"/>
      <c r="C1294" s="28"/>
      <c r="D1294" s="28"/>
      <c r="E1294" s="28"/>
      <c r="F1294" s="28"/>
      <c r="G1294" s="26" t="str">
        <f t="shared" si="160"/>
        <v/>
      </c>
      <c r="H1294" s="26" t="str">
        <f t="shared" si="167"/>
        <v/>
      </c>
      <c r="I1294" s="26" t="str">
        <f t="shared" si="161"/>
        <v/>
      </c>
      <c r="J1294" t="str">
        <f t="shared" si="162"/>
        <v/>
      </c>
      <c r="K1294" s="26" t="str">
        <f t="shared" si="163"/>
        <v/>
      </c>
      <c r="L1294" s="26" t="str">
        <f t="shared" si="164"/>
        <v/>
      </c>
      <c r="P1294" t="e">
        <f t="shared" si="165"/>
        <v>#N/A</v>
      </c>
      <c r="Q1294" t="e">
        <f t="shared" si="166"/>
        <v>#N/A</v>
      </c>
    </row>
    <row r="1295" spans="1:17">
      <c r="A1295" s="28"/>
      <c r="B1295" s="28"/>
      <c r="C1295" s="28"/>
      <c r="D1295" s="28"/>
      <c r="E1295" s="28"/>
      <c r="F1295" s="28"/>
      <c r="G1295" s="26" t="str">
        <f t="shared" si="160"/>
        <v/>
      </c>
      <c r="H1295" s="26" t="str">
        <f t="shared" si="167"/>
        <v/>
      </c>
      <c r="I1295" s="26" t="str">
        <f t="shared" si="161"/>
        <v/>
      </c>
      <c r="J1295" t="str">
        <f t="shared" si="162"/>
        <v/>
      </c>
      <c r="K1295" s="26" t="str">
        <f t="shared" si="163"/>
        <v/>
      </c>
      <c r="L1295" s="26" t="str">
        <f t="shared" si="164"/>
        <v/>
      </c>
      <c r="P1295" t="e">
        <f t="shared" si="165"/>
        <v>#N/A</v>
      </c>
      <c r="Q1295" t="e">
        <f t="shared" si="166"/>
        <v>#N/A</v>
      </c>
    </row>
    <row r="1296" spans="1:17">
      <c r="A1296" s="28"/>
      <c r="B1296" s="28"/>
      <c r="C1296" s="28"/>
      <c r="D1296" s="28"/>
      <c r="E1296" s="28"/>
      <c r="F1296" s="28"/>
      <c r="G1296" s="26" t="str">
        <f t="shared" si="160"/>
        <v/>
      </c>
      <c r="H1296" s="26" t="str">
        <f t="shared" si="167"/>
        <v/>
      </c>
      <c r="I1296" s="26" t="str">
        <f t="shared" si="161"/>
        <v/>
      </c>
      <c r="J1296" t="str">
        <f t="shared" si="162"/>
        <v/>
      </c>
      <c r="K1296" s="26" t="str">
        <f t="shared" si="163"/>
        <v/>
      </c>
      <c r="L1296" s="26" t="str">
        <f t="shared" si="164"/>
        <v/>
      </c>
      <c r="P1296" t="e">
        <f t="shared" si="165"/>
        <v>#N/A</v>
      </c>
      <c r="Q1296" t="e">
        <f t="shared" si="166"/>
        <v>#N/A</v>
      </c>
    </row>
    <row r="1297" spans="1:17">
      <c r="A1297" s="28"/>
      <c r="B1297" s="28"/>
      <c r="C1297" s="28"/>
      <c r="D1297" s="28"/>
      <c r="E1297" s="28"/>
      <c r="F1297" s="28"/>
      <c r="G1297" s="26" t="str">
        <f t="shared" si="160"/>
        <v/>
      </c>
      <c r="H1297" s="26" t="str">
        <f t="shared" si="167"/>
        <v/>
      </c>
      <c r="I1297" s="26" t="str">
        <f t="shared" si="161"/>
        <v/>
      </c>
      <c r="J1297" t="str">
        <f t="shared" si="162"/>
        <v/>
      </c>
      <c r="K1297" s="26" t="str">
        <f t="shared" si="163"/>
        <v/>
      </c>
      <c r="L1297" s="26" t="str">
        <f t="shared" si="164"/>
        <v/>
      </c>
      <c r="P1297" t="e">
        <f t="shared" si="165"/>
        <v>#N/A</v>
      </c>
      <c r="Q1297" t="e">
        <f t="shared" si="166"/>
        <v>#N/A</v>
      </c>
    </row>
    <row r="1298" spans="1:17">
      <c r="A1298" s="28"/>
      <c r="B1298" s="28"/>
      <c r="C1298" s="28"/>
      <c r="D1298" s="28"/>
      <c r="E1298" s="28"/>
      <c r="F1298" s="28"/>
      <c r="G1298" s="26" t="str">
        <f t="shared" si="160"/>
        <v/>
      </c>
      <c r="H1298" s="26" t="str">
        <f t="shared" si="167"/>
        <v/>
      </c>
      <c r="I1298" s="26" t="str">
        <f t="shared" si="161"/>
        <v/>
      </c>
      <c r="J1298" t="str">
        <f t="shared" si="162"/>
        <v/>
      </c>
      <c r="K1298" s="26" t="str">
        <f t="shared" si="163"/>
        <v/>
      </c>
      <c r="L1298" s="26" t="str">
        <f t="shared" si="164"/>
        <v/>
      </c>
      <c r="P1298" t="e">
        <f t="shared" si="165"/>
        <v>#N/A</v>
      </c>
      <c r="Q1298" t="e">
        <f t="shared" si="166"/>
        <v>#N/A</v>
      </c>
    </row>
    <row r="1299" spans="1:17">
      <c r="A1299" s="28"/>
      <c r="B1299" s="28"/>
      <c r="C1299" s="28"/>
      <c r="D1299" s="28"/>
      <c r="E1299" s="28"/>
      <c r="F1299" s="28"/>
      <c r="G1299" s="26" t="str">
        <f t="shared" si="160"/>
        <v/>
      </c>
      <c r="H1299" s="26" t="str">
        <f t="shared" si="167"/>
        <v/>
      </c>
      <c r="I1299" s="26" t="str">
        <f t="shared" si="161"/>
        <v/>
      </c>
      <c r="J1299" t="str">
        <f t="shared" si="162"/>
        <v/>
      </c>
      <c r="K1299" s="26" t="str">
        <f t="shared" si="163"/>
        <v/>
      </c>
      <c r="L1299" s="26" t="str">
        <f t="shared" si="164"/>
        <v/>
      </c>
      <c r="P1299" t="e">
        <f t="shared" si="165"/>
        <v>#N/A</v>
      </c>
      <c r="Q1299" t="e">
        <f t="shared" si="166"/>
        <v>#N/A</v>
      </c>
    </row>
    <row r="1300" spans="1:17">
      <c r="A1300" s="28"/>
      <c r="B1300" s="28"/>
      <c r="C1300" s="28"/>
      <c r="D1300" s="28"/>
      <c r="E1300" s="28"/>
      <c r="F1300" s="28"/>
      <c r="G1300" s="26" t="str">
        <f t="shared" si="160"/>
        <v/>
      </c>
      <c r="H1300" s="26" t="str">
        <f t="shared" si="167"/>
        <v/>
      </c>
      <c r="I1300" s="26" t="str">
        <f t="shared" si="161"/>
        <v/>
      </c>
      <c r="J1300" t="str">
        <f t="shared" si="162"/>
        <v/>
      </c>
      <c r="K1300" s="26" t="str">
        <f t="shared" si="163"/>
        <v/>
      </c>
      <c r="L1300" s="26" t="str">
        <f t="shared" si="164"/>
        <v/>
      </c>
      <c r="P1300" t="e">
        <f t="shared" si="165"/>
        <v>#N/A</v>
      </c>
      <c r="Q1300" t="e">
        <f t="shared" si="166"/>
        <v>#N/A</v>
      </c>
    </row>
    <row r="1301" spans="1:17">
      <c r="A1301" s="28"/>
      <c r="B1301" s="28"/>
      <c r="C1301" s="28"/>
      <c r="D1301" s="28"/>
      <c r="E1301" s="28"/>
      <c r="F1301" s="28"/>
      <c r="G1301" s="26" t="str">
        <f t="shared" si="160"/>
        <v/>
      </c>
      <c r="H1301" s="26" t="str">
        <f t="shared" si="167"/>
        <v/>
      </c>
      <c r="I1301" s="26" t="str">
        <f t="shared" si="161"/>
        <v/>
      </c>
      <c r="J1301" t="str">
        <f t="shared" si="162"/>
        <v/>
      </c>
      <c r="K1301" s="26" t="str">
        <f t="shared" si="163"/>
        <v/>
      </c>
      <c r="L1301" s="26" t="str">
        <f t="shared" si="164"/>
        <v/>
      </c>
      <c r="P1301" t="e">
        <f t="shared" si="165"/>
        <v>#N/A</v>
      </c>
      <c r="Q1301" t="e">
        <f t="shared" si="166"/>
        <v>#N/A</v>
      </c>
    </row>
    <row r="1302" spans="1:17">
      <c r="A1302" s="28"/>
      <c r="B1302" s="28"/>
      <c r="C1302" s="28"/>
      <c r="D1302" s="28"/>
      <c r="E1302" s="28"/>
      <c r="F1302" s="28"/>
      <c r="G1302" s="26" t="str">
        <f t="shared" si="160"/>
        <v/>
      </c>
      <c r="H1302" s="26" t="str">
        <f t="shared" si="167"/>
        <v/>
      </c>
      <c r="I1302" s="26" t="str">
        <f t="shared" si="161"/>
        <v/>
      </c>
      <c r="J1302" t="str">
        <f t="shared" si="162"/>
        <v/>
      </c>
      <c r="K1302" s="26" t="str">
        <f t="shared" si="163"/>
        <v/>
      </c>
      <c r="L1302" s="26" t="str">
        <f t="shared" si="164"/>
        <v/>
      </c>
      <c r="P1302" t="e">
        <f t="shared" si="165"/>
        <v>#N/A</v>
      </c>
      <c r="Q1302" t="e">
        <f t="shared" si="166"/>
        <v>#N/A</v>
      </c>
    </row>
    <row r="1303" spans="1:17">
      <c r="A1303" s="28"/>
      <c r="B1303" s="28"/>
      <c r="C1303" s="28"/>
      <c r="D1303" s="28"/>
      <c r="E1303" s="28"/>
      <c r="F1303" s="28"/>
      <c r="G1303" s="26" t="str">
        <f t="shared" si="160"/>
        <v/>
      </c>
      <c r="H1303" s="26" t="str">
        <f t="shared" si="167"/>
        <v/>
      </c>
      <c r="I1303" s="26" t="str">
        <f t="shared" si="161"/>
        <v/>
      </c>
      <c r="J1303" t="str">
        <f t="shared" si="162"/>
        <v/>
      </c>
      <c r="K1303" s="26" t="str">
        <f t="shared" si="163"/>
        <v/>
      </c>
      <c r="L1303" s="26" t="str">
        <f t="shared" si="164"/>
        <v/>
      </c>
      <c r="P1303" t="e">
        <f t="shared" si="165"/>
        <v>#N/A</v>
      </c>
      <c r="Q1303" t="e">
        <f t="shared" si="166"/>
        <v>#N/A</v>
      </c>
    </row>
    <row r="1304" spans="1:17">
      <c r="A1304" s="28"/>
      <c r="B1304" s="28"/>
      <c r="C1304" s="28"/>
      <c r="D1304" s="28"/>
      <c r="E1304" s="28"/>
      <c r="F1304" s="28"/>
      <c r="G1304" s="26" t="str">
        <f t="shared" si="160"/>
        <v/>
      </c>
      <c r="H1304" s="26" t="str">
        <f t="shared" si="167"/>
        <v/>
      </c>
      <c r="I1304" s="26" t="str">
        <f t="shared" si="161"/>
        <v/>
      </c>
      <c r="J1304" t="str">
        <f t="shared" si="162"/>
        <v/>
      </c>
      <c r="K1304" s="26" t="str">
        <f t="shared" si="163"/>
        <v/>
      </c>
      <c r="L1304" s="26" t="str">
        <f t="shared" si="164"/>
        <v/>
      </c>
      <c r="P1304" t="e">
        <f t="shared" si="165"/>
        <v>#N/A</v>
      </c>
      <c r="Q1304" t="e">
        <f t="shared" si="166"/>
        <v>#N/A</v>
      </c>
    </row>
    <row r="1305" spans="1:17">
      <c r="A1305" s="28"/>
      <c r="B1305" s="28"/>
      <c r="C1305" s="28"/>
      <c r="D1305" s="28"/>
      <c r="E1305" s="28"/>
      <c r="F1305" s="28"/>
      <c r="G1305" s="26" t="str">
        <f t="shared" si="160"/>
        <v/>
      </c>
      <c r="H1305" s="26" t="str">
        <f t="shared" si="167"/>
        <v/>
      </c>
      <c r="I1305" s="26" t="str">
        <f t="shared" si="161"/>
        <v/>
      </c>
      <c r="J1305" t="str">
        <f t="shared" si="162"/>
        <v/>
      </c>
      <c r="K1305" s="26" t="str">
        <f t="shared" si="163"/>
        <v/>
      </c>
      <c r="L1305" s="26" t="str">
        <f t="shared" si="164"/>
        <v/>
      </c>
      <c r="P1305" t="e">
        <f t="shared" si="165"/>
        <v>#N/A</v>
      </c>
      <c r="Q1305" t="e">
        <f t="shared" si="166"/>
        <v>#N/A</v>
      </c>
    </row>
    <row r="1306" spans="1:17">
      <c r="A1306" s="28"/>
      <c r="B1306" s="28"/>
      <c r="C1306" s="28"/>
      <c r="D1306" s="28"/>
      <c r="E1306" s="28"/>
      <c r="F1306" s="28"/>
      <c r="G1306" s="26" t="str">
        <f t="shared" si="160"/>
        <v/>
      </c>
      <c r="H1306" s="26" t="str">
        <f t="shared" si="167"/>
        <v/>
      </c>
      <c r="I1306" s="26" t="str">
        <f t="shared" si="161"/>
        <v/>
      </c>
      <c r="J1306" t="str">
        <f t="shared" si="162"/>
        <v/>
      </c>
      <c r="K1306" s="26" t="str">
        <f t="shared" si="163"/>
        <v/>
      </c>
      <c r="L1306" s="26" t="str">
        <f t="shared" si="164"/>
        <v/>
      </c>
      <c r="P1306" t="e">
        <f t="shared" si="165"/>
        <v>#N/A</v>
      </c>
      <c r="Q1306" t="e">
        <f t="shared" si="166"/>
        <v>#N/A</v>
      </c>
    </row>
    <row r="1307" spans="1:17">
      <c r="A1307" s="28"/>
      <c r="B1307" s="28"/>
      <c r="C1307" s="28"/>
      <c r="D1307" s="28"/>
      <c r="E1307" s="28"/>
      <c r="F1307" s="28"/>
      <c r="G1307" s="26" t="str">
        <f t="shared" si="160"/>
        <v/>
      </c>
      <c r="H1307" s="26" t="str">
        <f t="shared" si="167"/>
        <v/>
      </c>
      <c r="I1307" s="26" t="str">
        <f t="shared" si="161"/>
        <v/>
      </c>
      <c r="J1307" t="str">
        <f t="shared" si="162"/>
        <v/>
      </c>
      <c r="K1307" s="26" t="str">
        <f t="shared" si="163"/>
        <v/>
      </c>
      <c r="L1307" s="26" t="str">
        <f t="shared" si="164"/>
        <v/>
      </c>
      <c r="P1307" t="e">
        <f t="shared" si="165"/>
        <v>#N/A</v>
      </c>
      <c r="Q1307" t="e">
        <f t="shared" si="166"/>
        <v>#N/A</v>
      </c>
    </row>
    <row r="1308" spans="1:17">
      <c r="A1308" s="28"/>
      <c r="B1308" s="28"/>
      <c r="C1308" s="28"/>
      <c r="D1308" s="28"/>
      <c r="E1308" s="28"/>
      <c r="F1308" s="28"/>
      <c r="G1308" s="26" t="str">
        <f t="shared" si="160"/>
        <v/>
      </c>
      <c r="H1308" s="26" t="str">
        <f t="shared" si="167"/>
        <v/>
      </c>
      <c r="I1308" s="26" t="str">
        <f t="shared" si="161"/>
        <v/>
      </c>
      <c r="J1308" t="str">
        <f t="shared" si="162"/>
        <v/>
      </c>
      <c r="K1308" s="26" t="str">
        <f t="shared" si="163"/>
        <v/>
      </c>
      <c r="L1308" s="26" t="str">
        <f t="shared" si="164"/>
        <v/>
      </c>
      <c r="P1308" t="e">
        <f t="shared" si="165"/>
        <v>#N/A</v>
      </c>
      <c r="Q1308" t="e">
        <f t="shared" si="166"/>
        <v>#N/A</v>
      </c>
    </row>
    <row r="1309" spans="1:17">
      <c r="A1309" s="28"/>
      <c r="B1309" s="28"/>
      <c r="C1309" s="28"/>
      <c r="D1309" s="28"/>
      <c r="E1309" s="28"/>
      <c r="F1309" s="28"/>
      <c r="G1309" s="26" t="str">
        <f t="shared" si="160"/>
        <v/>
      </c>
      <c r="H1309" s="26" t="str">
        <f t="shared" si="167"/>
        <v/>
      </c>
      <c r="I1309" s="26" t="str">
        <f t="shared" si="161"/>
        <v/>
      </c>
      <c r="J1309" t="str">
        <f t="shared" si="162"/>
        <v/>
      </c>
      <c r="K1309" s="26" t="str">
        <f t="shared" si="163"/>
        <v/>
      </c>
      <c r="L1309" s="26" t="str">
        <f t="shared" si="164"/>
        <v/>
      </c>
      <c r="P1309" t="e">
        <f t="shared" si="165"/>
        <v>#N/A</v>
      </c>
      <c r="Q1309" t="e">
        <f t="shared" si="166"/>
        <v>#N/A</v>
      </c>
    </row>
    <row r="1310" spans="1:17">
      <c r="A1310" s="28"/>
      <c r="B1310" s="28"/>
      <c r="C1310" s="28"/>
      <c r="D1310" s="28"/>
      <c r="E1310" s="28"/>
      <c r="F1310" s="28"/>
      <c r="G1310" s="26" t="str">
        <f t="shared" si="160"/>
        <v/>
      </c>
      <c r="H1310" s="26" t="str">
        <f t="shared" si="167"/>
        <v/>
      </c>
      <c r="I1310" s="26" t="str">
        <f t="shared" si="161"/>
        <v/>
      </c>
      <c r="J1310" t="str">
        <f t="shared" si="162"/>
        <v/>
      </c>
      <c r="K1310" s="26" t="str">
        <f t="shared" si="163"/>
        <v/>
      </c>
      <c r="L1310" s="26" t="str">
        <f t="shared" si="164"/>
        <v/>
      </c>
      <c r="P1310" t="e">
        <f t="shared" si="165"/>
        <v>#N/A</v>
      </c>
      <c r="Q1310" t="e">
        <f t="shared" si="166"/>
        <v>#N/A</v>
      </c>
    </row>
    <row r="1311" spans="1:17">
      <c r="A1311" s="28"/>
      <c r="B1311" s="28"/>
      <c r="C1311" s="28"/>
      <c r="D1311" s="28"/>
      <c r="E1311" s="28"/>
      <c r="F1311" s="28"/>
      <c r="G1311" s="26" t="str">
        <f t="shared" si="160"/>
        <v/>
      </c>
      <c r="H1311" s="26" t="str">
        <f t="shared" si="167"/>
        <v/>
      </c>
      <c r="I1311" s="26" t="str">
        <f t="shared" si="161"/>
        <v/>
      </c>
      <c r="J1311" t="str">
        <f t="shared" si="162"/>
        <v/>
      </c>
      <c r="K1311" s="26" t="str">
        <f t="shared" si="163"/>
        <v/>
      </c>
      <c r="L1311" s="26" t="str">
        <f t="shared" si="164"/>
        <v/>
      </c>
      <c r="P1311" t="e">
        <f t="shared" si="165"/>
        <v>#N/A</v>
      </c>
      <c r="Q1311" t="e">
        <f t="shared" si="166"/>
        <v>#N/A</v>
      </c>
    </row>
    <row r="1312" spans="1:17">
      <c r="A1312" s="28"/>
      <c r="B1312" s="28"/>
      <c r="C1312" s="28"/>
      <c r="D1312" s="28"/>
      <c r="E1312" s="28"/>
      <c r="F1312" s="28"/>
      <c r="G1312" s="26" t="str">
        <f t="shared" si="160"/>
        <v/>
      </c>
      <c r="H1312" s="26" t="str">
        <f t="shared" si="167"/>
        <v/>
      </c>
      <c r="I1312" s="26" t="str">
        <f t="shared" si="161"/>
        <v/>
      </c>
      <c r="J1312" t="str">
        <f t="shared" si="162"/>
        <v/>
      </c>
      <c r="K1312" s="26" t="str">
        <f t="shared" si="163"/>
        <v/>
      </c>
      <c r="L1312" s="26" t="str">
        <f t="shared" si="164"/>
        <v/>
      </c>
      <c r="P1312" t="e">
        <f t="shared" si="165"/>
        <v>#N/A</v>
      </c>
      <c r="Q1312" t="e">
        <f t="shared" si="166"/>
        <v>#N/A</v>
      </c>
    </row>
    <row r="1313" spans="1:17">
      <c r="A1313" s="28"/>
      <c r="B1313" s="28"/>
      <c r="C1313" s="28"/>
      <c r="D1313" s="28"/>
      <c r="E1313" s="28"/>
      <c r="F1313" s="28"/>
      <c r="G1313" s="26" t="str">
        <f t="shared" si="160"/>
        <v/>
      </c>
      <c r="H1313" s="26" t="str">
        <f t="shared" si="167"/>
        <v/>
      </c>
      <c r="I1313" s="26" t="str">
        <f t="shared" si="161"/>
        <v/>
      </c>
      <c r="J1313" t="str">
        <f t="shared" si="162"/>
        <v/>
      </c>
      <c r="K1313" s="26" t="str">
        <f t="shared" si="163"/>
        <v/>
      </c>
      <c r="L1313" s="26" t="str">
        <f t="shared" si="164"/>
        <v/>
      </c>
      <c r="P1313" t="e">
        <f t="shared" si="165"/>
        <v>#N/A</v>
      </c>
      <c r="Q1313" t="e">
        <f t="shared" si="166"/>
        <v>#N/A</v>
      </c>
    </row>
    <row r="1314" spans="1:17">
      <c r="A1314" s="28"/>
      <c r="B1314" s="28"/>
      <c r="C1314" s="28"/>
      <c r="D1314" s="28"/>
      <c r="E1314" s="28"/>
      <c r="F1314" s="28"/>
      <c r="G1314" s="26" t="str">
        <f t="shared" si="160"/>
        <v/>
      </c>
      <c r="H1314" s="26" t="str">
        <f t="shared" si="167"/>
        <v/>
      </c>
      <c r="I1314" s="26" t="str">
        <f t="shared" si="161"/>
        <v/>
      </c>
      <c r="J1314" t="str">
        <f t="shared" si="162"/>
        <v/>
      </c>
      <c r="K1314" s="26" t="str">
        <f t="shared" si="163"/>
        <v/>
      </c>
      <c r="L1314" s="26" t="str">
        <f t="shared" si="164"/>
        <v/>
      </c>
      <c r="P1314" t="e">
        <f t="shared" si="165"/>
        <v>#N/A</v>
      </c>
      <c r="Q1314" t="e">
        <f t="shared" si="166"/>
        <v>#N/A</v>
      </c>
    </row>
    <row r="1315" spans="1:17">
      <c r="A1315" s="28"/>
      <c r="B1315" s="28"/>
      <c r="C1315" s="28"/>
      <c r="D1315" s="28"/>
      <c r="E1315" s="28"/>
      <c r="F1315" s="28"/>
      <c r="G1315" s="26" t="str">
        <f t="shared" si="160"/>
        <v/>
      </c>
      <c r="H1315" s="26" t="str">
        <f t="shared" si="167"/>
        <v/>
      </c>
      <c r="I1315" s="26" t="str">
        <f t="shared" si="161"/>
        <v/>
      </c>
      <c r="J1315" t="str">
        <f t="shared" si="162"/>
        <v/>
      </c>
      <c r="K1315" s="26" t="str">
        <f t="shared" si="163"/>
        <v/>
      </c>
      <c r="L1315" s="26" t="str">
        <f t="shared" si="164"/>
        <v/>
      </c>
      <c r="P1315" t="e">
        <f t="shared" si="165"/>
        <v>#N/A</v>
      </c>
      <c r="Q1315" t="e">
        <f t="shared" si="166"/>
        <v>#N/A</v>
      </c>
    </row>
    <row r="1316" spans="1:17">
      <c r="A1316" s="28"/>
      <c r="B1316" s="28"/>
      <c r="C1316" s="28"/>
      <c r="D1316" s="28"/>
      <c r="E1316" s="28"/>
      <c r="F1316" s="28"/>
      <c r="G1316" s="26" t="str">
        <f t="shared" si="160"/>
        <v/>
      </c>
      <c r="H1316" s="26" t="str">
        <f t="shared" si="167"/>
        <v/>
      </c>
      <c r="I1316" s="26" t="str">
        <f t="shared" si="161"/>
        <v/>
      </c>
      <c r="J1316" t="str">
        <f t="shared" si="162"/>
        <v/>
      </c>
      <c r="K1316" s="26" t="str">
        <f t="shared" si="163"/>
        <v/>
      </c>
      <c r="L1316" s="26" t="str">
        <f t="shared" si="164"/>
        <v/>
      </c>
      <c r="P1316" t="e">
        <f t="shared" si="165"/>
        <v>#N/A</v>
      </c>
      <c r="Q1316" t="e">
        <f t="shared" si="166"/>
        <v>#N/A</v>
      </c>
    </row>
    <row r="1317" spans="1:17">
      <c r="A1317" s="28"/>
      <c r="B1317" s="28"/>
      <c r="C1317" s="28"/>
      <c r="D1317" s="28"/>
      <c r="E1317" s="28"/>
      <c r="F1317" s="28"/>
      <c r="G1317" s="26" t="str">
        <f t="shared" si="160"/>
        <v/>
      </c>
      <c r="H1317" s="26" t="str">
        <f t="shared" si="167"/>
        <v/>
      </c>
      <c r="I1317" s="26" t="str">
        <f t="shared" si="161"/>
        <v/>
      </c>
      <c r="J1317" t="str">
        <f t="shared" si="162"/>
        <v/>
      </c>
      <c r="K1317" s="26" t="str">
        <f t="shared" si="163"/>
        <v/>
      </c>
      <c r="L1317" s="26" t="str">
        <f t="shared" si="164"/>
        <v/>
      </c>
      <c r="P1317" t="e">
        <f t="shared" si="165"/>
        <v>#N/A</v>
      </c>
      <c r="Q1317" t="e">
        <f t="shared" si="166"/>
        <v>#N/A</v>
      </c>
    </row>
    <row r="1318" spans="1:17">
      <c r="A1318" s="28"/>
      <c r="B1318" s="28"/>
      <c r="C1318" s="28"/>
      <c r="D1318" s="28"/>
      <c r="E1318" s="28"/>
      <c r="F1318" s="28"/>
      <c r="G1318" s="26" t="str">
        <f t="shared" si="160"/>
        <v/>
      </c>
      <c r="H1318" s="26" t="str">
        <f t="shared" si="167"/>
        <v/>
      </c>
      <c r="I1318" s="26" t="str">
        <f t="shared" si="161"/>
        <v/>
      </c>
      <c r="J1318" t="str">
        <f t="shared" si="162"/>
        <v/>
      </c>
      <c r="K1318" s="26" t="str">
        <f t="shared" si="163"/>
        <v/>
      </c>
      <c r="L1318" s="26" t="str">
        <f t="shared" si="164"/>
        <v/>
      </c>
      <c r="P1318" t="e">
        <f t="shared" si="165"/>
        <v>#N/A</v>
      </c>
      <c r="Q1318" t="e">
        <f t="shared" si="166"/>
        <v>#N/A</v>
      </c>
    </row>
    <row r="1319" spans="1:17">
      <c r="A1319" s="28"/>
      <c r="B1319" s="28"/>
      <c r="C1319" s="28"/>
      <c r="D1319" s="28"/>
      <c r="E1319" s="28"/>
      <c r="F1319" s="28"/>
      <c r="G1319" s="26" t="str">
        <f t="shared" si="160"/>
        <v/>
      </c>
      <c r="H1319" s="26" t="str">
        <f t="shared" si="167"/>
        <v/>
      </c>
      <c r="I1319" s="26" t="str">
        <f t="shared" si="161"/>
        <v/>
      </c>
      <c r="J1319" t="str">
        <f t="shared" si="162"/>
        <v/>
      </c>
      <c r="K1319" s="26" t="str">
        <f t="shared" si="163"/>
        <v/>
      </c>
      <c r="L1319" s="26" t="str">
        <f t="shared" si="164"/>
        <v/>
      </c>
      <c r="P1319" t="e">
        <f t="shared" si="165"/>
        <v>#N/A</v>
      </c>
      <c r="Q1319" t="e">
        <f t="shared" si="166"/>
        <v>#N/A</v>
      </c>
    </row>
    <row r="1320" spans="1:17">
      <c r="A1320" s="28"/>
      <c r="B1320" s="28"/>
      <c r="C1320" s="28"/>
      <c r="D1320" s="28"/>
      <c r="E1320" s="28"/>
      <c r="F1320" s="28"/>
      <c r="G1320" s="26" t="str">
        <f t="shared" si="160"/>
        <v/>
      </c>
      <c r="H1320" s="26" t="str">
        <f t="shared" si="167"/>
        <v/>
      </c>
      <c r="I1320" s="26" t="str">
        <f t="shared" si="161"/>
        <v/>
      </c>
      <c r="J1320" t="str">
        <f t="shared" si="162"/>
        <v/>
      </c>
      <c r="K1320" s="26" t="str">
        <f t="shared" si="163"/>
        <v/>
      </c>
      <c r="L1320" s="26" t="str">
        <f t="shared" si="164"/>
        <v/>
      </c>
      <c r="P1320" t="e">
        <f t="shared" si="165"/>
        <v>#N/A</v>
      </c>
      <c r="Q1320" t="e">
        <f t="shared" si="166"/>
        <v>#N/A</v>
      </c>
    </row>
    <row r="1321" spans="1:17">
      <c r="A1321" s="28"/>
      <c r="B1321" s="28"/>
      <c r="C1321" s="28"/>
      <c r="D1321" s="28"/>
      <c r="E1321" s="28"/>
      <c r="F1321" s="28"/>
      <c r="G1321" s="26" t="str">
        <f t="shared" si="160"/>
        <v/>
      </c>
      <c r="H1321" s="26" t="str">
        <f t="shared" si="167"/>
        <v/>
      </c>
      <c r="I1321" s="26" t="str">
        <f t="shared" si="161"/>
        <v/>
      </c>
      <c r="J1321" t="str">
        <f t="shared" si="162"/>
        <v/>
      </c>
      <c r="K1321" s="26" t="str">
        <f t="shared" si="163"/>
        <v/>
      </c>
      <c r="L1321" s="26" t="str">
        <f t="shared" si="164"/>
        <v/>
      </c>
      <c r="P1321" t="e">
        <f t="shared" si="165"/>
        <v>#N/A</v>
      </c>
      <c r="Q1321" t="e">
        <f t="shared" si="166"/>
        <v>#N/A</v>
      </c>
    </row>
    <row r="1322" spans="1:17">
      <c r="A1322" s="28"/>
      <c r="B1322" s="28"/>
      <c r="C1322" s="28"/>
      <c r="D1322" s="28"/>
      <c r="E1322" s="28"/>
      <c r="F1322" s="28"/>
      <c r="G1322" s="26" t="str">
        <f t="shared" si="160"/>
        <v/>
      </c>
      <c r="H1322" s="26" t="str">
        <f t="shared" si="167"/>
        <v/>
      </c>
      <c r="I1322" s="26" t="str">
        <f t="shared" si="161"/>
        <v/>
      </c>
      <c r="J1322" t="str">
        <f t="shared" si="162"/>
        <v/>
      </c>
      <c r="K1322" s="26" t="str">
        <f t="shared" si="163"/>
        <v/>
      </c>
      <c r="L1322" s="26" t="str">
        <f t="shared" si="164"/>
        <v/>
      </c>
      <c r="P1322" t="e">
        <f t="shared" si="165"/>
        <v>#N/A</v>
      </c>
      <c r="Q1322" t="e">
        <f t="shared" si="166"/>
        <v>#N/A</v>
      </c>
    </row>
    <row r="1323" spans="1:17">
      <c r="A1323" s="28"/>
      <c r="B1323" s="28"/>
      <c r="C1323" s="28"/>
      <c r="D1323" s="28"/>
      <c r="E1323" s="28"/>
      <c r="F1323" s="28"/>
      <c r="G1323" s="26" t="str">
        <f t="shared" si="160"/>
        <v/>
      </c>
      <c r="H1323" s="26" t="str">
        <f t="shared" si="167"/>
        <v/>
      </c>
      <c r="I1323" s="26" t="str">
        <f t="shared" si="161"/>
        <v/>
      </c>
      <c r="J1323" t="str">
        <f t="shared" si="162"/>
        <v/>
      </c>
      <c r="K1323" s="26" t="str">
        <f t="shared" si="163"/>
        <v/>
      </c>
      <c r="L1323" s="26" t="str">
        <f t="shared" si="164"/>
        <v/>
      </c>
      <c r="P1323" t="e">
        <f t="shared" si="165"/>
        <v>#N/A</v>
      </c>
      <c r="Q1323" t="e">
        <f t="shared" si="166"/>
        <v>#N/A</v>
      </c>
    </row>
    <row r="1324" spans="1:17">
      <c r="A1324" s="28"/>
      <c r="B1324" s="28"/>
      <c r="C1324" s="28"/>
      <c r="D1324" s="28"/>
      <c r="E1324" s="28"/>
      <c r="F1324" s="28"/>
      <c r="G1324" s="26" t="str">
        <f t="shared" si="160"/>
        <v/>
      </c>
      <c r="H1324" s="26" t="str">
        <f t="shared" si="167"/>
        <v/>
      </c>
      <c r="I1324" s="26" t="str">
        <f t="shared" si="161"/>
        <v/>
      </c>
      <c r="J1324" t="str">
        <f t="shared" si="162"/>
        <v/>
      </c>
      <c r="K1324" s="26" t="str">
        <f t="shared" si="163"/>
        <v/>
      </c>
      <c r="L1324" s="26" t="str">
        <f t="shared" si="164"/>
        <v/>
      </c>
      <c r="P1324" t="e">
        <f t="shared" si="165"/>
        <v>#N/A</v>
      </c>
      <c r="Q1324" t="e">
        <f t="shared" si="166"/>
        <v>#N/A</v>
      </c>
    </row>
    <row r="1325" spans="1:17">
      <c r="A1325" s="28"/>
      <c r="B1325" s="28"/>
      <c r="C1325" s="28"/>
      <c r="D1325" s="28"/>
      <c r="E1325" s="28"/>
      <c r="F1325" s="28"/>
      <c r="G1325" s="26" t="str">
        <f t="shared" si="160"/>
        <v/>
      </c>
      <c r="H1325" s="26" t="str">
        <f t="shared" si="167"/>
        <v/>
      </c>
      <c r="I1325" s="26" t="str">
        <f t="shared" si="161"/>
        <v/>
      </c>
      <c r="J1325" t="str">
        <f t="shared" si="162"/>
        <v/>
      </c>
      <c r="K1325" s="26" t="str">
        <f t="shared" si="163"/>
        <v/>
      </c>
      <c r="L1325" s="26" t="str">
        <f t="shared" si="164"/>
        <v/>
      </c>
      <c r="P1325" t="e">
        <f t="shared" si="165"/>
        <v>#N/A</v>
      </c>
      <c r="Q1325" t="e">
        <f t="shared" si="166"/>
        <v>#N/A</v>
      </c>
    </row>
    <row r="1326" spans="1:17">
      <c r="A1326" s="28"/>
      <c r="B1326" s="28"/>
      <c r="C1326" s="28"/>
      <c r="D1326" s="28"/>
      <c r="E1326" s="28"/>
      <c r="F1326" s="28"/>
      <c r="G1326" s="26" t="str">
        <f t="shared" si="160"/>
        <v/>
      </c>
      <c r="H1326" s="26" t="str">
        <f t="shared" si="167"/>
        <v/>
      </c>
      <c r="I1326" s="26" t="str">
        <f t="shared" si="161"/>
        <v/>
      </c>
      <c r="J1326" t="str">
        <f t="shared" si="162"/>
        <v/>
      </c>
      <c r="K1326" s="26" t="str">
        <f t="shared" si="163"/>
        <v/>
      </c>
      <c r="L1326" s="26" t="str">
        <f t="shared" si="164"/>
        <v/>
      </c>
      <c r="P1326" t="e">
        <f t="shared" si="165"/>
        <v>#N/A</v>
      </c>
      <c r="Q1326" t="e">
        <f t="shared" si="166"/>
        <v>#N/A</v>
      </c>
    </row>
    <row r="1327" spans="1:17">
      <c r="A1327" s="28"/>
      <c r="B1327" s="28"/>
      <c r="C1327" s="28"/>
      <c r="D1327" s="28"/>
      <c r="E1327" s="28"/>
      <c r="F1327" s="28"/>
      <c r="G1327" s="26" t="str">
        <f t="shared" si="160"/>
        <v/>
      </c>
      <c r="H1327" s="26" t="str">
        <f t="shared" si="167"/>
        <v/>
      </c>
      <c r="I1327" s="26" t="str">
        <f t="shared" si="161"/>
        <v/>
      </c>
      <c r="J1327" t="str">
        <f t="shared" si="162"/>
        <v/>
      </c>
      <c r="K1327" s="26" t="str">
        <f t="shared" si="163"/>
        <v/>
      </c>
      <c r="L1327" s="26" t="str">
        <f t="shared" si="164"/>
        <v/>
      </c>
      <c r="P1327" t="e">
        <f t="shared" si="165"/>
        <v>#N/A</v>
      </c>
      <c r="Q1327" t="e">
        <f t="shared" si="166"/>
        <v>#N/A</v>
      </c>
    </row>
    <row r="1328" spans="1:17">
      <c r="A1328" s="28"/>
      <c r="B1328" s="28"/>
      <c r="C1328" s="28"/>
      <c r="D1328" s="28"/>
      <c r="E1328" s="28"/>
      <c r="F1328" s="28"/>
      <c r="G1328" s="26" t="str">
        <f t="shared" si="160"/>
        <v/>
      </c>
      <c r="H1328" s="26" t="str">
        <f t="shared" si="167"/>
        <v/>
      </c>
      <c r="I1328" s="26" t="str">
        <f t="shared" si="161"/>
        <v/>
      </c>
      <c r="J1328" t="str">
        <f t="shared" si="162"/>
        <v/>
      </c>
      <c r="K1328" s="26" t="str">
        <f t="shared" si="163"/>
        <v/>
      </c>
      <c r="L1328" s="26" t="str">
        <f t="shared" si="164"/>
        <v/>
      </c>
      <c r="P1328" t="e">
        <f t="shared" si="165"/>
        <v>#N/A</v>
      </c>
      <c r="Q1328" t="e">
        <f t="shared" si="166"/>
        <v>#N/A</v>
      </c>
    </row>
    <row r="1329" spans="1:17">
      <c r="A1329" s="28"/>
      <c r="B1329" s="28"/>
      <c r="C1329" s="28"/>
      <c r="D1329" s="28"/>
      <c r="E1329" s="28"/>
      <c r="F1329" s="28"/>
      <c r="G1329" s="26" t="str">
        <f t="shared" si="160"/>
        <v/>
      </c>
      <c r="H1329" s="26" t="str">
        <f t="shared" si="167"/>
        <v/>
      </c>
      <c r="I1329" s="26" t="str">
        <f t="shared" si="161"/>
        <v/>
      </c>
      <c r="J1329" t="str">
        <f t="shared" si="162"/>
        <v/>
      </c>
      <c r="K1329" s="26" t="str">
        <f t="shared" si="163"/>
        <v/>
      </c>
      <c r="L1329" s="26" t="str">
        <f t="shared" si="164"/>
        <v/>
      </c>
      <c r="P1329" t="e">
        <f t="shared" si="165"/>
        <v>#N/A</v>
      </c>
      <c r="Q1329" t="e">
        <f t="shared" si="166"/>
        <v>#N/A</v>
      </c>
    </row>
    <row r="1330" spans="1:17">
      <c r="A1330" s="28"/>
      <c r="B1330" s="28"/>
      <c r="C1330" s="28"/>
      <c r="D1330" s="28"/>
      <c r="E1330" s="28"/>
      <c r="F1330" s="28"/>
      <c r="G1330" s="26" t="str">
        <f t="shared" si="160"/>
        <v/>
      </c>
      <c r="H1330" s="26" t="str">
        <f t="shared" si="167"/>
        <v/>
      </c>
      <c r="I1330" s="26" t="str">
        <f t="shared" si="161"/>
        <v/>
      </c>
      <c r="J1330" t="str">
        <f t="shared" si="162"/>
        <v/>
      </c>
      <c r="K1330" s="26" t="str">
        <f t="shared" si="163"/>
        <v/>
      </c>
      <c r="L1330" s="26" t="str">
        <f t="shared" si="164"/>
        <v/>
      </c>
      <c r="P1330" t="e">
        <f t="shared" si="165"/>
        <v>#N/A</v>
      </c>
      <c r="Q1330" t="e">
        <f t="shared" si="166"/>
        <v>#N/A</v>
      </c>
    </row>
    <row r="1331" spans="1:17">
      <c r="A1331" s="28"/>
      <c r="B1331" s="28"/>
      <c r="C1331" s="28"/>
      <c r="D1331" s="28"/>
      <c r="E1331" s="28"/>
      <c r="F1331" s="28"/>
      <c r="G1331" s="26" t="str">
        <f t="shared" si="160"/>
        <v/>
      </c>
      <c r="H1331" s="26" t="str">
        <f t="shared" si="167"/>
        <v/>
      </c>
      <c r="I1331" s="26" t="str">
        <f t="shared" si="161"/>
        <v/>
      </c>
      <c r="J1331" t="str">
        <f t="shared" si="162"/>
        <v/>
      </c>
      <c r="K1331" s="26" t="str">
        <f t="shared" si="163"/>
        <v/>
      </c>
      <c r="L1331" s="26" t="str">
        <f t="shared" si="164"/>
        <v/>
      </c>
      <c r="P1331" t="e">
        <f t="shared" si="165"/>
        <v>#N/A</v>
      </c>
      <c r="Q1331" t="e">
        <f t="shared" si="166"/>
        <v>#N/A</v>
      </c>
    </row>
    <row r="1332" spans="1:17">
      <c r="A1332" s="28"/>
      <c r="B1332" s="28"/>
      <c r="C1332" s="28"/>
      <c r="D1332" s="28"/>
      <c r="E1332" s="28"/>
      <c r="F1332" s="28"/>
      <c r="G1332" s="26" t="str">
        <f t="shared" si="160"/>
        <v/>
      </c>
      <c r="H1332" s="26" t="str">
        <f t="shared" si="167"/>
        <v/>
      </c>
      <c r="I1332" s="26" t="str">
        <f t="shared" si="161"/>
        <v/>
      </c>
      <c r="J1332" t="str">
        <f t="shared" si="162"/>
        <v/>
      </c>
      <c r="K1332" s="26" t="str">
        <f t="shared" si="163"/>
        <v/>
      </c>
      <c r="L1332" s="26" t="str">
        <f t="shared" si="164"/>
        <v/>
      </c>
      <c r="P1332" t="e">
        <f t="shared" si="165"/>
        <v>#N/A</v>
      </c>
      <c r="Q1332" t="e">
        <f t="shared" si="166"/>
        <v>#N/A</v>
      </c>
    </row>
    <row r="1333" spans="1:17">
      <c r="A1333" s="28"/>
      <c r="B1333" s="28"/>
      <c r="C1333" s="28"/>
      <c r="D1333" s="28"/>
      <c r="E1333" s="28"/>
      <c r="F1333" s="28"/>
      <c r="G1333" s="26" t="str">
        <f t="shared" si="160"/>
        <v/>
      </c>
      <c r="H1333" s="26" t="str">
        <f t="shared" si="167"/>
        <v/>
      </c>
      <c r="I1333" s="26" t="str">
        <f t="shared" si="161"/>
        <v/>
      </c>
      <c r="J1333" t="str">
        <f t="shared" si="162"/>
        <v/>
      </c>
      <c r="K1333" s="26" t="str">
        <f t="shared" si="163"/>
        <v/>
      </c>
      <c r="L1333" s="26" t="str">
        <f t="shared" si="164"/>
        <v/>
      </c>
      <c r="P1333" t="e">
        <f t="shared" si="165"/>
        <v>#N/A</v>
      </c>
      <c r="Q1333" t="e">
        <f t="shared" si="166"/>
        <v>#N/A</v>
      </c>
    </row>
    <row r="1334" spans="1:17">
      <c r="A1334" s="28"/>
      <c r="B1334" s="28"/>
      <c r="C1334" s="28"/>
      <c r="D1334" s="28"/>
      <c r="E1334" s="28"/>
      <c r="F1334" s="28"/>
      <c r="G1334" s="26" t="str">
        <f t="shared" si="160"/>
        <v/>
      </c>
      <c r="H1334" s="26" t="str">
        <f t="shared" si="167"/>
        <v/>
      </c>
      <c r="I1334" s="26" t="str">
        <f t="shared" si="161"/>
        <v/>
      </c>
      <c r="J1334" t="str">
        <f t="shared" si="162"/>
        <v/>
      </c>
      <c r="K1334" s="26" t="str">
        <f t="shared" si="163"/>
        <v/>
      </c>
      <c r="L1334" s="26" t="str">
        <f t="shared" si="164"/>
        <v/>
      </c>
      <c r="P1334" t="e">
        <f t="shared" si="165"/>
        <v>#N/A</v>
      </c>
      <c r="Q1334" t="e">
        <f t="shared" si="166"/>
        <v>#N/A</v>
      </c>
    </row>
    <row r="1335" spans="1:17">
      <c r="A1335" s="28"/>
      <c r="B1335" s="28"/>
      <c r="C1335" s="28"/>
      <c r="D1335" s="28"/>
      <c r="E1335" s="28"/>
      <c r="F1335" s="28"/>
      <c r="G1335" s="26" t="str">
        <f t="shared" si="160"/>
        <v/>
      </c>
      <c r="H1335" s="26" t="str">
        <f t="shared" si="167"/>
        <v/>
      </c>
      <c r="I1335" s="26" t="str">
        <f t="shared" si="161"/>
        <v/>
      </c>
      <c r="J1335" t="str">
        <f t="shared" si="162"/>
        <v/>
      </c>
      <c r="K1335" s="26" t="str">
        <f t="shared" si="163"/>
        <v/>
      </c>
      <c r="L1335" s="26" t="str">
        <f t="shared" si="164"/>
        <v/>
      </c>
      <c r="P1335" t="e">
        <f t="shared" si="165"/>
        <v>#N/A</v>
      </c>
      <c r="Q1335" t="e">
        <f t="shared" si="166"/>
        <v>#N/A</v>
      </c>
    </row>
    <row r="1336" spans="1:17">
      <c r="A1336" s="28"/>
      <c r="B1336" s="28"/>
      <c r="C1336" s="28"/>
      <c r="D1336" s="28"/>
      <c r="E1336" s="28"/>
      <c r="F1336" s="28"/>
      <c r="G1336" s="26" t="str">
        <f t="shared" si="160"/>
        <v/>
      </c>
      <c r="H1336" s="26" t="str">
        <f t="shared" si="167"/>
        <v/>
      </c>
      <c r="I1336" s="26" t="str">
        <f t="shared" si="161"/>
        <v/>
      </c>
      <c r="J1336" t="str">
        <f t="shared" si="162"/>
        <v/>
      </c>
      <c r="K1336" s="26" t="str">
        <f t="shared" si="163"/>
        <v/>
      </c>
      <c r="L1336" s="26" t="str">
        <f t="shared" si="164"/>
        <v/>
      </c>
      <c r="P1336" t="e">
        <f t="shared" si="165"/>
        <v>#N/A</v>
      </c>
      <c r="Q1336" t="e">
        <f t="shared" si="166"/>
        <v>#N/A</v>
      </c>
    </row>
    <row r="1337" spans="1:17">
      <c r="A1337" s="28"/>
      <c r="B1337" s="28"/>
      <c r="C1337" s="28"/>
      <c r="D1337" s="28"/>
      <c r="E1337" s="28"/>
      <c r="F1337" s="28"/>
      <c r="G1337" s="26" t="str">
        <f t="shared" si="160"/>
        <v/>
      </c>
      <c r="H1337" s="26" t="str">
        <f t="shared" si="167"/>
        <v/>
      </c>
      <c r="I1337" s="26" t="str">
        <f t="shared" si="161"/>
        <v/>
      </c>
      <c r="J1337" t="str">
        <f t="shared" si="162"/>
        <v/>
      </c>
      <c r="K1337" s="26" t="str">
        <f t="shared" si="163"/>
        <v/>
      </c>
      <c r="L1337" s="26" t="str">
        <f t="shared" si="164"/>
        <v/>
      </c>
      <c r="P1337" t="e">
        <f t="shared" si="165"/>
        <v>#N/A</v>
      </c>
      <c r="Q1337" t="e">
        <f t="shared" si="166"/>
        <v>#N/A</v>
      </c>
    </row>
    <row r="1338" spans="1:17">
      <c r="A1338" s="28"/>
      <c r="B1338" s="28"/>
      <c r="C1338" s="28"/>
      <c r="D1338" s="28"/>
      <c r="E1338" s="28"/>
      <c r="F1338" s="28"/>
      <c r="G1338" s="26" t="str">
        <f t="shared" si="160"/>
        <v/>
      </c>
      <c r="H1338" s="26" t="str">
        <f t="shared" si="167"/>
        <v/>
      </c>
      <c r="I1338" s="26" t="str">
        <f t="shared" si="161"/>
        <v/>
      </c>
      <c r="J1338" t="str">
        <f t="shared" si="162"/>
        <v/>
      </c>
      <c r="K1338" s="26" t="str">
        <f t="shared" si="163"/>
        <v/>
      </c>
      <c r="L1338" s="26" t="str">
        <f t="shared" si="164"/>
        <v/>
      </c>
      <c r="P1338" t="e">
        <f t="shared" si="165"/>
        <v>#N/A</v>
      </c>
      <c r="Q1338" t="e">
        <f t="shared" si="166"/>
        <v>#N/A</v>
      </c>
    </row>
    <row r="1339" spans="1:17">
      <c r="A1339" s="28"/>
      <c r="B1339" s="28"/>
      <c r="C1339" s="28"/>
      <c r="D1339" s="28"/>
      <c r="E1339" s="28"/>
      <c r="F1339" s="28"/>
      <c r="G1339" s="26" t="str">
        <f t="shared" si="160"/>
        <v/>
      </c>
      <c r="H1339" s="26" t="str">
        <f t="shared" si="167"/>
        <v/>
      </c>
      <c r="I1339" s="26" t="str">
        <f t="shared" si="161"/>
        <v/>
      </c>
      <c r="J1339" t="str">
        <f t="shared" si="162"/>
        <v/>
      </c>
      <c r="K1339" s="26" t="str">
        <f t="shared" si="163"/>
        <v/>
      </c>
      <c r="L1339" s="26" t="str">
        <f t="shared" si="164"/>
        <v/>
      </c>
      <c r="P1339" t="e">
        <f t="shared" si="165"/>
        <v>#N/A</v>
      </c>
      <c r="Q1339" t="e">
        <f t="shared" si="166"/>
        <v>#N/A</v>
      </c>
    </row>
    <row r="1340" spans="1:17">
      <c r="A1340" s="28"/>
      <c r="B1340" s="28"/>
      <c r="C1340" s="28"/>
      <c r="D1340" s="28"/>
      <c r="E1340" s="28"/>
      <c r="F1340" s="28"/>
      <c r="G1340" s="26" t="str">
        <f t="shared" si="160"/>
        <v/>
      </c>
      <c r="H1340" s="26" t="str">
        <f t="shared" si="167"/>
        <v/>
      </c>
      <c r="I1340" s="26" t="str">
        <f t="shared" si="161"/>
        <v/>
      </c>
      <c r="J1340" t="str">
        <f t="shared" si="162"/>
        <v/>
      </c>
      <c r="K1340" s="26" t="str">
        <f t="shared" si="163"/>
        <v/>
      </c>
      <c r="L1340" s="26" t="str">
        <f t="shared" si="164"/>
        <v/>
      </c>
      <c r="P1340" t="e">
        <f t="shared" si="165"/>
        <v>#N/A</v>
      </c>
      <c r="Q1340" t="e">
        <f t="shared" si="166"/>
        <v>#N/A</v>
      </c>
    </row>
    <row r="1341" spans="1:17">
      <c r="A1341" s="28"/>
      <c r="B1341" s="28"/>
      <c r="C1341" s="28"/>
      <c r="D1341" s="28"/>
      <c r="E1341" s="28"/>
      <c r="F1341" s="28"/>
      <c r="G1341" s="26" t="str">
        <f t="shared" si="160"/>
        <v/>
      </c>
      <c r="H1341" s="26" t="str">
        <f t="shared" si="167"/>
        <v/>
      </c>
      <c r="I1341" s="26" t="str">
        <f t="shared" si="161"/>
        <v/>
      </c>
      <c r="J1341" t="str">
        <f t="shared" si="162"/>
        <v/>
      </c>
      <c r="K1341" s="26" t="str">
        <f t="shared" si="163"/>
        <v/>
      </c>
      <c r="L1341" s="26" t="str">
        <f t="shared" si="164"/>
        <v/>
      </c>
      <c r="P1341" t="e">
        <f t="shared" si="165"/>
        <v>#N/A</v>
      </c>
      <c r="Q1341" t="e">
        <f t="shared" si="166"/>
        <v>#N/A</v>
      </c>
    </row>
    <row r="1342" spans="1:17">
      <c r="A1342" s="28"/>
      <c r="B1342" s="28"/>
      <c r="C1342" s="28"/>
      <c r="D1342" s="28"/>
      <c r="E1342" s="28"/>
      <c r="F1342" s="28"/>
      <c r="G1342" s="26" t="str">
        <f t="shared" si="160"/>
        <v/>
      </c>
      <c r="H1342" s="26" t="str">
        <f t="shared" si="167"/>
        <v/>
      </c>
      <c r="I1342" s="26" t="str">
        <f t="shared" si="161"/>
        <v/>
      </c>
      <c r="J1342" t="str">
        <f t="shared" si="162"/>
        <v/>
      </c>
      <c r="K1342" s="26" t="str">
        <f t="shared" si="163"/>
        <v/>
      </c>
      <c r="L1342" s="26" t="str">
        <f t="shared" si="164"/>
        <v/>
      </c>
      <c r="P1342" t="e">
        <f t="shared" si="165"/>
        <v>#N/A</v>
      </c>
      <c r="Q1342" t="e">
        <f t="shared" si="166"/>
        <v>#N/A</v>
      </c>
    </row>
    <row r="1343" spans="1:17">
      <c r="A1343" s="28"/>
      <c r="B1343" s="28"/>
      <c r="C1343" s="28"/>
      <c r="D1343" s="28"/>
      <c r="E1343" s="28"/>
      <c r="F1343" s="28"/>
      <c r="G1343" s="26" t="str">
        <f t="shared" si="160"/>
        <v/>
      </c>
      <c r="H1343" s="26" t="str">
        <f t="shared" si="167"/>
        <v/>
      </c>
      <c r="I1343" s="26" t="str">
        <f t="shared" si="161"/>
        <v/>
      </c>
      <c r="J1343" t="str">
        <f t="shared" si="162"/>
        <v/>
      </c>
      <c r="K1343" s="26" t="str">
        <f t="shared" si="163"/>
        <v/>
      </c>
      <c r="L1343" s="26" t="str">
        <f t="shared" si="164"/>
        <v/>
      </c>
      <c r="P1343" t="e">
        <f t="shared" si="165"/>
        <v>#N/A</v>
      </c>
      <c r="Q1343" t="e">
        <f t="shared" si="166"/>
        <v>#N/A</v>
      </c>
    </row>
    <row r="1344" spans="1:17">
      <c r="A1344" s="28"/>
      <c r="B1344" s="28"/>
      <c r="C1344" s="28"/>
      <c r="D1344" s="28"/>
      <c r="E1344" s="28"/>
      <c r="F1344" s="28"/>
      <c r="G1344" s="26" t="str">
        <f t="shared" si="160"/>
        <v/>
      </c>
      <c r="H1344" s="26" t="str">
        <f t="shared" si="167"/>
        <v/>
      </c>
      <c r="I1344" s="26" t="str">
        <f t="shared" si="161"/>
        <v/>
      </c>
      <c r="J1344" t="str">
        <f t="shared" si="162"/>
        <v/>
      </c>
      <c r="K1344" s="26" t="str">
        <f t="shared" si="163"/>
        <v/>
      </c>
      <c r="L1344" s="26" t="str">
        <f t="shared" si="164"/>
        <v/>
      </c>
      <c r="P1344" t="e">
        <f t="shared" si="165"/>
        <v>#N/A</v>
      </c>
      <c r="Q1344" t="e">
        <f t="shared" si="166"/>
        <v>#N/A</v>
      </c>
    </row>
    <row r="1345" spans="1:17">
      <c r="A1345" s="28"/>
      <c r="B1345" s="28"/>
      <c r="C1345" s="28"/>
      <c r="D1345" s="28"/>
      <c r="E1345" s="28"/>
      <c r="F1345" s="28"/>
      <c r="G1345" s="26" t="str">
        <f t="shared" si="160"/>
        <v/>
      </c>
      <c r="H1345" s="26" t="str">
        <f t="shared" si="167"/>
        <v/>
      </c>
      <c r="I1345" s="26" t="str">
        <f t="shared" si="161"/>
        <v/>
      </c>
      <c r="J1345" t="str">
        <f t="shared" si="162"/>
        <v/>
      </c>
      <c r="K1345" s="26" t="str">
        <f t="shared" si="163"/>
        <v/>
      </c>
      <c r="L1345" s="26" t="str">
        <f t="shared" si="164"/>
        <v/>
      </c>
      <c r="P1345" t="e">
        <f t="shared" si="165"/>
        <v>#N/A</v>
      </c>
      <c r="Q1345" t="e">
        <f t="shared" si="166"/>
        <v>#N/A</v>
      </c>
    </row>
    <row r="1346" spans="1:17">
      <c r="A1346" s="28"/>
      <c r="B1346" s="28"/>
      <c r="C1346" s="28"/>
      <c r="D1346" s="28"/>
      <c r="E1346" s="28"/>
      <c r="F1346" s="28"/>
      <c r="G1346" s="26" t="str">
        <f t="shared" ref="G1346:G1409" si="168">IF(B1346="","",243.04*(LN(C1346/100)+17.625*B1346/(243.04+B1346))/(17.625-LN(C1346/100)-17.625*B1346/(243.04+B1346)))</f>
        <v/>
      </c>
      <c r="H1346" s="26" t="str">
        <f t="shared" si="167"/>
        <v/>
      </c>
      <c r="I1346" s="26" t="str">
        <f t="shared" ref="I1346:I1409" si="169">IF(B1346="","",B1346-E1346)</f>
        <v/>
      </c>
      <c r="J1346" t="str">
        <f t="shared" ref="J1346:J1409" si="170">IF(H1346="","",IF(H1346&gt;0.6,"Heating",IF(H1346&lt;-0.2,"Cooling","Steady")))</f>
        <v/>
      </c>
      <c r="K1346" s="26" t="str">
        <f t="shared" ref="K1346:K1409" si="171">IF(J1346="Cooling",I1346,"")</f>
        <v/>
      </c>
      <c r="L1346" s="26" t="str">
        <f t="shared" ref="L1346:L1409" si="172">IF(J1346="Cooling",H1346,"")</f>
        <v/>
      </c>
      <c r="P1346" t="e">
        <f t="shared" ref="P1346:P1409" si="173">IF(K1346="",NA(),K1346)</f>
        <v>#N/A</v>
      </c>
      <c r="Q1346" t="e">
        <f t="shared" ref="Q1346:Q1409" si="174">IF(L1346="",NA(),L1346)</f>
        <v>#N/A</v>
      </c>
    </row>
    <row r="1347" spans="1:17">
      <c r="A1347" s="28"/>
      <c r="B1347" s="28"/>
      <c r="C1347" s="28"/>
      <c r="D1347" s="28"/>
      <c r="E1347" s="28"/>
      <c r="F1347" s="28"/>
      <c r="G1347" s="26" t="str">
        <f t="shared" si="168"/>
        <v/>
      </c>
      <c r="H1347" s="26" t="str">
        <f t="shared" si="167"/>
        <v/>
      </c>
      <c r="I1347" s="26" t="str">
        <f t="shared" si="169"/>
        <v/>
      </c>
      <c r="J1347" t="str">
        <f t="shared" si="170"/>
        <v/>
      </c>
      <c r="K1347" s="26" t="str">
        <f t="shared" si="171"/>
        <v/>
      </c>
      <c r="L1347" s="26" t="str">
        <f t="shared" si="172"/>
        <v/>
      </c>
      <c r="P1347" t="e">
        <f t="shared" si="173"/>
        <v>#N/A</v>
      </c>
      <c r="Q1347" t="e">
        <f t="shared" si="174"/>
        <v>#N/A</v>
      </c>
    </row>
    <row r="1348" spans="1:17">
      <c r="A1348" s="28"/>
      <c r="B1348" s="28"/>
      <c r="C1348" s="28"/>
      <c r="D1348" s="28"/>
      <c r="E1348" s="28"/>
      <c r="F1348" s="28"/>
      <c r="G1348" s="26" t="str">
        <f t="shared" si="168"/>
        <v/>
      </c>
      <c r="H1348" s="26" t="str">
        <f t="shared" ref="H1348:H1411" si="175">IFERROR(IF(OR(B1346="",B1350=""),"",(B1350-B1346)/4*60),"")</f>
        <v/>
      </c>
      <c r="I1348" s="26" t="str">
        <f t="shared" si="169"/>
        <v/>
      </c>
      <c r="J1348" t="str">
        <f t="shared" si="170"/>
        <v/>
      </c>
      <c r="K1348" s="26" t="str">
        <f t="shared" si="171"/>
        <v/>
      </c>
      <c r="L1348" s="26" t="str">
        <f t="shared" si="172"/>
        <v/>
      </c>
      <c r="P1348" t="e">
        <f t="shared" si="173"/>
        <v>#N/A</v>
      </c>
      <c r="Q1348" t="e">
        <f t="shared" si="174"/>
        <v>#N/A</v>
      </c>
    </row>
    <row r="1349" spans="1:17">
      <c r="A1349" s="28"/>
      <c r="B1349" s="28"/>
      <c r="C1349" s="28"/>
      <c r="D1349" s="28"/>
      <c r="E1349" s="28"/>
      <c r="F1349" s="28"/>
      <c r="G1349" s="26" t="str">
        <f t="shared" si="168"/>
        <v/>
      </c>
      <c r="H1349" s="26" t="str">
        <f t="shared" si="175"/>
        <v/>
      </c>
      <c r="I1349" s="26" t="str">
        <f t="shared" si="169"/>
        <v/>
      </c>
      <c r="J1349" t="str">
        <f t="shared" si="170"/>
        <v/>
      </c>
      <c r="K1349" s="26" t="str">
        <f t="shared" si="171"/>
        <v/>
      </c>
      <c r="L1349" s="26" t="str">
        <f t="shared" si="172"/>
        <v/>
      </c>
      <c r="P1349" t="e">
        <f t="shared" si="173"/>
        <v>#N/A</v>
      </c>
      <c r="Q1349" t="e">
        <f t="shared" si="174"/>
        <v>#N/A</v>
      </c>
    </row>
    <row r="1350" spans="1:17">
      <c r="A1350" s="28"/>
      <c r="B1350" s="28"/>
      <c r="C1350" s="28"/>
      <c r="D1350" s="28"/>
      <c r="E1350" s="28"/>
      <c r="F1350" s="28"/>
      <c r="G1350" s="26" t="str">
        <f t="shared" si="168"/>
        <v/>
      </c>
      <c r="H1350" s="26" t="str">
        <f t="shared" si="175"/>
        <v/>
      </c>
      <c r="I1350" s="26" t="str">
        <f t="shared" si="169"/>
        <v/>
      </c>
      <c r="J1350" t="str">
        <f t="shared" si="170"/>
        <v/>
      </c>
      <c r="K1350" s="26" t="str">
        <f t="shared" si="171"/>
        <v/>
      </c>
      <c r="L1350" s="26" t="str">
        <f t="shared" si="172"/>
        <v/>
      </c>
      <c r="P1350" t="e">
        <f t="shared" si="173"/>
        <v>#N/A</v>
      </c>
      <c r="Q1350" t="e">
        <f t="shared" si="174"/>
        <v>#N/A</v>
      </c>
    </row>
    <row r="1351" spans="1:17">
      <c r="A1351" s="28"/>
      <c r="B1351" s="28"/>
      <c r="C1351" s="28"/>
      <c r="D1351" s="28"/>
      <c r="E1351" s="28"/>
      <c r="F1351" s="28"/>
      <c r="G1351" s="26" t="str">
        <f t="shared" si="168"/>
        <v/>
      </c>
      <c r="H1351" s="26" t="str">
        <f t="shared" si="175"/>
        <v/>
      </c>
      <c r="I1351" s="26" t="str">
        <f t="shared" si="169"/>
        <v/>
      </c>
      <c r="J1351" t="str">
        <f t="shared" si="170"/>
        <v/>
      </c>
      <c r="K1351" s="26" t="str">
        <f t="shared" si="171"/>
        <v/>
      </c>
      <c r="L1351" s="26" t="str">
        <f t="shared" si="172"/>
        <v/>
      </c>
      <c r="P1351" t="e">
        <f t="shared" si="173"/>
        <v>#N/A</v>
      </c>
      <c r="Q1351" t="e">
        <f t="shared" si="174"/>
        <v>#N/A</v>
      </c>
    </row>
    <row r="1352" spans="1:17">
      <c r="A1352" s="28"/>
      <c r="B1352" s="28"/>
      <c r="C1352" s="28"/>
      <c r="D1352" s="28"/>
      <c r="E1352" s="28"/>
      <c r="F1352" s="28"/>
      <c r="G1352" s="26" t="str">
        <f t="shared" si="168"/>
        <v/>
      </c>
      <c r="H1352" s="26" t="str">
        <f t="shared" si="175"/>
        <v/>
      </c>
      <c r="I1352" s="26" t="str">
        <f t="shared" si="169"/>
        <v/>
      </c>
      <c r="J1352" t="str">
        <f t="shared" si="170"/>
        <v/>
      </c>
      <c r="K1352" s="26" t="str">
        <f t="shared" si="171"/>
        <v/>
      </c>
      <c r="L1352" s="26" t="str">
        <f t="shared" si="172"/>
        <v/>
      </c>
      <c r="P1352" t="e">
        <f t="shared" si="173"/>
        <v>#N/A</v>
      </c>
      <c r="Q1352" t="e">
        <f t="shared" si="174"/>
        <v>#N/A</v>
      </c>
    </row>
    <row r="1353" spans="1:17">
      <c r="A1353" s="28"/>
      <c r="B1353" s="28"/>
      <c r="C1353" s="28"/>
      <c r="D1353" s="28"/>
      <c r="E1353" s="28"/>
      <c r="F1353" s="28"/>
      <c r="G1353" s="26" t="str">
        <f t="shared" si="168"/>
        <v/>
      </c>
      <c r="H1353" s="26" t="str">
        <f t="shared" si="175"/>
        <v/>
      </c>
      <c r="I1353" s="26" t="str">
        <f t="shared" si="169"/>
        <v/>
      </c>
      <c r="J1353" t="str">
        <f t="shared" si="170"/>
        <v/>
      </c>
      <c r="K1353" s="26" t="str">
        <f t="shared" si="171"/>
        <v/>
      </c>
      <c r="L1353" s="26" t="str">
        <f t="shared" si="172"/>
        <v/>
      </c>
      <c r="P1353" t="e">
        <f t="shared" si="173"/>
        <v>#N/A</v>
      </c>
      <c r="Q1353" t="e">
        <f t="shared" si="174"/>
        <v>#N/A</v>
      </c>
    </row>
    <row r="1354" spans="1:17">
      <c r="A1354" s="28"/>
      <c r="B1354" s="28"/>
      <c r="C1354" s="28"/>
      <c r="D1354" s="28"/>
      <c r="E1354" s="28"/>
      <c r="F1354" s="28"/>
      <c r="G1354" s="26" t="str">
        <f t="shared" si="168"/>
        <v/>
      </c>
      <c r="H1354" s="26" t="str">
        <f t="shared" si="175"/>
        <v/>
      </c>
      <c r="I1354" s="26" t="str">
        <f t="shared" si="169"/>
        <v/>
      </c>
      <c r="J1354" t="str">
        <f t="shared" si="170"/>
        <v/>
      </c>
      <c r="K1354" s="26" t="str">
        <f t="shared" si="171"/>
        <v/>
      </c>
      <c r="L1354" s="26" t="str">
        <f t="shared" si="172"/>
        <v/>
      </c>
      <c r="P1354" t="e">
        <f t="shared" si="173"/>
        <v>#N/A</v>
      </c>
      <c r="Q1354" t="e">
        <f t="shared" si="174"/>
        <v>#N/A</v>
      </c>
    </row>
    <row r="1355" spans="1:17">
      <c r="A1355" s="28"/>
      <c r="B1355" s="28"/>
      <c r="C1355" s="28"/>
      <c r="D1355" s="28"/>
      <c r="E1355" s="28"/>
      <c r="F1355" s="28"/>
      <c r="G1355" s="26" t="str">
        <f t="shared" si="168"/>
        <v/>
      </c>
      <c r="H1355" s="26" t="str">
        <f t="shared" si="175"/>
        <v/>
      </c>
      <c r="I1355" s="26" t="str">
        <f t="shared" si="169"/>
        <v/>
      </c>
      <c r="J1355" t="str">
        <f t="shared" si="170"/>
        <v/>
      </c>
      <c r="K1355" s="26" t="str">
        <f t="shared" si="171"/>
        <v/>
      </c>
      <c r="L1355" s="26" t="str">
        <f t="shared" si="172"/>
        <v/>
      </c>
      <c r="P1355" t="e">
        <f t="shared" si="173"/>
        <v>#N/A</v>
      </c>
      <c r="Q1355" t="e">
        <f t="shared" si="174"/>
        <v>#N/A</v>
      </c>
    </row>
    <row r="1356" spans="1:17">
      <c r="A1356" s="28"/>
      <c r="B1356" s="28"/>
      <c r="C1356" s="28"/>
      <c r="D1356" s="28"/>
      <c r="E1356" s="28"/>
      <c r="F1356" s="28"/>
      <c r="G1356" s="26" t="str">
        <f t="shared" si="168"/>
        <v/>
      </c>
      <c r="H1356" s="26" t="str">
        <f t="shared" si="175"/>
        <v/>
      </c>
      <c r="I1356" s="26" t="str">
        <f t="shared" si="169"/>
        <v/>
      </c>
      <c r="J1356" t="str">
        <f t="shared" si="170"/>
        <v/>
      </c>
      <c r="K1356" s="26" t="str">
        <f t="shared" si="171"/>
        <v/>
      </c>
      <c r="L1356" s="26" t="str">
        <f t="shared" si="172"/>
        <v/>
      </c>
      <c r="P1356" t="e">
        <f t="shared" si="173"/>
        <v>#N/A</v>
      </c>
      <c r="Q1356" t="e">
        <f t="shared" si="174"/>
        <v>#N/A</v>
      </c>
    </row>
    <row r="1357" spans="1:17">
      <c r="A1357" s="28"/>
      <c r="B1357" s="28"/>
      <c r="C1357" s="28"/>
      <c r="D1357" s="28"/>
      <c r="E1357" s="28"/>
      <c r="F1357" s="28"/>
      <c r="G1357" s="26" t="str">
        <f t="shared" si="168"/>
        <v/>
      </c>
      <c r="H1357" s="26" t="str">
        <f t="shared" si="175"/>
        <v/>
      </c>
      <c r="I1357" s="26" t="str">
        <f t="shared" si="169"/>
        <v/>
      </c>
      <c r="J1357" t="str">
        <f t="shared" si="170"/>
        <v/>
      </c>
      <c r="K1357" s="26" t="str">
        <f t="shared" si="171"/>
        <v/>
      </c>
      <c r="L1357" s="26" t="str">
        <f t="shared" si="172"/>
        <v/>
      </c>
      <c r="P1357" t="e">
        <f t="shared" si="173"/>
        <v>#N/A</v>
      </c>
      <c r="Q1357" t="e">
        <f t="shared" si="174"/>
        <v>#N/A</v>
      </c>
    </row>
    <row r="1358" spans="1:17">
      <c r="A1358" s="28"/>
      <c r="B1358" s="28"/>
      <c r="C1358" s="28"/>
      <c r="D1358" s="28"/>
      <c r="E1358" s="28"/>
      <c r="F1358" s="28"/>
      <c r="G1358" s="26" t="str">
        <f t="shared" si="168"/>
        <v/>
      </c>
      <c r="H1358" s="26" t="str">
        <f t="shared" si="175"/>
        <v/>
      </c>
      <c r="I1358" s="26" t="str">
        <f t="shared" si="169"/>
        <v/>
      </c>
      <c r="J1358" t="str">
        <f t="shared" si="170"/>
        <v/>
      </c>
      <c r="K1358" s="26" t="str">
        <f t="shared" si="171"/>
        <v/>
      </c>
      <c r="L1358" s="26" t="str">
        <f t="shared" si="172"/>
        <v/>
      </c>
      <c r="P1358" t="e">
        <f t="shared" si="173"/>
        <v>#N/A</v>
      </c>
      <c r="Q1358" t="e">
        <f t="shared" si="174"/>
        <v>#N/A</v>
      </c>
    </row>
    <row r="1359" spans="1:17">
      <c r="A1359" s="28"/>
      <c r="B1359" s="28"/>
      <c r="C1359" s="28"/>
      <c r="D1359" s="28"/>
      <c r="E1359" s="28"/>
      <c r="F1359" s="28"/>
      <c r="G1359" s="26" t="str">
        <f t="shared" si="168"/>
        <v/>
      </c>
      <c r="H1359" s="26" t="str">
        <f t="shared" si="175"/>
        <v/>
      </c>
      <c r="I1359" s="26" t="str">
        <f t="shared" si="169"/>
        <v/>
      </c>
      <c r="J1359" t="str">
        <f t="shared" si="170"/>
        <v/>
      </c>
      <c r="K1359" s="26" t="str">
        <f t="shared" si="171"/>
        <v/>
      </c>
      <c r="L1359" s="26" t="str">
        <f t="shared" si="172"/>
        <v/>
      </c>
      <c r="P1359" t="e">
        <f t="shared" si="173"/>
        <v>#N/A</v>
      </c>
      <c r="Q1359" t="e">
        <f t="shared" si="174"/>
        <v>#N/A</v>
      </c>
    </row>
    <row r="1360" spans="1:17">
      <c r="A1360" s="28"/>
      <c r="B1360" s="28"/>
      <c r="C1360" s="28"/>
      <c r="D1360" s="28"/>
      <c r="E1360" s="28"/>
      <c r="F1360" s="28"/>
      <c r="G1360" s="26" t="str">
        <f t="shared" si="168"/>
        <v/>
      </c>
      <c r="H1360" s="26" t="str">
        <f t="shared" si="175"/>
        <v/>
      </c>
      <c r="I1360" s="26" t="str">
        <f t="shared" si="169"/>
        <v/>
      </c>
      <c r="J1360" t="str">
        <f t="shared" si="170"/>
        <v/>
      </c>
      <c r="K1360" s="26" t="str">
        <f t="shared" si="171"/>
        <v/>
      </c>
      <c r="L1360" s="26" t="str">
        <f t="shared" si="172"/>
        <v/>
      </c>
      <c r="P1360" t="e">
        <f t="shared" si="173"/>
        <v>#N/A</v>
      </c>
      <c r="Q1360" t="e">
        <f t="shared" si="174"/>
        <v>#N/A</v>
      </c>
    </row>
    <row r="1361" spans="1:17">
      <c r="A1361" s="28"/>
      <c r="B1361" s="28"/>
      <c r="C1361" s="28"/>
      <c r="D1361" s="28"/>
      <c r="E1361" s="28"/>
      <c r="F1361" s="28"/>
      <c r="G1361" s="26" t="str">
        <f t="shared" si="168"/>
        <v/>
      </c>
      <c r="H1361" s="26" t="str">
        <f t="shared" si="175"/>
        <v/>
      </c>
      <c r="I1361" s="26" t="str">
        <f t="shared" si="169"/>
        <v/>
      </c>
      <c r="J1361" t="str">
        <f t="shared" si="170"/>
        <v/>
      </c>
      <c r="K1361" s="26" t="str">
        <f t="shared" si="171"/>
        <v/>
      </c>
      <c r="L1361" s="26" t="str">
        <f t="shared" si="172"/>
        <v/>
      </c>
      <c r="P1361" t="e">
        <f t="shared" si="173"/>
        <v>#N/A</v>
      </c>
      <c r="Q1361" t="e">
        <f t="shared" si="174"/>
        <v>#N/A</v>
      </c>
    </row>
    <row r="1362" spans="1:17">
      <c r="A1362" s="28"/>
      <c r="B1362" s="28"/>
      <c r="C1362" s="28"/>
      <c r="D1362" s="28"/>
      <c r="E1362" s="28"/>
      <c r="F1362" s="28"/>
      <c r="G1362" s="26" t="str">
        <f t="shared" si="168"/>
        <v/>
      </c>
      <c r="H1362" s="26" t="str">
        <f t="shared" si="175"/>
        <v/>
      </c>
      <c r="I1362" s="26" t="str">
        <f t="shared" si="169"/>
        <v/>
      </c>
      <c r="J1362" t="str">
        <f t="shared" si="170"/>
        <v/>
      </c>
      <c r="K1362" s="26" t="str">
        <f t="shared" si="171"/>
        <v/>
      </c>
      <c r="L1362" s="26" t="str">
        <f t="shared" si="172"/>
        <v/>
      </c>
      <c r="P1362" t="e">
        <f t="shared" si="173"/>
        <v>#N/A</v>
      </c>
      <c r="Q1362" t="e">
        <f t="shared" si="174"/>
        <v>#N/A</v>
      </c>
    </row>
    <row r="1363" spans="1:17">
      <c r="A1363" s="28"/>
      <c r="B1363" s="28"/>
      <c r="C1363" s="28"/>
      <c r="D1363" s="28"/>
      <c r="E1363" s="28"/>
      <c r="F1363" s="28"/>
      <c r="G1363" s="26" t="str">
        <f t="shared" si="168"/>
        <v/>
      </c>
      <c r="H1363" s="26" t="str">
        <f t="shared" si="175"/>
        <v/>
      </c>
      <c r="I1363" s="26" t="str">
        <f t="shared" si="169"/>
        <v/>
      </c>
      <c r="J1363" t="str">
        <f t="shared" si="170"/>
        <v/>
      </c>
      <c r="K1363" s="26" t="str">
        <f t="shared" si="171"/>
        <v/>
      </c>
      <c r="L1363" s="26" t="str">
        <f t="shared" si="172"/>
        <v/>
      </c>
      <c r="P1363" t="e">
        <f t="shared" si="173"/>
        <v>#N/A</v>
      </c>
      <c r="Q1363" t="e">
        <f t="shared" si="174"/>
        <v>#N/A</v>
      </c>
    </row>
    <row r="1364" spans="1:17">
      <c r="A1364" s="28"/>
      <c r="B1364" s="28"/>
      <c r="C1364" s="28"/>
      <c r="D1364" s="28"/>
      <c r="E1364" s="28"/>
      <c r="F1364" s="28"/>
      <c r="G1364" s="26" t="str">
        <f t="shared" si="168"/>
        <v/>
      </c>
      <c r="H1364" s="26" t="str">
        <f t="shared" si="175"/>
        <v/>
      </c>
      <c r="I1364" s="26" t="str">
        <f t="shared" si="169"/>
        <v/>
      </c>
      <c r="J1364" t="str">
        <f t="shared" si="170"/>
        <v/>
      </c>
      <c r="K1364" s="26" t="str">
        <f t="shared" si="171"/>
        <v/>
      </c>
      <c r="L1364" s="26" t="str">
        <f t="shared" si="172"/>
        <v/>
      </c>
      <c r="P1364" t="e">
        <f t="shared" si="173"/>
        <v>#N/A</v>
      </c>
      <c r="Q1364" t="e">
        <f t="shared" si="174"/>
        <v>#N/A</v>
      </c>
    </row>
    <row r="1365" spans="1:17">
      <c r="A1365" s="28"/>
      <c r="B1365" s="28"/>
      <c r="C1365" s="28"/>
      <c r="D1365" s="28"/>
      <c r="E1365" s="28"/>
      <c r="F1365" s="28"/>
      <c r="G1365" s="26" t="str">
        <f t="shared" si="168"/>
        <v/>
      </c>
      <c r="H1365" s="26" t="str">
        <f t="shared" si="175"/>
        <v/>
      </c>
      <c r="I1365" s="26" t="str">
        <f t="shared" si="169"/>
        <v/>
      </c>
      <c r="J1365" t="str">
        <f t="shared" si="170"/>
        <v/>
      </c>
      <c r="K1365" s="26" t="str">
        <f t="shared" si="171"/>
        <v/>
      </c>
      <c r="L1365" s="26" t="str">
        <f t="shared" si="172"/>
        <v/>
      </c>
      <c r="P1365" t="e">
        <f t="shared" si="173"/>
        <v>#N/A</v>
      </c>
      <c r="Q1365" t="e">
        <f t="shared" si="174"/>
        <v>#N/A</v>
      </c>
    </row>
    <row r="1366" spans="1:17">
      <c r="A1366" s="28"/>
      <c r="B1366" s="28"/>
      <c r="C1366" s="28"/>
      <c r="D1366" s="28"/>
      <c r="E1366" s="28"/>
      <c r="F1366" s="28"/>
      <c r="G1366" s="26" t="str">
        <f t="shared" si="168"/>
        <v/>
      </c>
      <c r="H1366" s="26" t="str">
        <f t="shared" si="175"/>
        <v/>
      </c>
      <c r="I1366" s="26" t="str">
        <f t="shared" si="169"/>
        <v/>
      </c>
      <c r="J1366" t="str">
        <f t="shared" si="170"/>
        <v/>
      </c>
      <c r="K1366" s="26" t="str">
        <f t="shared" si="171"/>
        <v/>
      </c>
      <c r="L1366" s="26" t="str">
        <f t="shared" si="172"/>
        <v/>
      </c>
      <c r="P1366" t="e">
        <f t="shared" si="173"/>
        <v>#N/A</v>
      </c>
      <c r="Q1366" t="e">
        <f t="shared" si="174"/>
        <v>#N/A</v>
      </c>
    </row>
    <row r="1367" spans="1:17">
      <c r="A1367" s="28"/>
      <c r="B1367" s="28"/>
      <c r="C1367" s="28"/>
      <c r="D1367" s="28"/>
      <c r="E1367" s="28"/>
      <c r="F1367" s="28"/>
      <c r="G1367" s="26" t="str">
        <f t="shared" si="168"/>
        <v/>
      </c>
      <c r="H1367" s="26" t="str">
        <f t="shared" si="175"/>
        <v/>
      </c>
      <c r="I1367" s="26" t="str">
        <f t="shared" si="169"/>
        <v/>
      </c>
      <c r="J1367" t="str">
        <f t="shared" si="170"/>
        <v/>
      </c>
      <c r="K1367" s="26" t="str">
        <f t="shared" si="171"/>
        <v/>
      </c>
      <c r="L1367" s="26" t="str">
        <f t="shared" si="172"/>
        <v/>
      </c>
      <c r="P1367" t="e">
        <f t="shared" si="173"/>
        <v>#N/A</v>
      </c>
      <c r="Q1367" t="e">
        <f t="shared" si="174"/>
        <v>#N/A</v>
      </c>
    </row>
    <row r="1368" spans="1:17">
      <c r="A1368" s="28"/>
      <c r="B1368" s="28"/>
      <c r="C1368" s="28"/>
      <c r="D1368" s="28"/>
      <c r="E1368" s="28"/>
      <c r="F1368" s="28"/>
      <c r="G1368" s="26" t="str">
        <f t="shared" si="168"/>
        <v/>
      </c>
      <c r="H1368" s="26" t="str">
        <f t="shared" si="175"/>
        <v/>
      </c>
      <c r="I1368" s="26" t="str">
        <f t="shared" si="169"/>
        <v/>
      </c>
      <c r="J1368" t="str">
        <f t="shared" si="170"/>
        <v/>
      </c>
      <c r="K1368" s="26" t="str">
        <f t="shared" si="171"/>
        <v/>
      </c>
      <c r="L1368" s="26" t="str">
        <f t="shared" si="172"/>
        <v/>
      </c>
      <c r="P1368" t="e">
        <f t="shared" si="173"/>
        <v>#N/A</v>
      </c>
      <c r="Q1368" t="e">
        <f t="shared" si="174"/>
        <v>#N/A</v>
      </c>
    </row>
    <row r="1369" spans="1:17">
      <c r="A1369" s="28"/>
      <c r="B1369" s="28"/>
      <c r="C1369" s="28"/>
      <c r="D1369" s="28"/>
      <c r="E1369" s="28"/>
      <c r="F1369" s="28"/>
      <c r="G1369" s="26" t="str">
        <f t="shared" si="168"/>
        <v/>
      </c>
      <c r="H1369" s="26" t="str">
        <f t="shared" si="175"/>
        <v/>
      </c>
      <c r="I1369" s="26" t="str">
        <f t="shared" si="169"/>
        <v/>
      </c>
      <c r="J1369" t="str">
        <f t="shared" si="170"/>
        <v/>
      </c>
      <c r="K1369" s="26" t="str">
        <f t="shared" si="171"/>
        <v/>
      </c>
      <c r="L1369" s="26" t="str">
        <f t="shared" si="172"/>
        <v/>
      </c>
      <c r="P1369" t="e">
        <f t="shared" si="173"/>
        <v>#N/A</v>
      </c>
      <c r="Q1369" t="e">
        <f t="shared" si="174"/>
        <v>#N/A</v>
      </c>
    </row>
    <row r="1370" spans="1:17">
      <c r="A1370" s="28"/>
      <c r="B1370" s="28"/>
      <c r="C1370" s="28"/>
      <c r="D1370" s="28"/>
      <c r="E1370" s="28"/>
      <c r="F1370" s="28"/>
      <c r="G1370" s="26" t="str">
        <f t="shared" si="168"/>
        <v/>
      </c>
      <c r="H1370" s="26" t="str">
        <f t="shared" si="175"/>
        <v/>
      </c>
      <c r="I1370" s="26" t="str">
        <f t="shared" si="169"/>
        <v/>
      </c>
      <c r="J1370" t="str">
        <f t="shared" si="170"/>
        <v/>
      </c>
      <c r="K1370" s="26" t="str">
        <f t="shared" si="171"/>
        <v/>
      </c>
      <c r="L1370" s="26" t="str">
        <f t="shared" si="172"/>
        <v/>
      </c>
      <c r="P1370" t="e">
        <f t="shared" si="173"/>
        <v>#N/A</v>
      </c>
      <c r="Q1370" t="e">
        <f t="shared" si="174"/>
        <v>#N/A</v>
      </c>
    </row>
    <row r="1371" spans="1:17">
      <c r="A1371" s="28"/>
      <c r="B1371" s="28"/>
      <c r="C1371" s="28"/>
      <c r="D1371" s="28"/>
      <c r="E1371" s="28"/>
      <c r="F1371" s="28"/>
      <c r="G1371" s="26" t="str">
        <f t="shared" si="168"/>
        <v/>
      </c>
      <c r="H1371" s="26" t="str">
        <f t="shared" si="175"/>
        <v/>
      </c>
      <c r="I1371" s="26" t="str">
        <f t="shared" si="169"/>
        <v/>
      </c>
      <c r="J1371" t="str">
        <f t="shared" si="170"/>
        <v/>
      </c>
      <c r="K1371" s="26" t="str">
        <f t="shared" si="171"/>
        <v/>
      </c>
      <c r="L1371" s="26" t="str">
        <f t="shared" si="172"/>
        <v/>
      </c>
      <c r="P1371" t="e">
        <f t="shared" si="173"/>
        <v>#N/A</v>
      </c>
      <c r="Q1371" t="e">
        <f t="shared" si="174"/>
        <v>#N/A</v>
      </c>
    </row>
    <row r="1372" spans="1:17">
      <c r="A1372" s="28"/>
      <c r="B1372" s="28"/>
      <c r="C1372" s="28"/>
      <c r="D1372" s="28"/>
      <c r="E1372" s="28"/>
      <c r="F1372" s="28"/>
      <c r="G1372" s="26" t="str">
        <f t="shared" si="168"/>
        <v/>
      </c>
      <c r="H1372" s="26" t="str">
        <f t="shared" si="175"/>
        <v/>
      </c>
      <c r="I1372" s="26" t="str">
        <f t="shared" si="169"/>
        <v/>
      </c>
      <c r="J1372" t="str">
        <f t="shared" si="170"/>
        <v/>
      </c>
      <c r="K1372" s="26" t="str">
        <f t="shared" si="171"/>
        <v/>
      </c>
      <c r="L1372" s="26" t="str">
        <f t="shared" si="172"/>
        <v/>
      </c>
      <c r="P1372" t="e">
        <f t="shared" si="173"/>
        <v>#N/A</v>
      </c>
      <c r="Q1372" t="e">
        <f t="shared" si="174"/>
        <v>#N/A</v>
      </c>
    </row>
    <row r="1373" spans="1:17">
      <c r="A1373" s="28"/>
      <c r="B1373" s="28"/>
      <c r="C1373" s="28"/>
      <c r="D1373" s="28"/>
      <c r="E1373" s="28"/>
      <c r="F1373" s="28"/>
      <c r="G1373" s="26" t="str">
        <f t="shared" si="168"/>
        <v/>
      </c>
      <c r="H1373" s="26" t="str">
        <f t="shared" si="175"/>
        <v/>
      </c>
      <c r="I1373" s="26" t="str">
        <f t="shared" si="169"/>
        <v/>
      </c>
      <c r="J1373" t="str">
        <f t="shared" si="170"/>
        <v/>
      </c>
      <c r="K1373" s="26" t="str">
        <f t="shared" si="171"/>
        <v/>
      </c>
      <c r="L1373" s="26" t="str">
        <f t="shared" si="172"/>
        <v/>
      </c>
      <c r="P1373" t="e">
        <f t="shared" si="173"/>
        <v>#N/A</v>
      </c>
      <c r="Q1373" t="e">
        <f t="shared" si="174"/>
        <v>#N/A</v>
      </c>
    </row>
    <row r="1374" spans="1:17">
      <c r="A1374" s="28"/>
      <c r="B1374" s="28"/>
      <c r="C1374" s="28"/>
      <c r="D1374" s="28"/>
      <c r="E1374" s="28"/>
      <c r="F1374" s="28"/>
      <c r="G1374" s="26" t="str">
        <f t="shared" si="168"/>
        <v/>
      </c>
      <c r="H1374" s="26" t="str">
        <f t="shared" si="175"/>
        <v/>
      </c>
      <c r="I1374" s="26" t="str">
        <f t="shared" si="169"/>
        <v/>
      </c>
      <c r="J1374" t="str">
        <f t="shared" si="170"/>
        <v/>
      </c>
      <c r="K1374" s="26" t="str">
        <f t="shared" si="171"/>
        <v/>
      </c>
      <c r="L1374" s="26" t="str">
        <f t="shared" si="172"/>
        <v/>
      </c>
      <c r="P1374" t="e">
        <f t="shared" si="173"/>
        <v>#N/A</v>
      </c>
      <c r="Q1374" t="e">
        <f t="shared" si="174"/>
        <v>#N/A</v>
      </c>
    </row>
    <row r="1375" spans="1:17">
      <c r="A1375" s="28"/>
      <c r="B1375" s="28"/>
      <c r="C1375" s="28"/>
      <c r="D1375" s="28"/>
      <c r="E1375" s="28"/>
      <c r="F1375" s="28"/>
      <c r="G1375" s="26" t="str">
        <f t="shared" si="168"/>
        <v/>
      </c>
      <c r="H1375" s="26" t="str">
        <f t="shared" si="175"/>
        <v/>
      </c>
      <c r="I1375" s="26" t="str">
        <f t="shared" si="169"/>
        <v/>
      </c>
      <c r="J1375" t="str">
        <f t="shared" si="170"/>
        <v/>
      </c>
      <c r="K1375" s="26" t="str">
        <f t="shared" si="171"/>
        <v/>
      </c>
      <c r="L1375" s="26" t="str">
        <f t="shared" si="172"/>
        <v/>
      </c>
      <c r="P1375" t="e">
        <f t="shared" si="173"/>
        <v>#N/A</v>
      </c>
      <c r="Q1375" t="e">
        <f t="shared" si="174"/>
        <v>#N/A</v>
      </c>
    </row>
    <row r="1376" spans="1:17">
      <c r="A1376" s="28"/>
      <c r="B1376" s="28"/>
      <c r="C1376" s="28"/>
      <c r="D1376" s="28"/>
      <c r="E1376" s="28"/>
      <c r="F1376" s="28"/>
      <c r="G1376" s="26" t="str">
        <f t="shared" si="168"/>
        <v/>
      </c>
      <c r="H1376" s="26" t="str">
        <f t="shared" si="175"/>
        <v/>
      </c>
      <c r="I1376" s="26" t="str">
        <f t="shared" si="169"/>
        <v/>
      </c>
      <c r="J1376" t="str">
        <f t="shared" si="170"/>
        <v/>
      </c>
      <c r="K1376" s="26" t="str">
        <f t="shared" si="171"/>
        <v/>
      </c>
      <c r="L1376" s="26" t="str">
        <f t="shared" si="172"/>
        <v/>
      </c>
      <c r="P1376" t="e">
        <f t="shared" si="173"/>
        <v>#N/A</v>
      </c>
      <c r="Q1376" t="e">
        <f t="shared" si="174"/>
        <v>#N/A</v>
      </c>
    </row>
    <row r="1377" spans="1:17">
      <c r="A1377" s="28"/>
      <c r="B1377" s="28"/>
      <c r="C1377" s="28"/>
      <c r="D1377" s="28"/>
      <c r="E1377" s="28"/>
      <c r="F1377" s="28"/>
      <c r="G1377" s="26" t="str">
        <f t="shared" si="168"/>
        <v/>
      </c>
      <c r="H1377" s="26" t="str">
        <f t="shared" si="175"/>
        <v/>
      </c>
      <c r="I1377" s="26" t="str">
        <f t="shared" si="169"/>
        <v/>
      </c>
      <c r="J1377" t="str">
        <f t="shared" si="170"/>
        <v/>
      </c>
      <c r="K1377" s="26" t="str">
        <f t="shared" si="171"/>
        <v/>
      </c>
      <c r="L1377" s="26" t="str">
        <f t="shared" si="172"/>
        <v/>
      </c>
      <c r="P1377" t="e">
        <f t="shared" si="173"/>
        <v>#N/A</v>
      </c>
      <c r="Q1377" t="e">
        <f t="shared" si="174"/>
        <v>#N/A</v>
      </c>
    </row>
    <row r="1378" spans="1:17">
      <c r="A1378" s="28"/>
      <c r="B1378" s="28"/>
      <c r="C1378" s="28"/>
      <c r="D1378" s="28"/>
      <c r="E1378" s="28"/>
      <c r="F1378" s="28"/>
      <c r="G1378" s="26" t="str">
        <f t="shared" si="168"/>
        <v/>
      </c>
      <c r="H1378" s="26" t="str">
        <f t="shared" si="175"/>
        <v/>
      </c>
      <c r="I1378" s="26" t="str">
        <f t="shared" si="169"/>
        <v/>
      </c>
      <c r="J1378" t="str">
        <f t="shared" si="170"/>
        <v/>
      </c>
      <c r="K1378" s="26" t="str">
        <f t="shared" si="171"/>
        <v/>
      </c>
      <c r="L1378" s="26" t="str">
        <f t="shared" si="172"/>
        <v/>
      </c>
      <c r="P1378" t="e">
        <f t="shared" si="173"/>
        <v>#N/A</v>
      </c>
      <c r="Q1378" t="e">
        <f t="shared" si="174"/>
        <v>#N/A</v>
      </c>
    </row>
    <row r="1379" spans="1:17">
      <c r="A1379" s="28"/>
      <c r="B1379" s="28"/>
      <c r="C1379" s="28"/>
      <c r="D1379" s="28"/>
      <c r="E1379" s="28"/>
      <c r="F1379" s="28"/>
      <c r="G1379" s="26" t="str">
        <f t="shared" si="168"/>
        <v/>
      </c>
      <c r="H1379" s="26" t="str">
        <f t="shared" si="175"/>
        <v/>
      </c>
      <c r="I1379" s="26" t="str">
        <f t="shared" si="169"/>
        <v/>
      </c>
      <c r="J1379" t="str">
        <f t="shared" si="170"/>
        <v/>
      </c>
      <c r="K1379" s="26" t="str">
        <f t="shared" si="171"/>
        <v/>
      </c>
      <c r="L1379" s="26" t="str">
        <f t="shared" si="172"/>
        <v/>
      </c>
      <c r="P1379" t="e">
        <f t="shared" si="173"/>
        <v>#N/A</v>
      </c>
      <c r="Q1379" t="e">
        <f t="shared" si="174"/>
        <v>#N/A</v>
      </c>
    </row>
    <row r="1380" spans="1:17">
      <c r="A1380" s="28"/>
      <c r="B1380" s="28"/>
      <c r="C1380" s="28"/>
      <c r="D1380" s="28"/>
      <c r="E1380" s="28"/>
      <c r="F1380" s="28"/>
      <c r="G1380" s="26" t="str">
        <f t="shared" si="168"/>
        <v/>
      </c>
      <c r="H1380" s="26" t="str">
        <f t="shared" si="175"/>
        <v/>
      </c>
      <c r="I1380" s="26" t="str">
        <f t="shared" si="169"/>
        <v/>
      </c>
      <c r="J1380" t="str">
        <f t="shared" si="170"/>
        <v/>
      </c>
      <c r="K1380" s="26" t="str">
        <f t="shared" si="171"/>
        <v/>
      </c>
      <c r="L1380" s="26" t="str">
        <f t="shared" si="172"/>
        <v/>
      </c>
      <c r="P1380" t="e">
        <f t="shared" si="173"/>
        <v>#N/A</v>
      </c>
      <c r="Q1380" t="e">
        <f t="shared" si="174"/>
        <v>#N/A</v>
      </c>
    </row>
    <row r="1381" spans="1:17">
      <c r="A1381" s="28"/>
      <c r="B1381" s="28"/>
      <c r="C1381" s="28"/>
      <c r="D1381" s="28"/>
      <c r="E1381" s="28"/>
      <c r="F1381" s="28"/>
      <c r="G1381" s="26" t="str">
        <f t="shared" si="168"/>
        <v/>
      </c>
      <c r="H1381" s="26" t="str">
        <f t="shared" si="175"/>
        <v/>
      </c>
      <c r="I1381" s="26" t="str">
        <f t="shared" si="169"/>
        <v/>
      </c>
      <c r="J1381" t="str">
        <f t="shared" si="170"/>
        <v/>
      </c>
      <c r="K1381" s="26" t="str">
        <f t="shared" si="171"/>
        <v/>
      </c>
      <c r="L1381" s="26" t="str">
        <f t="shared" si="172"/>
        <v/>
      </c>
      <c r="P1381" t="e">
        <f t="shared" si="173"/>
        <v>#N/A</v>
      </c>
      <c r="Q1381" t="e">
        <f t="shared" si="174"/>
        <v>#N/A</v>
      </c>
    </row>
    <row r="1382" spans="1:17">
      <c r="A1382" s="28"/>
      <c r="B1382" s="28"/>
      <c r="C1382" s="28"/>
      <c r="D1382" s="28"/>
      <c r="E1382" s="28"/>
      <c r="F1382" s="28"/>
      <c r="G1382" s="26" t="str">
        <f t="shared" si="168"/>
        <v/>
      </c>
      <c r="H1382" s="26" t="str">
        <f t="shared" si="175"/>
        <v/>
      </c>
      <c r="I1382" s="26" t="str">
        <f t="shared" si="169"/>
        <v/>
      </c>
      <c r="J1382" t="str">
        <f t="shared" si="170"/>
        <v/>
      </c>
      <c r="K1382" s="26" t="str">
        <f t="shared" si="171"/>
        <v/>
      </c>
      <c r="L1382" s="26" t="str">
        <f t="shared" si="172"/>
        <v/>
      </c>
      <c r="P1382" t="e">
        <f t="shared" si="173"/>
        <v>#N/A</v>
      </c>
      <c r="Q1382" t="e">
        <f t="shared" si="174"/>
        <v>#N/A</v>
      </c>
    </row>
    <row r="1383" spans="1:17">
      <c r="A1383" s="28"/>
      <c r="B1383" s="28"/>
      <c r="C1383" s="28"/>
      <c r="D1383" s="28"/>
      <c r="E1383" s="28"/>
      <c r="F1383" s="28"/>
      <c r="G1383" s="26" t="str">
        <f t="shared" si="168"/>
        <v/>
      </c>
      <c r="H1383" s="26" t="str">
        <f t="shared" si="175"/>
        <v/>
      </c>
      <c r="I1383" s="26" t="str">
        <f t="shared" si="169"/>
        <v/>
      </c>
      <c r="J1383" t="str">
        <f t="shared" si="170"/>
        <v/>
      </c>
      <c r="K1383" s="26" t="str">
        <f t="shared" si="171"/>
        <v/>
      </c>
      <c r="L1383" s="26" t="str">
        <f t="shared" si="172"/>
        <v/>
      </c>
      <c r="P1383" t="e">
        <f t="shared" si="173"/>
        <v>#N/A</v>
      </c>
      <c r="Q1383" t="e">
        <f t="shared" si="174"/>
        <v>#N/A</v>
      </c>
    </row>
    <row r="1384" spans="1:17">
      <c r="A1384" s="28"/>
      <c r="B1384" s="28"/>
      <c r="C1384" s="28"/>
      <c r="D1384" s="28"/>
      <c r="E1384" s="28"/>
      <c r="F1384" s="28"/>
      <c r="G1384" s="26" t="str">
        <f t="shared" si="168"/>
        <v/>
      </c>
      <c r="H1384" s="26" t="str">
        <f t="shared" si="175"/>
        <v/>
      </c>
      <c r="I1384" s="26" t="str">
        <f t="shared" si="169"/>
        <v/>
      </c>
      <c r="J1384" t="str">
        <f t="shared" si="170"/>
        <v/>
      </c>
      <c r="K1384" s="26" t="str">
        <f t="shared" si="171"/>
        <v/>
      </c>
      <c r="L1384" s="26" t="str">
        <f t="shared" si="172"/>
        <v/>
      </c>
      <c r="P1384" t="e">
        <f t="shared" si="173"/>
        <v>#N/A</v>
      </c>
      <c r="Q1384" t="e">
        <f t="shared" si="174"/>
        <v>#N/A</v>
      </c>
    </row>
    <row r="1385" spans="1:17">
      <c r="A1385" s="28"/>
      <c r="B1385" s="28"/>
      <c r="C1385" s="28"/>
      <c r="D1385" s="28"/>
      <c r="E1385" s="28"/>
      <c r="F1385" s="28"/>
      <c r="G1385" s="26" t="str">
        <f t="shared" si="168"/>
        <v/>
      </c>
      <c r="H1385" s="26" t="str">
        <f t="shared" si="175"/>
        <v/>
      </c>
      <c r="I1385" s="26" t="str">
        <f t="shared" si="169"/>
        <v/>
      </c>
      <c r="J1385" t="str">
        <f t="shared" si="170"/>
        <v/>
      </c>
      <c r="K1385" s="26" t="str">
        <f t="shared" si="171"/>
        <v/>
      </c>
      <c r="L1385" s="26" t="str">
        <f t="shared" si="172"/>
        <v/>
      </c>
      <c r="P1385" t="e">
        <f t="shared" si="173"/>
        <v>#N/A</v>
      </c>
      <c r="Q1385" t="e">
        <f t="shared" si="174"/>
        <v>#N/A</v>
      </c>
    </row>
    <row r="1386" spans="1:17">
      <c r="A1386" s="28"/>
      <c r="B1386" s="28"/>
      <c r="C1386" s="28"/>
      <c r="D1386" s="28"/>
      <c r="E1386" s="28"/>
      <c r="F1386" s="28"/>
      <c r="G1386" s="26" t="str">
        <f t="shared" si="168"/>
        <v/>
      </c>
      <c r="H1386" s="26" t="str">
        <f t="shared" si="175"/>
        <v/>
      </c>
      <c r="I1386" s="26" t="str">
        <f t="shared" si="169"/>
        <v/>
      </c>
      <c r="J1386" t="str">
        <f t="shared" si="170"/>
        <v/>
      </c>
      <c r="K1386" s="26" t="str">
        <f t="shared" si="171"/>
        <v/>
      </c>
      <c r="L1386" s="26" t="str">
        <f t="shared" si="172"/>
        <v/>
      </c>
      <c r="P1386" t="e">
        <f t="shared" si="173"/>
        <v>#N/A</v>
      </c>
      <c r="Q1386" t="e">
        <f t="shared" si="174"/>
        <v>#N/A</v>
      </c>
    </row>
    <row r="1387" spans="1:17">
      <c r="A1387" s="28"/>
      <c r="B1387" s="28"/>
      <c r="C1387" s="28"/>
      <c r="D1387" s="28"/>
      <c r="E1387" s="28"/>
      <c r="F1387" s="28"/>
      <c r="G1387" s="26" t="str">
        <f t="shared" si="168"/>
        <v/>
      </c>
      <c r="H1387" s="26" t="str">
        <f t="shared" si="175"/>
        <v/>
      </c>
      <c r="I1387" s="26" t="str">
        <f t="shared" si="169"/>
        <v/>
      </c>
      <c r="J1387" t="str">
        <f t="shared" si="170"/>
        <v/>
      </c>
      <c r="K1387" s="26" t="str">
        <f t="shared" si="171"/>
        <v/>
      </c>
      <c r="L1387" s="26" t="str">
        <f t="shared" si="172"/>
        <v/>
      </c>
      <c r="P1387" t="e">
        <f t="shared" si="173"/>
        <v>#N/A</v>
      </c>
      <c r="Q1387" t="e">
        <f t="shared" si="174"/>
        <v>#N/A</v>
      </c>
    </row>
    <row r="1388" spans="1:17">
      <c r="A1388" s="28"/>
      <c r="B1388" s="28"/>
      <c r="C1388" s="28"/>
      <c r="D1388" s="28"/>
      <c r="E1388" s="28"/>
      <c r="F1388" s="28"/>
      <c r="G1388" s="26" t="str">
        <f t="shared" si="168"/>
        <v/>
      </c>
      <c r="H1388" s="26" t="str">
        <f t="shared" si="175"/>
        <v/>
      </c>
      <c r="I1388" s="26" t="str">
        <f t="shared" si="169"/>
        <v/>
      </c>
      <c r="J1388" t="str">
        <f t="shared" si="170"/>
        <v/>
      </c>
      <c r="K1388" s="26" t="str">
        <f t="shared" si="171"/>
        <v/>
      </c>
      <c r="L1388" s="26" t="str">
        <f t="shared" si="172"/>
        <v/>
      </c>
      <c r="P1388" t="e">
        <f t="shared" si="173"/>
        <v>#N/A</v>
      </c>
      <c r="Q1388" t="e">
        <f t="shared" si="174"/>
        <v>#N/A</v>
      </c>
    </row>
    <row r="1389" spans="1:17">
      <c r="A1389" s="28"/>
      <c r="B1389" s="28"/>
      <c r="C1389" s="28"/>
      <c r="D1389" s="28"/>
      <c r="E1389" s="28"/>
      <c r="F1389" s="28"/>
      <c r="G1389" s="26" t="str">
        <f t="shared" si="168"/>
        <v/>
      </c>
      <c r="H1389" s="26" t="str">
        <f t="shared" si="175"/>
        <v/>
      </c>
      <c r="I1389" s="26" t="str">
        <f t="shared" si="169"/>
        <v/>
      </c>
      <c r="J1389" t="str">
        <f t="shared" si="170"/>
        <v/>
      </c>
      <c r="K1389" s="26" t="str">
        <f t="shared" si="171"/>
        <v/>
      </c>
      <c r="L1389" s="26" t="str">
        <f t="shared" si="172"/>
        <v/>
      </c>
      <c r="P1389" t="e">
        <f t="shared" si="173"/>
        <v>#N/A</v>
      </c>
      <c r="Q1389" t="e">
        <f t="shared" si="174"/>
        <v>#N/A</v>
      </c>
    </row>
    <row r="1390" spans="1:17">
      <c r="A1390" s="28"/>
      <c r="B1390" s="28"/>
      <c r="C1390" s="28"/>
      <c r="D1390" s="28"/>
      <c r="E1390" s="28"/>
      <c r="F1390" s="28"/>
      <c r="G1390" s="26" t="str">
        <f t="shared" si="168"/>
        <v/>
      </c>
      <c r="H1390" s="26" t="str">
        <f t="shared" si="175"/>
        <v/>
      </c>
      <c r="I1390" s="26" t="str">
        <f t="shared" si="169"/>
        <v/>
      </c>
      <c r="J1390" t="str">
        <f t="shared" si="170"/>
        <v/>
      </c>
      <c r="K1390" s="26" t="str">
        <f t="shared" si="171"/>
        <v/>
      </c>
      <c r="L1390" s="26" t="str">
        <f t="shared" si="172"/>
        <v/>
      </c>
      <c r="P1390" t="e">
        <f t="shared" si="173"/>
        <v>#N/A</v>
      </c>
      <c r="Q1390" t="e">
        <f t="shared" si="174"/>
        <v>#N/A</v>
      </c>
    </row>
    <row r="1391" spans="1:17">
      <c r="A1391" s="28"/>
      <c r="B1391" s="28"/>
      <c r="C1391" s="28"/>
      <c r="D1391" s="28"/>
      <c r="E1391" s="28"/>
      <c r="F1391" s="28"/>
      <c r="G1391" s="26" t="str">
        <f t="shared" si="168"/>
        <v/>
      </c>
      <c r="H1391" s="26" t="str">
        <f t="shared" si="175"/>
        <v/>
      </c>
      <c r="I1391" s="26" t="str">
        <f t="shared" si="169"/>
        <v/>
      </c>
      <c r="J1391" t="str">
        <f t="shared" si="170"/>
        <v/>
      </c>
      <c r="K1391" s="26" t="str">
        <f t="shared" si="171"/>
        <v/>
      </c>
      <c r="L1391" s="26" t="str">
        <f t="shared" si="172"/>
        <v/>
      </c>
      <c r="P1391" t="e">
        <f t="shared" si="173"/>
        <v>#N/A</v>
      </c>
      <c r="Q1391" t="e">
        <f t="shared" si="174"/>
        <v>#N/A</v>
      </c>
    </row>
    <row r="1392" spans="1:17">
      <c r="A1392" s="28"/>
      <c r="B1392" s="28"/>
      <c r="C1392" s="28"/>
      <c r="D1392" s="28"/>
      <c r="E1392" s="28"/>
      <c r="F1392" s="28"/>
      <c r="G1392" s="26" t="str">
        <f t="shared" si="168"/>
        <v/>
      </c>
      <c r="H1392" s="26" t="str">
        <f t="shared" si="175"/>
        <v/>
      </c>
      <c r="I1392" s="26" t="str">
        <f t="shared" si="169"/>
        <v/>
      </c>
      <c r="J1392" t="str">
        <f t="shared" si="170"/>
        <v/>
      </c>
      <c r="K1392" s="26" t="str">
        <f t="shared" si="171"/>
        <v/>
      </c>
      <c r="L1392" s="26" t="str">
        <f t="shared" si="172"/>
        <v/>
      </c>
      <c r="P1392" t="e">
        <f t="shared" si="173"/>
        <v>#N/A</v>
      </c>
      <c r="Q1392" t="e">
        <f t="shared" si="174"/>
        <v>#N/A</v>
      </c>
    </row>
    <row r="1393" spans="1:17">
      <c r="A1393" s="28"/>
      <c r="B1393" s="28"/>
      <c r="C1393" s="28"/>
      <c r="D1393" s="28"/>
      <c r="E1393" s="28"/>
      <c r="F1393" s="28"/>
      <c r="G1393" s="26" t="str">
        <f t="shared" si="168"/>
        <v/>
      </c>
      <c r="H1393" s="26" t="str">
        <f t="shared" si="175"/>
        <v/>
      </c>
      <c r="I1393" s="26" t="str">
        <f t="shared" si="169"/>
        <v/>
      </c>
      <c r="J1393" t="str">
        <f t="shared" si="170"/>
        <v/>
      </c>
      <c r="K1393" s="26" t="str">
        <f t="shared" si="171"/>
        <v/>
      </c>
      <c r="L1393" s="26" t="str">
        <f t="shared" si="172"/>
        <v/>
      </c>
      <c r="P1393" t="e">
        <f t="shared" si="173"/>
        <v>#N/A</v>
      </c>
      <c r="Q1393" t="e">
        <f t="shared" si="174"/>
        <v>#N/A</v>
      </c>
    </row>
    <row r="1394" spans="1:17">
      <c r="A1394" s="28"/>
      <c r="B1394" s="28"/>
      <c r="C1394" s="28"/>
      <c r="D1394" s="28"/>
      <c r="E1394" s="28"/>
      <c r="F1394" s="28"/>
      <c r="G1394" s="26" t="str">
        <f t="shared" si="168"/>
        <v/>
      </c>
      <c r="H1394" s="26" t="str">
        <f t="shared" si="175"/>
        <v/>
      </c>
      <c r="I1394" s="26" t="str">
        <f t="shared" si="169"/>
        <v/>
      </c>
      <c r="J1394" t="str">
        <f t="shared" si="170"/>
        <v/>
      </c>
      <c r="K1394" s="26" t="str">
        <f t="shared" si="171"/>
        <v/>
      </c>
      <c r="L1394" s="26" t="str">
        <f t="shared" si="172"/>
        <v/>
      </c>
      <c r="P1394" t="e">
        <f t="shared" si="173"/>
        <v>#N/A</v>
      </c>
      <c r="Q1394" t="e">
        <f t="shared" si="174"/>
        <v>#N/A</v>
      </c>
    </row>
    <row r="1395" spans="1:17">
      <c r="A1395" s="28"/>
      <c r="B1395" s="28"/>
      <c r="C1395" s="28"/>
      <c r="D1395" s="28"/>
      <c r="E1395" s="28"/>
      <c r="F1395" s="28"/>
      <c r="G1395" s="26" t="str">
        <f t="shared" si="168"/>
        <v/>
      </c>
      <c r="H1395" s="26" t="str">
        <f t="shared" si="175"/>
        <v/>
      </c>
      <c r="I1395" s="26" t="str">
        <f t="shared" si="169"/>
        <v/>
      </c>
      <c r="J1395" t="str">
        <f t="shared" si="170"/>
        <v/>
      </c>
      <c r="K1395" s="26" t="str">
        <f t="shared" si="171"/>
        <v/>
      </c>
      <c r="L1395" s="26" t="str">
        <f t="shared" si="172"/>
        <v/>
      </c>
      <c r="P1395" t="e">
        <f t="shared" si="173"/>
        <v>#N/A</v>
      </c>
      <c r="Q1395" t="e">
        <f t="shared" si="174"/>
        <v>#N/A</v>
      </c>
    </row>
    <row r="1396" spans="1:17">
      <c r="A1396" s="28"/>
      <c r="B1396" s="28"/>
      <c r="C1396" s="28"/>
      <c r="D1396" s="28"/>
      <c r="E1396" s="28"/>
      <c r="F1396" s="28"/>
      <c r="G1396" s="26" t="str">
        <f t="shared" si="168"/>
        <v/>
      </c>
      <c r="H1396" s="26" t="str">
        <f t="shared" si="175"/>
        <v/>
      </c>
      <c r="I1396" s="26" t="str">
        <f t="shared" si="169"/>
        <v/>
      </c>
      <c r="J1396" t="str">
        <f t="shared" si="170"/>
        <v/>
      </c>
      <c r="K1396" s="26" t="str">
        <f t="shared" si="171"/>
        <v/>
      </c>
      <c r="L1396" s="26" t="str">
        <f t="shared" si="172"/>
        <v/>
      </c>
      <c r="P1396" t="e">
        <f t="shared" si="173"/>
        <v>#N/A</v>
      </c>
      <c r="Q1396" t="e">
        <f t="shared" si="174"/>
        <v>#N/A</v>
      </c>
    </row>
    <row r="1397" spans="1:17">
      <c r="A1397" s="28"/>
      <c r="B1397" s="28"/>
      <c r="C1397" s="28"/>
      <c r="D1397" s="28"/>
      <c r="E1397" s="28"/>
      <c r="F1397" s="28"/>
      <c r="G1397" s="26" t="str">
        <f t="shared" si="168"/>
        <v/>
      </c>
      <c r="H1397" s="26" t="str">
        <f t="shared" si="175"/>
        <v/>
      </c>
      <c r="I1397" s="26" t="str">
        <f t="shared" si="169"/>
        <v/>
      </c>
      <c r="J1397" t="str">
        <f t="shared" si="170"/>
        <v/>
      </c>
      <c r="K1397" s="26" t="str">
        <f t="shared" si="171"/>
        <v/>
      </c>
      <c r="L1397" s="26" t="str">
        <f t="shared" si="172"/>
        <v/>
      </c>
      <c r="P1397" t="e">
        <f t="shared" si="173"/>
        <v>#N/A</v>
      </c>
      <c r="Q1397" t="e">
        <f t="shared" si="174"/>
        <v>#N/A</v>
      </c>
    </row>
    <row r="1398" spans="1:17">
      <c r="A1398" s="28"/>
      <c r="B1398" s="28"/>
      <c r="C1398" s="28"/>
      <c r="D1398" s="28"/>
      <c r="E1398" s="28"/>
      <c r="F1398" s="28"/>
      <c r="G1398" s="26" t="str">
        <f t="shared" si="168"/>
        <v/>
      </c>
      <c r="H1398" s="26" t="str">
        <f t="shared" si="175"/>
        <v/>
      </c>
      <c r="I1398" s="26" t="str">
        <f t="shared" si="169"/>
        <v/>
      </c>
      <c r="J1398" t="str">
        <f t="shared" si="170"/>
        <v/>
      </c>
      <c r="K1398" s="26" t="str">
        <f t="shared" si="171"/>
        <v/>
      </c>
      <c r="L1398" s="26" t="str">
        <f t="shared" si="172"/>
        <v/>
      </c>
      <c r="P1398" t="e">
        <f t="shared" si="173"/>
        <v>#N/A</v>
      </c>
      <c r="Q1398" t="e">
        <f t="shared" si="174"/>
        <v>#N/A</v>
      </c>
    </row>
    <row r="1399" spans="1:17">
      <c r="A1399" s="28"/>
      <c r="B1399" s="28"/>
      <c r="C1399" s="28"/>
      <c r="D1399" s="28"/>
      <c r="E1399" s="28"/>
      <c r="F1399" s="28"/>
      <c r="G1399" s="26" t="str">
        <f t="shared" si="168"/>
        <v/>
      </c>
      <c r="H1399" s="26" t="str">
        <f t="shared" si="175"/>
        <v/>
      </c>
      <c r="I1399" s="26" t="str">
        <f t="shared" si="169"/>
        <v/>
      </c>
      <c r="J1399" t="str">
        <f t="shared" si="170"/>
        <v/>
      </c>
      <c r="K1399" s="26" t="str">
        <f t="shared" si="171"/>
        <v/>
      </c>
      <c r="L1399" s="26" t="str">
        <f t="shared" si="172"/>
        <v/>
      </c>
      <c r="P1399" t="e">
        <f t="shared" si="173"/>
        <v>#N/A</v>
      </c>
      <c r="Q1399" t="e">
        <f t="shared" si="174"/>
        <v>#N/A</v>
      </c>
    </row>
    <row r="1400" spans="1:17">
      <c r="A1400" s="28"/>
      <c r="B1400" s="28"/>
      <c r="C1400" s="28"/>
      <c r="D1400" s="28"/>
      <c r="E1400" s="28"/>
      <c r="F1400" s="28"/>
      <c r="G1400" s="26" t="str">
        <f t="shared" si="168"/>
        <v/>
      </c>
      <c r="H1400" s="26" t="str">
        <f t="shared" si="175"/>
        <v/>
      </c>
      <c r="I1400" s="26" t="str">
        <f t="shared" si="169"/>
        <v/>
      </c>
      <c r="J1400" t="str">
        <f t="shared" si="170"/>
        <v/>
      </c>
      <c r="K1400" s="26" t="str">
        <f t="shared" si="171"/>
        <v/>
      </c>
      <c r="L1400" s="26" t="str">
        <f t="shared" si="172"/>
        <v/>
      </c>
      <c r="P1400" t="e">
        <f t="shared" si="173"/>
        <v>#N/A</v>
      </c>
      <c r="Q1400" t="e">
        <f t="shared" si="174"/>
        <v>#N/A</v>
      </c>
    </row>
    <row r="1401" spans="1:17">
      <c r="A1401" s="28"/>
      <c r="B1401" s="28"/>
      <c r="C1401" s="28"/>
      <c r="D1401" s="28"/>
      <c r="E1401" s="28"/>
      <c r="F1401" s="28"/>
      <c r="G1401" s="26" t="str">
        <f t="shared" si="168"/>
        <v/>
      </c>
      <c r="H1401" s="26" t="str">
        <f t="shared" si="175"/>
        <v/>
      </c>
      <c r="I1401" s="26" t="str">
        <f t="shared" si="169"/>
        <v/>
      </c>
      <c r="J1401" t="str">
        <f t="shared" si="170"/>
        <v/>
      </c>
      <c r="K1401" s="26" t="str">
        <f t="shared" si="171"/>
        <v/>
      </c>
      <c r="L1401" s="26" t="str">
        <f t="shared" si="172"/>
        <v/>
      </c>
      <c r="P1401" t="e">
        <f t="shared" si="173"/>
        <v>#N/A</v>
      </c>
      <c r="Q1401" t="e">
        <f t="shared" si="174"/>
        <v>#N/A</v>
      </c>
    </row>
    <row r="1402" spans="1:17">
      <c r="A1402" s="28"/>
      <c r="B1402" s="28"/>
      <c r="C1402" s="28"/>
      <c r="D1402" s="28"/>
      <c r="E1402" s="28"/>
      <c r="F1402" s="28"/>
      <c r="G1402" s="26" t="str">
        <f t="shared" si="168"/>
        <v/>
      </c>
      <c r="H1402" s="26" t="str">
        <f t="shared" si="175"/>
        <v/>
      </c>
      <c r="I1402" s="26" t="str">
        <f t="shared" si="169"/>
        <v/>
      </c>
      <c r="J1402" t="str">
        <f t="shared" si="170"/>
        <v/>
      </c>
      <c r="K1402" s="26" t="str">
        <f t="shared" si="171"/>
        <v/>
      </c>
      <c r="L1402" s="26" t="str">
        <f t="shared" si="172"/>
        <v/>
      </c>
      <c r="P1402" t="e">
        <f t="shared" si="173"/>
        <v>#N/A</v>
      </c>
      <c r="Q1402" t="e">
        <f t="shared" si="174"/>
        <v>#N/A</v>
      </c>
    </row>
    <row r="1403" spans="1:17">
      <c r="A1403" s="28"/>
      <c r="B1403" s="28"/>
      <c r="C1403" s="28"/>
      <c r="D1403" s="28"/>
      <c r="E1403" s="28"/>
      <c r="F1403" s="28"/>
      <c r="G1403" s="26" t="str">
        <f t="shared" si="168"/>
        <v/>
      </c>
      <c r="H1403" s="26" t="str">
        <f t="shared" si="175"/>
        <v/>
      </c>
      <c r="I1403" s="26" t="str">
        <f t="shared" si="169"/>
        <v/>
      </c>
      <c r="J1403" t="str">
        <f t="shared" si="170"/>
        <v/>
      </c>
      <c r="K1403" s="26" t="str">
        <f t="shared" si="171"/>
        <v/>
      </c>
      <c r="L1403" s="26" t="str">
        <f t="shared" si="172"/>
        <v/>
      </c>
      <c r="P1403" t="e">
        <f t="shared" si="173"/>
        <v>#N/A</v>
      </c>
      <c r="Q1403" t="e">
        <f t="shared" si="174"/>
        <v>#N/A</v>
      </c>
    </row>
    <row r="1404" spans="1:17">
      <c r="A1404" s="28"/>
      <c r="B1404" s="28"/>
      <c r="C1404" s="28"/>
      <c r="D1404" s="28"/>
      <c r="E1404" s="28"/>
      <c r="F1404" s="28"/>
      <c r="G1404" s="26" t="str">
        <f t="shared" si="168"/>
        <v/>
      </c>
      <c r="H1404" s="26" t="str">
        <f t="shared" si="175"/>
        <v/>
      </c>
      <c r="I1404" s="26" t="str">
        <f t="shared" si="169"/>
        <v/>
      </c>
      <c r="J1404" t="str">
        <f t="shared" si="170"/>
        <v/>
      </c>
      <c r="K1404" s="26" t="str">
        <f t="shared" si="171"/>
        <v/>
      </c>
      <c r="L1404" s="26" t="str">
        <f t="shared" si="172"/>
        <v/>
      </c>
      <c r="P1404" t="e">
        <f t="shared" si="173"/>
        <v>#N/A</v>
      </c>
      <c r="Q1404" t="e">
        <f t="shared" si="174"/>
        <v>#N/A</v>
      </c>
    </row>
    <row r="1405" spans="1:17">
      <c r="A1405" s="28"/>
      <c r="B1405" s="28"/>
      <c r="C1405" s="28"/>
      <c r="D1405" s="28"/>
      <c r="E1405" s="28"/>
      <c r="F1405" s="28"/>
      <c r="G1405" s="26" t="str">
        <f t="shared" si="168"/>
        <v/>
      </c>
      <c r="H1405" s="26" t="str">
        <f t="shared" si="175"/>
        <v/>
      </c>
      <c r="I1405" s="26" t="str">
        <f t="shared" si="169"/>
        <v/>
      </c>
      <c r="J1405" t="str">
        <f t="shared" si="170"/>
        <v/>
      </c>
      <c r="K1405" s="26" t="str">
        <f t="shared" si="171"/>
        <v/>
      </c>
      <c r="L1405" s="26" t="str">
        <f t="shared" si="172"/>
        <v/>
      </c>
      <c r="P1405" t="e">
        <f t="shared" si="173"/>
        <v>#N/A</v>
      </c>
      <c r="Q1405" t="e">
        <f t="shared" si="174"/>
        <v>#N/A</v>
      </c>
    </row>
    <row r="1406" spans="1:17">
      <c r="A1406" s="28"/>
      <c r="B1406" s="28"/>
      <c r="C1406" s="28"/>
      <c r="D1406" s="28"/>
      <c r="E1406" s="28"/>
      <c r="F1406" s="28"/>
      <c r="G1406" s="26" t="str">
        <f t="shared" si="168"/>
        <v/>
      </c>
      <c r="H1406" s="26" t="str">
        <f t="shared" si="175"/>
        <v/>
      </c>
      <c r="I1406" s="26" t="str">
        <f t="shared" si="169"/>
        <v/>
      </c>
      <c r="J1406" t="str">
        <f t="shared" si="170"/>
        <v/>
      </c>
      <c r="K1406" s="26" t="str">
        <f t="shared" si="171"/>
        <v/>
      </c>
      <c r="L1406" s="26" t="str">
        <f t="shared" si="172"/>
        <v/>
      </c>
      <c r="P1406" t="e">
        <f t="shared" si="173"/>
        <v>#N/A</v>
      </c>
      <c r="Q1406" t="e">
        <f t="shared" si="174"/>
        <v>#N/A</v>
      </c>
    </row>
    <row r="1407" spans="1:17">
      <c r="A1407" s="28"/>
      <c r="B1407" s="28"/>
      <c r="C1407" s="28"/>
      <c r="D1407" s="28"/>
      <c r="E1407" s="28"/>
      <c r="F1407" s="28"/>
      <c r="G1407" s="26" t="str">
        <f t="shared" si="168"/>
        <v/>
      </c>
      <c r="H1407" s="26" t="str">
        <f t="shared" si="175"/>
        <v/>
      </c>
      <c r="I1407" s="26" t="str">
        <f t="shared" si="169"/>
        <v/>
      </c>
      <c r="J1407" t="str">
        <f t="shared" si="170"/>
        <v/>
      </c>
      <c r="K1407" s="26" t="str">
        <f t="shared" si="171"/>
        <v/>
      </c>
      <c r="L1407" s="26" t="str">
        <f t="shared" si="172"/>
        <v/>
      </c>
      <c r="P1407" t="e">
        <f t="shared" si="173"/>
        <v>#N/A</v>
      </c>
      <c r="Q1407" t="e">
        <f t="shared" si="174"/>
        <v>#N/A</v>
      </c>
    </row>
    <row r="1408" spans="1:17">
      <c r="A1408" s="28"/>
      <c r="B1408" s="28"/>
      <c r="C1408" s="28"/>
      <c r="D1408" s="28"/>
      <c r="E1408" s="28"/>
      <c r="F1408" s="28"/>
      <c r="G1408" s="26" t="str">
        <f t="shared" si="168"/>
        <v/>
      </c>
      <c r="H1408" s="26" t="str">
        <f t="shared" si="175"/>
        <v/>
      </c>
      <c r="I1408" s="26" t="str">
        <f t="shared" si="169"/>
        <v/>
      </c>
      <c r="J1408" t="str">
        <f t="shared" si="170"/>
        <v/>
      </c>
      <c r="K1408" s="26" t="str">
        <f t="shared" si="171"/>
        <v/>
      </c>
      <c r="L1408" s="26" t="str">
        <f t="shared" si="172"/>
        <v/>
      </c>
      <c r="P1408" t="e">
        <f t="shared" si="173"/>
        <v>#N/A</v>
      </c>
      <c r="Q1408" t="e">
        <f t="shared" si="174"/>
        <v>#N/A</v>
      </c>
    </row>
    <row r="1409" spans="1:17">
      <c r="A1409" s="28"/>
      <c r="B1409" s="28"/>
      <c r="C1409" s="28"/>
      <c r="D1409" s="28"/>
      <c r="E1409" s="28"/>
      <c r="F1409" s="28"/>
      <c r="G1409" s="26" t="str">
        <f t="shared" si="168"/>
        <v/>
      </c>
      <c r="H1409" s="26" t="str">
        <f t="shared" si="175"/>
        <v/>
      </c>
      <c r="I1409" s="26" t="str">
        <f t="shared" si="169"/>
        <v/>
      </c>
      <c r="J1409" t="str">
        <f t="shared" si="170"/>
        <v/>
      </c>
      <c r="K1409" s="26" t="str">
        <f t="shared" si="171"/>
        <v/>
      </c>
      <c r="L1409" s="26" t="str">
        <f t="shared" si="172"/>
        <v/>
      </c>
      <c r="P1409" t="e">
        <f t="shared" si="173"/>
        <v>#N/A</v>
      </c>
      <c r="Q1409" t="e">
        <f t="shared" si="174"/>
        <v>#N/A</v>
      </c>
    </row>
    <row r="1410" spans="1:17">
      <c r="A1410" s="28"/>
      <c r="B1410" s="28"/>
      <c r="C1410" s="28"/>
      <c r="D1410" s="28"/>
      <c r="E1410" s="28"/>
      <c r="F1410" s="28"/>
      <c r="G1410" s="26" t="str">
        <f t="shared" ref="G1410:G1473" si="176">IF(B1410="","",243.04*(LN(C1410/100)+17.625*B1410/(243.04+B1410))/(17.625-LN(C1410/100)-17.625*B1410/(243.04+B1410)))</f>
        <v/>
      </c>
      <c r="H1410" s="26" t="str">
        <f t="shared" si="175"/>
        <v/>
      </c>
      <c r="I1410" s="26" t="str">
        <f t="shared" ref="I1410:I1473" si="177">IF(B1410="","",B1410-E1410)</f>
        <v/>
      </c>
      <c r="J1410" t="str">
        <f t="shared" ref="J1410:J1473" si="178">IF(H1410="","",IF(H1410&gt;0.6,"Heating",IF(H1410&lt;-0.2,"Cooling","Steady")))</f>
        <v/>
      </c>
      <c r="K1410" s="26" t="str">
        <f t="shared" ref="K1410:K1473" si="179">IF(J1410="Cooling",I1410,"")</f>
        <v/>
      </c>
      <c r="L1410" s="26" t="str">
        <f t="shared" ref="L1410:L1473" si="180">IF(J1410="Cooling",H1410,"")</f>
        <v/>
      </c>
      <c r="P1410" t="e">
        <f t="shared" ref="P1410:P1473" si="181">IF(K1410="",NA(),K1410)</f>
        <v>#N/A</v>
      </c>
      <c r="Q1410" t="e">
        <f t="shared" ref="Q1410:Q1473" si="182">IF(L1410="",NA(),L1410)</f>
        <v>#N/A</v>
      </c>
    </row>
    <row r="1411" spans="1:17">
      <c r="A1411" s="28"/>
      <c r="B1411" s="28"/>
      <c r="C1411" s="28"/>
      <c r="D1411" s="28"/>
      <c r="E1411" s="28"/>
      <c r="F1411" s="28"/>
      <c r="G1411" s="26" t="str">
        <f t="shared" si="176"/>
        <v/>
      </c>
      <c r="H1411" s="26" t="str">
        <f t="shared" si="175"/>
        <v/>
      </c>
      <c r="I1411" s="26" t="str">
        <f t="shared" si="177"/>
        <v/>
      </c>
      <c r="J1411" t="str">
        <f t="shared" si="178"/>
        <v/>
      </c>
      <c r="K1411" s="26" t="str">
        <f t="shared" si="179"/>
        <v/>
      </c>
      <c r="L1411" s="26" t="str">
        <f t="shared" si="180"/>
        <v/>
      </c>
      <c r="P1411" t="e">
        <f t="shared" si="181"/>
        <v>#N/A</v>
      </c>
      <c r="Q1411" t="e">
        <f t="shared" si="182"/>
        <v>#N/A</v>
      </c>
    </row>
    <row r="1412" spans="1:17">
      <c r="A1412" s="28"/>
      <c r="B1412" s="28"/>
      <c r="C1412" s="28"/>
      <c r="D1412" s="28"/>
      <c r="E1412" s="28"/>
      <c r="F1412" s="28"/>
      <c r="G1412" s="26" t="str">
        <f t="shared" si="176"/>
        <v/>
      </c>
      <c r="H1412" s="26" t="str">
        <f t="shared" ref="H1412:H1475" si="183">IFERROR(IF(OR(B1410="",B1414=""),"",(B1414-B1410)/4*60),"")</f>
        <v/>
      </c>
      <c r="I1412" s="26" t="str">
        <f t="shared" si="177"/>
        <v/>
      </c>
      <c r="J1412" t="str">
        <f t="shared" si="178"/>
        <v/>
      </c>
      <c r="K1412" s="26" t="str">
        <f t="shared" si="179"/>
        <v/>
      </c>
      <c r="L1412" s="26" t="str">
        <f t="shared" si="180"/>
        <v/>
      </c>
      <c r="P1412" t="e">
        <f t="shared" si="181"/>
        <v>#N/A</v>
      </c>
      <c r="Q1412" t="e">
        <f t="shared" si="182"/>
        <v>#N/A</v>
      </c>
    </row>
    <row r="1413" spans="1:17">
      <c r="A1413" s="28"/>
      <c r="B1413" s="28"/>
      <c r="C1413" s="28"/>
      <c r="D1413" s="28"/>
      <c r="E1413" s="28"/>
      <c r="F1413" s="28"/>
      <c r="G1413" s="26" t="str">
        <f t="shared" si="176"/>
        <v/>
      </c>
      <c r="H1413" s="26" t="str">
        <f t="shared" si="183"/>
        <v/>
      </c>
      <c r="I1413" s="26" t="str">
        <f t="shared" si="177"/>
        <v/>
      </c>
      <c r="J1413" t="str">
        <f t="shared" si="178"/>
        <v/>
      </c>
      <c r="K1413" s="26" t="str">
        <f t="shared" si="179"/>
        <v/>
      </c>
      <c r="L1413" s="26" t="str">
        <f t="shared" si="180"/>
        <v/>
      </c>
      <c r="P1413" t="e">
        <f t="shared" si="181"/>
        <v>#N/A</v>
      </c>
      <c r="Q1413" t="e">
        <f t="shared" si="182"/>
        <v>#N/A</v>
      </c>
    </row>
    <row r="1414" spans="1:17">
      <c r="A1414" s="28"/>
      <c r="B1414" s="28"/>
      <c r="C1414" s="28"/>
      <c r="D1414" s="28"/>
      <c r="E1414" s="28"/>
      <c r="F1414" s="28"/>
      <c r="G1414" s="26" t="str">
        <f t="shared" si="176"/>
        <v/>
      </c>
      <c r="H1414" s="26" t="str">
        <f t="shared" si="183"/>
        <v/>
      </c>
      <c r="I1414" s="26" t="str">
        <f t="shared" si="177"/>
        <v/>
      </c>
      <c r="J1414" t="str">
        <f t="shared" si="178"/>
        <v/>
      </c>
      <c r="K1414" s="26" t="str">
        <f t="shared" si="179"/>
        <v/>
      </c>
      <c r="L1414" s="26" t="str">
        <f t="shared" si="180"/>
        <v/>
      </c>
      <c r="P1414" t="e">
        <f t="shared" si="181"/>
        <v>#N/A</v>
      </c>
      <c r="Q1414" t="e">
        <f t="shared" si="182"/>
        <v>#N/A</v>
      </c>
    </row>
    <row r="1415" spans="1:17">
      <c r="A1415" s="28"/>
      <c r="B1415" s="28"/>
      <c r="C1415" s="28"/>
      <c r="D1415" s="28"/>
      <c r="E1415" s="28"/>
      <c r="F1415" s="28"/>
      <c r="G1415" s="26" t="str">
        <f t="shared" si="176"/>
        <v/>
      </c>
      <c r="H1415" s="26" t="str">
        <f t="shared" si="183"/>
        <v/>
      </c>
      <c r="I1415" s="26" t="str">
        <f t="shared" si="177"/>
        <v/>
      </c>
      <c r="J1415" t="str">
        <f t="shared" si="178"/>
        <v/>
      </c>
      <c r="K1415" s="26" t="str">
        <f t="shared" si="179"/>
        <v/>
      </c>
      <c r="L1415" s="26" t="str">
        <f t="shared" si="180"/>
        <v/>
      </c>
      <c r="P1415" t="e">
        <f t="shared" si="181"/>
        <v>#N/A</v>
      </c>
      <c r="Q1415" t="e">
        <f t="shared" si="182"/>
        <v>#N/A</v>
      </c>
    </row>
    <row r="1416" spans="1:17">
      <c r="A1416" s="28"/>
      <c r="B1416" s="28"/>
      <c r="C1416" s="28"/>
      <c r="D1416" s="28"/>
      <c r="E1416" s="28"/>
      <c r="F1416" s="28"/>
      <c r="G1416" s="26" t="str">
        <f t="shared" si="176"/>
        <v/>
      </c>
      <c r="H1416" s="26" t="str">
        <f t="shared" si="183"/>
        <v/>
      </c>
      <c r="I1416" s="26" t="str">
        <f t="shared" si="177"/>
        <v/>
      </c>
      <c r="J1416" t="str">
        <f t="shared" si="178"/>
        <v/>
      </c>
      <c r="K1416" s="26" t="str">
        <f t="shared" si="179"/>
        <v/>
      </c>
      <c r="L1416" s="26" t="str">
        <f t="shared" si="180"/>
        <v/>
      </c>
      <c r="P1416" t="e">
        <f t="shared" si="181"/>
        <v>#N/A</v>
      </c>
      <c r="Q1416" t="e">
        <f t="shared" si="182"/>
        <v>#N/A</v>
      </c>
    </row>
    <row r="1417" spans="1:17">
      <c r="A1417" s="28"/>
      <c r="B1417" s="28"/>
      <c r="C1417" s="28"/>
      <c r="D1417" s="28"/>
      <c r="E1417" s="28"/>
      <c r="F1417" s="28"/>
      <c r="G1417" s="26" t="str">
        <f t="shared" si="176"/>
        <v/>
      </c>
      <c r="H1417" s="26" t="str">
        <f t="shared" si="183"/>
        <v/>
      </c>
      <c r="I1417" s="26" t="str">
        <f t="shared" si="177"/>
        <v/>
      </c>
      <c r="J1417" t="str">
        <f t="shared" si="178"/>
        <v/>
      </c>
      <c r="K1417" s="26" t="str">
        <f t="shared" si="179"/>
        <v/>
      </c>
      <c r="L1417" s="26" t="str">
        <f t="shared" si="180"/>
        <v/>
      </c>
      <c r="P1417" t="e">
        <f t="shared" si="181"/>
        <v>#N/A</v>
      </c>
      <c r="Q1417" t="e">
        <f t="shared" si="182"/>
        <v>#N/A</v>
      </c>
    </row>
    <row r="1418" spans="1:17">
      <c r="A1418" s="28"/>
      <c r="B1418" s="28"/>
      <c r="C1418" s="28"/>
      <c r="D1418" s="28"/>
      <c r="E1418" s="28"/>
      <c r="F1418" s="28"/>
      <c r="G1418" s="26" t="str">
        <f t="shared" si="176"/>
        <v/>
      </c>
      <c r="H1418" s="26" t="str">
        <f t="shared" si="183"/>
        <v/>
      </c>
      <c r="I1418" s="26" t="str">
        <f t="shared" si="177"/>
        <v/>
      </c>
      <c r="J1418" t="str">
        <f t="shared" si="178"/>
        <v/>
      </c>
      <c r="K1418" s="26" t="str">
        <f t="shared" si="179"/>
        <v/>
      </c>
      <c r="L1418" s="26" t="str">
        <f t="shared" si="180"/>
        <v/>
      </c>
      <c r="P1418" t="e">
        <f t="shared" si="181"/>
        <v>#N/A</v>
      </c>
      <c r="Q1418" t="e">
        <f t="shared" si="182"/>
        <v>#N/A</v>
      </c>
    </row>
    <row r="1419" spans="1:17">
      <c r="A1419" s="28"/>
      <c r="B1419" s="28"/>
      <c r="C1419" s="28"/>
      <c r="D1419" s="28"/>
      <c r="E1419" s="28"/>
      <c r="F1419" s="28"/>
      <c r="G1419" s="26" t="str">
        <f t="shared" si="176"/>
        <v/>
      </c>
      <c r="H1419" s="26" t="str">
        <f t="shared" si="183"/>
        <v/>
      </c>
      <c r="I1419" s="26" t="str">
        <f t="shared" si="177"/>
        <v/>
      </c>
      <c r="J1419" t="str">
        <f t="shared" si="178"/>
        <v/>
      </c>
      <c r="K1419" s="26" t="str">
        <f t="shared" si="179"/>
        <v/>
      </c>
      <c r="L1419" s="26" t="str">
        <f t="shared" si="180"/>
        <v/>
      </c>
      <c r="P1419" t="e">
        <f t="shared" si="181"/>
        <v>#N/A</v>
      </c>
      <c r="Q1419" t="e">
        <f t="shared" si="182"/>
        <v>#N/A</v>
      </c>
    </row>
    <row r="1420" spans="1:17">
      <c r="A1420" s="28"/>
      <c r="B1420" s="28"/>
      <c r="C1420" s="28"/>
      <c r="D1420" s="28"/>
      <c r="E1420" s="28"/>
      <c r="F1420" s="28"/>
      <c r="G1420" s="26" t="str">
        <f t="shared" si="176"/>
        <v/>
      </c>
      <c r="H1420" s="26" t="str">
        <f t="shared" si="183"/>
        <v/>
      </c>
      <c r="I1420" s="26" t="str">
        <f t="shared" si="177"/>
        <v/>
      </c>
      <c r="J1420" t="str">
        <f t="shared" si="178"/>
        <v/>
      </c>
      <c r="K1420" s="26" t="str">
        <f t="shared" si="179"/>
        <v/>
      </c>
      <c r="L1420" s="26" t="str">
        <f t="shared" si="180"/>
        <v/>
      </c>
      <c r="P1420" t="e">
        <f t="shared" si="181"/>
        <v>#N/A</v>
      </c>
      <c r="Q1420" t="e">
        <f t="shared" si="182"/>
        <v>#N/A</v>
      </c>
    </row>
    <row r="1421" spans="1:17">
      <c r="A1421" s="28"/>
      <c r="B1421" s="28"/>
      <c r="C1421" s="28"/>
      <c r="D1421" s="28"/>
      <c r="E1421" s="28"/>
      <c r="F1421" s="28"/>
      <c r="G1421" s="26" t="str">
        <f t="shared" si="176"/>
        <v/>
      </c>
      <c r="H1421" s="26" t="str">
        <f t="shared" si="183"/>
        <v/>
      </c>
      <c r="I1421" s="26" t="str">
        <f t="shared" si="177"/>
        <v/>
      </c>
      <c r="J1421" t="str">
        <f t="shared" si="178"/>
        <v/>
      </c>
      <c r="K1421" s="26" t="str">
        <f t="shared" si="179"/>
        <v/>
      </c>
      <c r="L1421" s="26" t="str">
        <f t="shared" si="180"/>
        <v/>
      </c>
      <c r="P1421" t="e">
        <f t="shared" si="181"/>
        <v>#N/A</v>
      </c>
      <c r="Q1421" t="e">
        <f t="shared" si="182"/>
        <v>#N/A</v>
      </c>
    </row>
    <row r="1422" spans="1:17">
      <c r="A1422" s="28"/>
      <c r="B1422" s="28"/>
      <c r="C1422" s="28"/>
      <c r="D1422" s="28"/>
      <c r="E1422" s="28"/>
      <c r="F1422" s="28"/>
      <c r="G1422" s="26" t="str">
        <f t="shared" si="176"/>
        <v/>
      </c>
      <c r="H1422" s="26" t="str">
        <f t="shared" si="183"/>
        <v/>
      </c>
      <c r="I1422" s="26" t="str">
        <f t="shared" si="177"/>
        <v/>
      </c>
      <c r="J1422" t="str">
        <f t="shared" si="178"/>
        <v/>
      </c>
      <c r="K1422" s="26" t="str">
        <f t="shared" si="179"/>
        <v/>
      </c>
      <c r="L1422" s="26" t="str">
        <f t="shared" si="180"/>
        <v/>
      </c>
      <c r="P1422" t="e">
        <f t="shared" si="181"/>
        <v>#N/A</v>
      </c>
      <c r="Q1422" t="e">
        <f t="shared" si="182"/>
        <v>#N/A</v>
      </c>
    </row>
    <row r="1423" spans="1:17">
      <c r="A1423" s="28"/>
      <c r="B1423" s="28"/>
      <c r="C1423" s="28"/>
      <c r="D1423" s="28"/>
      <c r="E1423" s="28"/>
      <c r="F1423" s="28"/>
      <c r="G1423" s="26" t="str">
        <f t="shared" si="176"/>
        <v/>
      </c>
      <c r="H1423" s="26" t="str">
        <f t="shared" si="183"/>
        <v/>
      </c>
      <c r="I1423" s="26" t="str">
        <f t="shared" si="177"/>
        <v/>
      </c>
      <c r="J1423" t="str">
        <f t="shared" si="178"/>
        <v/>
      </c>
      <c r="K1423" s="26" t="str">
        <f t="shared" si="179"/>
        <v/>
      </c>
      <c r="L1423" s="26" t="str">
        <f t="shared" si="180"/>
        <v/>
      </c>
      <c r="P1423" t="e">
        <f t="shared" si="181"/>
        <v>#N/A</v>
      </c>
      <c r="Q1423" t="e">
        <f t="shared" si="182"/>
        <v>#N/A</v>
      </c>
    </row>
    <row r="1424" spans="1:17">
      <c r="A1424" s="28"/>
      <c r="B1424" s="28"/>
      <c r="C1424" s="28"/>
      <c r="D1424" s="28"/>
      <c r="E1424" s="28"/>
      <c r="F1424" s="28"/>
      <c r="G1424" s="26" t="str">
        <f t="shared" si="176"/>
        <v/>
      </c>
      <c r="H1424" s="26" t="str">
        <f t="shared" si="183"/>
        <v/>
      </c>
      <c r="I1424" s="26" t="str">
        <f t="shared" si="177"/>
        <v/>
      </c>
      <c r="J1424" t="str">
        <f t="shared" si="178"/>
        <v/>
      </c>
      <c r="K1424" s="26" t="str">
        <f t="shared" si="179"/>
        <v/>
      </c>
      <c r="L1424" s="26" t="str">
        <f t="shared" si="180"/>
        <v/>
      </c>
      <c r="P1424" t="e">
        <f t="shared" si="181"/>
        <v>#N/A</v>
      </c>
      <c r="Q1424" t="e">
        <f t="shared" si="182"/>
        <v>#N/A</v>
      </c>
    </row>
    <row r="1425" spans="1:17">
      <c r="A1425" s="28"/>
      <c r="B1425" s="28"/>
      <c r="C1425" s="28"/>
      <c r="D1425" s="28"/>
      <c r="E1425" s="28"/>
      <c r="F1425" s="28"/>
      <c r="G1425" s="26" t="str">
        <f t="shared" si="176"/>
        <v/>
      </c>
      <c r="H1425" s="26" t="str">
        <f t="shared" si="183"/>
        <v/>
      </c>
      <c r="I1425" s="26" t="str">
        <f t="shared" si="177"/>
        <v/>
      </c>
      <c r="J1425" t="str">
        <f t="shared" si="178"/>
        <v/>
      </c>
      <c r="K1425" s="26" t="str">
        <f t="shared" si="179"/>
        <v/>
      </c>
      <c r="L1425" s="26" t="str">
        <f t="shared" si="180"/>
        <v/>
      </c>
      <c r="P1425" t="e">
        <f t="shared" si="181"/>
        <v>#N/A</v>
      </c>
      <c r="Q1425" t="e">
        <f t="shared" si="182"/>
        <v>#N/A</v>
      </c>
    </row>
    <row r="1426" spans="1:17">
      <c r="A1426" s="28"/>
      <c r="B1426" s="28"/>
      <c r="C1426" s="28"/>
      <c r="D1426" s="28"/>
      <c r="E1426" s="28"/>
      <c r="F1426" s="28"/>
      <c r="G1426" s="26" t="str">
        <f t="shared" si="176"/>
        <v/>
      </c>
      <c r="H1426" s="26" t="str">
        <f t="shared" si="183"/>
        <v/>
      </c>
      <c r="I1426" s="26" t="str">
        <f t="shared" si="177"/>
        <v/>
      </c>
      <c r="J1426" t="str">
        <f t="shared" si="178"/>
        <v/>
      </c>
      <c r="K1426" s="26" t="str">
        <f t="shared" si="179"/>
        <v/>
      </c>
      <c r="L1426" s="26" t="str">
        <f t="shared" si="180"/>
        <v/>
      </c>
      <c r="P1426" t="e">
        <f t="shared" si="181"/>
        <v>#N/A</v>
      </c>
      <c r="Q1426" t="e">
        <f t="shared" si="182"/>
        <v>#N/A</v>
      </c>
    </row>
    <row r="1427" spans="1:17">
      <c r="A1427" s="28"/>
      <c r="B1427" s="28"/>
      <c r="C1427" s="28"/>
      <c r="D1427" s="28"/>
      <c r="E1427" s="28"/>
      <c r="F1427" s="28"/>
      <c r="G1427" s="26" t="str">
        <f t="shared" si="176"/>
        <v/>
      </c>
      <c r="H1427" s="26" t="str">
        <f t="shared" si="183"/>
        <v/>
      </c>
      <c r="I1427" s="26" t="str">
        <f t="shared" si="177"/>
        <v/>
      </c>
      <c r="J1427" t="str">
        <f t="shared" si="178"/>
        <v/>
      </c>
      <c r="K1427" s="26" t="str">
        <f t="shared" si="179"/>
        <v/>
      </c>
      <c r="L1427" s="26" t="str">
        <f t="shared" si="180"/>
        <v/>
      </c>
      <c r="P1427" t="e">
        <f t="shared" si="181"/>
        <v>#N/A</v>
      </c>
      <c r="Q1427" t="e">
        <f t="shared" si="182"/>
        <v>#N/A</v>
      </c>
    </row>
    <row r="1428" spans="1:17">
      <c r="A1428" s="28"/>
      <c r="B1428" s="28"/>
      <c r="C1428" s="28"/>
      <c r="D1428" s="28"/>
      <c r="E1428" s="28"/>
      <c r="F1428" s="28"/>
      <c r="G1428" s="26" t="str">
        <f t="shared" si="176"/>
        <v/>
      </c>
      <c r="H1428" s="26" t="str">
        <f t="shared" si="183"/>
        <v/>
      </c>
      <c r="I1428" s="26" t="str">
        <f t="shared" si="177"/>
        <v/>
      </c>
      <c r="J1428" t="str">
        <f t="shared" si="178"/>
        <v/>
      </c>
      <c r="K1428" s="26" t="str">
        <f t="shared" si="179"/>
        <v/>
      </c>
      <c r="L1428" s="26" t="str">
        <f t="shared" si="180"/>
        <v/>
      </c>
      <c r="P1428" t="e">
        <f t="shared" si="181"/>
        <v>#N/A</v>
      </c>
      <c r="Q1428" t="e">
        <f t="shared" si="182"/>
        <v>#N/A</v>
      </c>
    </row>
    <row r="1429" spans="1:17">
      <c r="A1429" s="28"/>
      <c r="B1429" s="28"/>
      <c r="C1429" s="28"/>
      <c r="D1429" s="28"/>
      <c r="E1429" s="28"/>
      <c r="F1429" s="28"/>
      <c r="G1429" s="26" t="str">
        <f t="shared" si="176"/>
        <v/>
      </c>
      <c r="H1429" s="26" t="str">
        <f t="shared" si="183"/>
        <v/>
      </c>
      <c r="I1429" s="26" t="str">
        <f t="shared" si="177"/>
        <v/>
      </c>
      <c r="J1429" t="str">
        <f t="shared" si="178"/>
        <v/>
      </c>
      <c r="K1429" s="26" t="str">
        <f t="shared" si="179"/>
        <v/>
      </c>
      <c r="L1429" s="26" t="str">
        <f t="shared" si="180"/>
        <v/>
      </c>
      <c r="P1429" t="e">
        <f t="shared" si="181"/>
        <v>#N/A</v>
      </c>
      <c r="Q1429" t="e">
        <f t="shared" si="182"/>
        <v>#N/A</v>
      </c>
    </row>
    <row r="1430" spans="1:17">
      <c r="A1430" s="28"/>
      <c r="B1430" s="28"/>
      <c r="C1430" s="28"/>
      <c r="D1430" s="28"/>
      <c r="E1430" s="28"/>
      <c r="F1430" s="28"/>
      <c r="G1430" s="26" t="str">
        <f t="shared" si="176"/>
        <v/>
      </c>
      <c r="H1430" s="26" t="str">
        <f t="shared" si="183"/>
        <v/>
      </c>
      <c r="I1430" s="26" t="str">
        <f t="shared" si="177"/>
        <v/>
      </c>
      <c r="J1430" t="str">
        <f t="shared" si="178"/>
        <v/>
      </c>
      <c r="K1430" s="26" t="str">
        <f t="shared" si="179"/>
        <v/>
      </c>
      <c r="L1430" s="26" t="str">
        <f t="shared" si="180"/>
        <v/>
      </c>
      <c r="P1430" t="e">
        <f t="shared" si="181"/>
        <v>#N/A</v>
      </c>
      <c r="Q1430" t="e">
        <f t="shared" si="182"/>
        <v>#N/A</v>
      </c>
    </row>
    <row r="1431" spans="1:17">
      <c r="A1431" s="28"/>
      <c r="B1431" s="28"/>
      <c r="C1431" s="28"/>
      <c r="D1431" s="28"/>
      <c r="E1431" s="28"/>
      <c r="F1431" s="28"/>
      <c r="G1431" s="26" t="str">
        <f t="shared" si="176"/>
        <v/>
      </c>
      <c r="H1431" s="26" t="str">
        <f t="shared" si="183"/>
        <v/>
      </c>
      <c r="I1431" s="26" t="str">
        <f t="shared" si="177"/>
        <v/>
      </c>
      <c r="J1431" t="str">
        <f t="shared" si="178"/>
        <v/>
      </c>
      <c r="K1431" s="26" t="str">
        <f t="shared" si="179"/>
        <v/>
      </c>
      <c r="L1431" s="26" t="str">
        <f t="shared" si="180"/>
        <v/>
      </c>
      <c r="P1431" t="e">
        <f t="shared" si="181"/>
        <v>#N/A</v>
      </c>
      <c r="Q1431" t="e">
        <f t="shared" si="182"/>
        <v>#N/A</v>
      </c>
    </row>
    <row r="1432" spans="1:17">
      <c r="A1432" s="28"/>
      <c r="B1432" s="28"/>
      <c r="C1432" s="28"/>
      <c r="D1432" s="28"/>
      <c r="E1432" s="28"/>
      <c r="F1432" s="28"/>
      <c r="G1432" s="26" t="str">
        <f t="shared" si="176"/>
        <v/>
      </c>
      <c r="H1432" s="26" t="str">
        <f t="shared" si="183"/>
        <v/>
      </c>
      <c r="I1432" s="26" t="str">
        <f t="shared" si="177"/>
        <v/>
      </c>
      <c r="J1432" t="str">
        <f t="shared" si="178"/>
        <v/>
      </c>
      <c r="K1432" s="26" t="str">
        <f t="shared" si="179"/>
        <v/>
      </c>
      <c r="L1432" s="26" t="str">
        <f t="shared" si="180"/>
        <v/>
      </c>
      <c r="P1432" t="e">
        <f t="shared" si="181"/>
        <v>#N/A</v>
      </c>
      <c r="Q1432" t="e">
        <f t="shared" si="182"/>
        <v>#N/A</v>
      </c>
    </row>
    <row r="1433" spans="1:17">
      <c r="A1433" s="28"/>
      <c r="B1433" s="28"/>
      <c r="C1433" s="28"/>
      <c r="D1433" s="28"/>
      <c r="E1433" s="28"/>
      <c r="F1433" s="28"/>
      <c r="G1433" s="26" t="str">
        <f t="shared" si="176"/>
        <v/>
      </c>
      <c r="H1433" s="26" t="str">
        <f t="shared" si="183"/>
        <v/>
      </c>
      <c r="I1433" s="26" t="str">
        <f t="shared" si="177"/>
        <v/>
      </c>
      <c r="J1433" t="str">
        <f t="shared" si="178"/>
        <v/>
      </c>
      <c r="K1433" s="26" t="str">
        <f t="shared" si="179"/>
        <v/>
      </c>
      <c r="L1433" s="26" t="str">
        <f t="shared" si="180"/>
        <v/>
      </c>
      <c r="P1433" t="e">
        <f t="shared" si="181"/>
        <v>#N/A</v>
      </c>
      <c r="Q1433" t="e">
        <f t="shared" si="182"/>
        <v>#N/A</v>
      </c>
    </row>
    <row r="1434" spans="1:17">
      <c r="A1434" s="28"/>
      <c r="B1434" s="28"/>
      <c r="C1434" s="28"/>
      <c r="D1434" s="28"/>
      <c r="E1434" s="28"/>
      <c r="F1434" s="28"/>
      <c r="G1434" s="26" t="str">
        <f t="shared" si="176"/>
        <v/>
      </c>
      <c r="H1434" s="26" t="str">
        <f t="shared" si="183"/>
        <v/>
      </c>
      <c r="I1434" s="26" t="str">
        <f t="shared" si="177"/>
        <v/>
      </c>
      <c r="J1434" t="str">
        <f t="shared" si="178"/>
        <v/>
      </c>
      <c r="K1434" s="26" t="str">
        <f t="shared" si="179"/>
        <v/>
      </c>
      <c r="L1434" s="26" t="str">
        <f t="shared" si="180"/>
        <v/>
      </c>
      <c r="P1434" t="e">
        <f t="shared" si="181"/>
        <v>#N/A</v>
      </c>
      <c r="Q1434" t="e">
        <f t="shared" si="182"/>
        <v>#N/A</v>
      </c>
    </row>
    <row r="1435" spans="1:17">
      <c r="A1435" s="28"/>
      <c r="B1435" s="28"/>
      <c r="C1435" s="28"/>
      <c r="D1435" s="28"/>
      <c r="E1435" s="28"/>
      <c r="F1435" s="28"/>
      <c r="G1435" s="26" t="str">
        <f t="shared" si="176"/>
        <v/>
      </c>
      <c r="H1435" s="26" t="str">
        <f t="shared" si="183"/>
        <v/>
      </c>
      <c r="I1435" s="26" t="str">
        <f t="shared" si="177"/>
        <v/>
      </c>
      <c r="J1435" t="str">
        <f t="shared" si="178"/>
        <v/>
      </c>
      <c r="K1435" s="26" t="str">
        <f t="shared" si="179"/>
        <v/>
      </c>
      <c r="L1435" s="26" t="str">
        <f t="shared" si="180"/>
        <v/>
      </c>
      <c r="P1435" t="e">
        <f t="shared" si="181"/>
        <v>#N/A</v>
      </c>
      <c r="Q1435" t="e">
        <f t="shared" si="182"/>
        <v>#N/A</v>
      </c>
    </row>
    <row r="1436" spans="1:17">
      <c r="A1436" s="28"/>
      <c r="B1436" s="28"/>
      <c r="C1436" s="28"/>
      <c r="D1436" s="28"/>
      <c r="E1436" s="28"/>
      <c r="F1436" s="28"/>
      <c r="G1436" s="26" t="str">
        <f t="shared" si="176"/>
        <v/>
      </c>
      <c r="H1436" s="26" t="str">
        <f t="shared" si="183"/>
        <v/>
      </c>
      <c r="I1436" s="26" t="str">
        <f t="shared" si="177"/>
        <v/>
      </c>
      <c r="J1436" t="str">
        <f t="shared" si="178"/>
        <v/>
      </c>
      <c r="K1436" s="26" t="str">
        <f t="shared" si="179"/>
        <v/>
      </c>
      <c r="L1436" s="26" t="str">
        <f t="shared" si="180"/>
        <v/>
      </c>
      <c r="P1436" t="e">
        <f t="shared" si="181"/>
        <v>#N/A</v>
      </c>
      <c r="Q1436" t="e">
        <f t="shared" si="182"/>
        <v>#N/A</v>
      </c>
    </row>
    <row r="1437" spans="1:17">
      <c r="A1437" s="28"/>
      <c r="B1437" s="28"/>
      <c r="C1437" s="28"/>
      <c r="D1437" s="28"/>
      <c r="E1437" s="28"/>
      <c r="F1437" s="28"/>
      <c r="G1437" s="26" t="str">
        <f t="shared" si="176"/>
        <v/>
      </c>
      <c r="H1437" s="26" t="str">
        <f t="shared" si="183"/>
        <v/>
      </c>
      <c r="I1437" s="26" t="str">
        <f t="shared" si="177"/>
        <v/>
      </c>
      <c r="J1437" t="str">
        <f t="shared" si="178"/>
        <v/>
      </c>
      <c r="K1437" s="26" t="str">
        <f t="shared" si="179"/>
        <v/>
      </c>
      <c r="L1437" s="26" t="str">
        <f t="shared" si="180"/>
        <v/>
      </c>
      <c r="P1437" t="e">
        <f t="shared" si="181"/>
        <v>#N/A</v>
      </c>
      <c r="Q1437" t="e">
        <f t="shared" si="182"/>
        <v>#N/A</v>
      </c>
    </row>
    <row r="1438" spans="1:17">
      <c r="A1438" s="28"/>
      <c r="B1438" s="28"/>
      <c r="C1438" s="28"/>
      <c r="D1438" s="28"/>
      <c r="E1438" s="28"/>
      <c r="F1438" s="28"/>
      <c r="G1438" s="26" t="str">
        <f t="shared" si="176"/>
        <v/>
      </c>
      <c r="H1438" s="26" t="str">
        <f t="shared" si="183"/>
        <v/>
      </c>
      <c r="I1438" s="26" t="str">
        <f t="shared" si="177"/>
        <v/>
      </c>
      <c r="J1438" t="str">
        <f t="shared" si="178"/>
        <v/>
      </c>
      <c r="K1438" s="26" t="str">
        <f t="shared" si="179"/>
        <v/>
      </c>
      <c r="L1438" s="26" t="str">
        <f t="shared" si="180"/>
        <v/>
      </c>
      <c r="P1438" t="e">
        <f t="shared" si="181"/>
        <v>#N/A</v>
      </c>
      <c r="Q1438" t="e">
        <f t="shared" si="182"/>
        <v>#N/A</v>
      </c>
    </row>
    <row r="1439" spans="1:17">
      <c r="A1439" s="28"/>
      <c r="B1439" s="28"/>
      <c r="C1439" s="28"/>
      <c r="D1439" s="28"/>
      <c r="E1439" s="28"/>
      <c r="F1439" s="28"/>
      <c r="G1439" s="26" t="str">
        <f t="shared" si="176"/>
        <v/>
      </c>
      <c r="H1439" s="26" t="str">
        <f t="shared" si="183"/>
        <v/>
      </c>
      <c r="I1439" s="26" t="str">
        <f t="shared" si="177"/>
        <v/>
      </c>
      <c r="J1439" t="str">
        <f t="shared" si="178"/>
        <v/>
      </c>
      <c r="K1439" s="26" t="str">
        <f t="shared" si="179"/>
        <v/>
      </c>
      <c r="L1439" s="26" t="str">
        <f t="shared" si="180"/>
        <v/>
      </c>
      <c r="P1439" t="e">
        <f t="shared" si="181"/>
        <v>#N/A</v>
      </c>
      <c r="Q1439" t="e">
        <f t="shared" si="182"/>
        <v>#N/A</v>
      </c>
    </row>
    <row r="1440" spans="1:17">
      <c r="A1440" s="28"/>
      <c r="B1440" s="28"/>
      <c r="C1440" s="28"/>
      <c r="D1440" s="28"/>
      <c r="E1440" s="28"/>
      <c r="F1440" s="28"/>
      <c r="G1440" s="26" t="str">
        <f t="shared" si="176"/>
        <v/>
      </c>
      <c r="H1440" s="26" t="str">
        <f t="shared" si="183"/>
        <v/>
      </c>
      <c r="I1440" s="26" t="str">
        <f t="shared" si="177"/>
        <v/>
      </c>
      <c r="J1440" t="str">
        <f t="shared" si="178"/>
        <v/>
      </c>
      <c r="K1440" s="26" t="str">
        <f t="shared" si="179"/>
        <v/>
      </c>
      <c r="L1440" s="26" t="str">
        <f t="shared" si="180"/>
        <v/>
      </c>
      <c r="P1440" t="e">
        <f t="shared" si="181"/>
        <v>#N/A</v>
      </c>
      <c r="Q1440" t="e">
        <f t="shared" si="182"/>
        <v>#N/A</v>
      </c>
    </row>
    <row r="1441" spans="1:17">
      <c r="A1441" s="28"/>
      <c r="B1441" s="28"/>
      <c r="C1441" s="28"/>
      <c r="D1441" s="28"/>
      <c r="E1441" s="28"/>
      <c r="F1441" s="28"/>
      <c r="G1441" s="26" t="str">
        <f t="shared" si="176"/>
        <v/>
      </c>
      <c r="H1441" s="26" t="str">
        <f t="shared" si="183"/>
        <v/>
      </c>
      <c r="I1441" s="26" t="str">
        <f t="shared" si="177"/>
        <v/>
      </c>
      <c r="J1441" t="str">
        <f t="shared" si="178"/>
        <v/>
      </c>
      <c r="K1441" s="26" t="str">
        <f t="shared" si="179"/>
        <v/>
      </c>
      <c r="L1441" s="26" t="str">
        <f t="shared" si="180"/>
        <v/>
      </c>
      <c r="P1441" t="e">
        <f t="shared" si="181"/>
        <v>#N/A</v>
      </c>
      <c r="Q1441" t="e">
        <f t="shared" si="182"/>
        <v>#N/A</v>
      </c>
    </row>
    <row r="1442" spans="1:17">
      <c r="A1442" s="28"/>
      <c r="B1442" s="28"/>
      <c r="C1442" s="28"/>
      <c r="D1442" s="28"/>
      <c r="E1442" s="28"/>
      <c r="F1442" s="28"/>
      <c r="G1442" s="26" t="str">
        <f t="shared" si="176"/>
        <v/>
      </c>
      <c r="H1442" s="26" t="str">
        <f t="shared" si="183"/>
        <v/>
      </c>
      <c r="I1442" s="26" t="str">
        <f t="shared" si="177"/>
        <v/>
      </c>
      <c r="J1442" t="str">
        <f t="shared" si="178"/>
        <v/>
      </c>
      <c r="K1442" s="26" t="str">
        <f t="shared" si="179"/>
        <v/>
      </c>
      <c r="L1442" s="26" t="str">
        <f t="shared" si="180"/>
        <v/>
      </c>
      <c r="P1442" t="e">
        <f t="shared" si="181"/>
        <v>#N/A</v>
      </c>
      <c r="Q1442" t="e">
        <f t="shared" si="182"/>
        <v>#N/A</v>
      </c>
    </row>
    <row r="1443" spans="1:17">
      <c r="A1443" s="28"/>
      <c r="B1443" s="28"/>
      <c r="C1443" s="28"/>
      <c r="D1443" s="28"/>
      <c r="E1443" s="28"/>
      <c r="F1443" s="28"/>
      <c r="G1443" s="26" t="str">
        <f t="shared" si="176"/>
        <v/>
      </c>
      <c r="H1443" s="26" t="str">
        <f t="shared" si="183"/>
        <v/>
      </c>
      <c r="I1443" s="26" t="str">
        <f t="shared" si="177"/>
        <v/>
      </c>
      <c r="J1443" t="str">
        <f t="shared" si="178"/>
        <v/>
      </c>
      <c r="K1443" s="26" t="str">
        <f t="shared" si="179"/>
        <v/>
      </c>
      <c r="L1443" s="26" t="str">
        <f t="shared" si="180"/>
        <v/>
      </c>
      <c r="P1443" t="e">
        <f t="shared" si="181"/>
        <v>#N/A</v>
      </c>
      <c r="Q1443" t="e">
        <f t="shared" si="182"/>
        <v>#N/A</v>
      </c>
    </row>
    <row r="1444" spans="1:17">
      <c r="A1444" s="28"/>
      <c r="B1444" s="28"/>
      <c r="C1444" s="28"/>
      <c r="D1444" s="28"/>
      <c r="E1444" s="28"/>
      <c r="F1444" s="28"/>
      <c r="G1444" s="26" t="str">
        <f t="shared" si="176"/>
        <v/>
      </c>
      <c r="H1444" s="26" t="str">
        <f t="shared" si="183"/>
        <v/>
      </c>
      <c r="I1444" s="26" t="str">
        <f t="shared" si="177"/>
        <v/>
      </c>
      <c r="J1444" t="str">
        <f t="shared" si="178"/>
        <v/>
      </c>
      <c r="K1444" s="26" t="str">
        <f t="shared" si="179"/>
        <v/>
      </c>
      <c r="L1444" s="26" t="str">
        <f t="shared" si="180"/>
        <v/>
      </c>
      <c r="P1444" t="e">
        <f t="shared" si="181"/>
        <v>#N/A</v>
      </c>
      <c r="Q1444" t="e">
        <f t="shared" si="182"/>
        <v>#N/A</v>
      </c>
    </row>
    <row r="1445" spans="1:17">
      <c r="A1445" s="28"/>
      <c r="B1445" s="28"/>
      <c r="C1445" s="28"/>
      <c r="D1445" s="28"/>
      <c r="E1445" s="28"/>
      <c r="F1445" s="28"/>
      <c r="G1445" s="26" t="str">
        <f t="shared" si="176"/>
        <v/>
      </c>
      <c r="H1445" s="26" t="str">
        <f t="shared" si="183"/>
        <v/>
      </c>
      <c r="I1445" s="26" t="str">
        <f t="shared" si="177"/>
        <v/>
      </c>
      <c r="J1445" t="str">
        <f t="shared" si="178"/>
        <v/>
      </c>
      <c r="K1445" s="26" t="str">
        <f t="shared" si="179"/>
        <v/>
      </c>
      <c r="L1445" s="26" t="str">
        <f t="shared" si="180"/>
        <v/>
      </c>
      <c r="P1445" t="e">
        <f t="shared" si="181"/>
        <v>#N/A</v>
      </c>
      <c r="Q1445" t="e">
        <f t="shared" si="182"/>
        <v>#N/A</v>
      </c>
    </row>
    <row r="1446" spans="1:17">
      <c r="A1446" s="28"/>
      <c r="B1446" s="28"/>
      <c r="C1446" s="28"/>
      <c r="D1446" s="28"/>
      <c r="E1446" s="28"/>
      <c r="F1446" s="28"/>
      <c r="G1446" s="26" t="str">
        <f t="shared" si="176"/>
        <v/>
      </c>
      <c r="H1446" s="26" t="str">
        <f t="shared" si="183"/>
        <v/>
      </c>
      <c r="I1446" s="26" t="str">
        <f t="shared" si="177"/>
        <v/>
      </c>
      <c r="J1446" t="str">
        <f t="shared" si="178"/>
        <v/>
      </c>
      <c r="K1446" s="26" t="str">
        <f t="shared" si="179"/>
        <v/>
      </c>
      <c r="L1446" s="26" t="str">
        <f t="shared" si="180"/>
        <v/>
      </c>
      <c r="P1446" t="e">
        <f t="shared" si="181"/>
        <v>#N/A</v>
      </c>
      <c r="Q1446" t="e">
        <f t="shared" si="182"/>
        <v>#N/A</v>
      </c>
    </row>
    <row r="1447" spans="1:17">
      <c r="A1447" s="28"/>
      <c r="B1447" s="28"/>
      <c r="C1447" s="28"/>
      <c r="D1447" s="28"/>
      <c r="E1447" s="28"/>
      <c r="F1447" s="28"/>
      <c r="G1447" s="26" t="str">
        <f t="shared" si="176"/>
        <v/>
      </c>
      <c r="H1447" s="26" t="str">
        <f t="shared" si="183"/>
        <v/>
      </c>
      <c r="I1447" s="26" t="str">
        <f t="shared" si="177"/>
        <v/>
      </c>
      <c r="J1447" t="str">
        <f t="shared" si="178"/>
        <v/>
      </c>
      <c r="K1447" s="26" t="str">
        <f t="shared" si="179"/>
        <v/>
      </c>
      <c r="L1447" s="26" t="str">
        <f t="shared" si="180"/>
        <v/>
      </c>
      <c r="P1447" t="e">
        <f t="shared" si="181"/>
        <v>#N/A</v>
      </c>
      <c r="Q1447" t="e">
        <f t="shared" si="182"/>
        <v>#N/A</v>
      </c>
    </row>
    <row r="1448" spans="1:17">
      <c r="A1448" s="28"/>
      <c r="B1448" s="28"/>
      <c r="C1448" s="28"/>
      <c r="D1448" s="28"/>
      <c r="E1448" s="28"/>
      <c r="F1448" s="28"/>
      <c r="G1448" s="26" t="str">
        <f t="shared" si="176"/>
        <v/>
      </c>
      <c r="H1448" s="26" t="str">
        <f t="shared" si="183"/>
        <v/>
      </c>
      <c r="I1448" s="26" t="str">
        <f t="shared" si="177"/>
        <v/>
      </c>
      <c r="J1448" t="str">
        <f t="shared" si="178"/>
        <v/>
      </c>
      <c r="K1448" s="26" t="str">
        <f t="shared" si="179"/>
        <v/>
      </c>
      <c r="L1448" s="26" t="str">
        <f t="shared" si="180"/>
        <v/>
      </c>
      <c r="P1448" t="e">
        <f t="shared" si="181"/>
        <v>#N/A</v>
      </c>
      <c r="Q1448" t="e">
        <f t="shared" si="182"/>
        <v>#N/A</v>
      </c>
    </row>
    <row r="1449" spans="1:17">
      <c r="A1449" s="28"/>
      <c r="B1449" s="28"/>
      <c r="C1449" s="28"/>
      <c r="D1449" s="28"/>
      <c r="E1449" s="28"/>
      <c r="F1449" s="28"/>
      <c r="G1449" s="26" t="str">
        <f t="shared" si="176"/>
        <v/>
      </c>
      <c r="H1449" s="26" t="str">
        <f t="shared" si="183"/>
        <v/>
      </c>
      <c r="I1449" s="26" t="str">
        <f t="shared" si="177"/>
        <v/>
      </c>
      <c r="J1449" t="str">
        <f t="shared" si="178"/>
        <v/>
      </c>
      <c r="K1449" s="26" t="str">
        <f t="shared" si="179"/>
        <v/>
      </c>
      <c r="L1449" s="26" t="str">
        <f t="shared" si="180"/>
        <v/>
      </c>
      <c r="P1449" t="e">
        <f t="shared" si="181"/>
        <v>#N/A</v>
      </c>
      <c r="Q1449" t="e">
        <f t="shared" si="182"/>
        <v>#N/A</v>
      </c>
    </row>
    <row r="1450" spans="1:17">
      <c r="A1450" s="28"/>
      <c r="B1450" s="28"/>
      <c r="C1450" s="28"/>
      <c r="D1450" s="28"/>
      <c r="E1450" s="28"/>
      <c r="F1450" s="28"/>
      <c r="G1450" s="26" t="str">
        <f t="shared" si="176"/>
        <v/>
      </c>
      <c r="H1450" s="26" t="str">
        <f t="shared" si="183"/>
        <v/>
      </c>
      <c r="I1450" s="26" t="str">
        <f t="shared" si="177"/>
        <v/>
      </c>
      <c r="J1450" t="str">
        <f t="shared" si="178"/>
        <v/>
      </c>
      <c r="K1450" s="26" t="str">
        <f t="shared" si="179"/>
        <v/>
      </c>
      <c r="L1450" s="26" t="str">
        <f t="shared" si="180"/>
        <v/>
      </c>
      <c r="P1450" t="e">
        <f t="shared" si="181"/>
        <v>#N/A</v>
      </c>
      <c r="Q1450" t="e">
        <f t="shared" si="182"/>
        <v>#N/A</v>
      </c>
    </row>
    <row r="1451" spans="1:17">
      <c r="A1451" s="28"/>
      <c r="B1451" s="28"/>
      <c r="C1451" s="28"/>
      <c r="D1451" s="28"/>
      <c r="E1451" s="28"/>
      <c r="F1451" s="28"/>
      <c r="G1451" s="26" t="str">
        <f t="shared" si="176"/>
        <v/>
      </c>
      <c r="H1451" s="26" t="str">
        <f t="shared" si="183"/>
        <v/>
      </c>
      <c r="I1451" s="26" t="str">
        <f t="shared" si="177"/>
        <v/>
      </c>
      <c r="J1451" t="str">
        <f t="shared" si="178"/>
        <v/>
      </c>
      <c r="K1451" s="26" t="str">
        <f t="shared" si="179"/>
        <v/>
      </c>
      <c r="L1451" s="26" t="str">
        <f t="shared" si="180"/>
        <v/>
      </c>
      <c r="P1451" t="e">
        <f t="shared" si="181"/>
        <v>#N/A</v>
      </c>
      <c r="Q1451" t="e">
        <f t="shared" si="182"/>
        <v>#N/A</v>
      </c>
    </row>
    <row r="1452" spans="1:17">
      <c r="A1452" s="28"/>
      <c r="B1452" s="28"/>
      <c r="C1452" s="28"/>
      <c r="D1452" s="28"/>
      <c r="E1452" s="28"/>
      <c r="F1452" s="28"/>
      <c r="G1452" s="26" t="str">
        <f t="shared" si="176"/>
        <v/>
      </c>
      <c r="H1452" s="26" t="str">
        <f t="shared" si="183"/>
        <v/>
      </c>
      <c r="I1452" s="26" t="str">
        <f t="shared" si="177"/>
        <v/>
      </c>
      <c r="J1452" t="str">
        <f t="shared" si="178"/>
        <v/>
      </c>
      <c r="K1452" s="26" t="str">
        <f t="shared" si="179"/>
        <v/>
      </c>
      <c r="L1452" s="26" t="str">
        <f t="shared" si="180"/>
        <v/>
      </c>
      <c r="P1452" t="e">
        <f t="shared" si="181"/>
        <v>#N/A</v>
      </c>
      <c r="Q1452" t="e">
        <f t="shared" si="182"/>
        <v>#N/A</v>
      </c>
    </row>
    <row r="1453" spans="1:17">
      <c r="A1453" s="28"/>
      <c r="B1453" s="28"/>
      <c r="C1453" s="28"/>
      <c r="D1453" s="28"/>
      <c r="E1453" s="28"/>
      <c r="F1453" s="28"/>
      <c r="G1453" s="26" t="str">
        <f t="shared" si="176"/>
        <v/>
      </c>
      <c r="H1453" s="26" t="str">
        <f t="shared" si="183"/>
        <v/>
      </c>
      <c r="I1453" s="26" t="str">
        <f t="shared" si="177"/>
        <v/>
      </c>
      <c r="J1453" t="str">
        <f t="shared" si="178"/>
        <v/>
      </c>
      <c r="K1453" s="26" t="str">
        <f t="shared" si="179"/>
        <v/>
      </c>
      <c r="L1453" s="26" t="str">
        <f t="shared" si="180"/>
        <v/>
      </c>
      <c r="P1453" t="e">
        <f t="shared" si="181"/>
        <v>#N/A</v>
      </c>
      <c r="Q1453" t="e">
        <f t="shared" si="182"/>
        <v>#N/A</v>
      </c>
    </row>
    <row r="1454" spans="1:17">
      <c r="A1454" s="28"/>
      <c r="B1454" s="28"/>
      <c r="C1454" s="28"/>
      <c r="D1454" s="28"/>
      <c r="E1454" s="28"/>
      <c r="F1454" s="28"/>
      <c r="G1454" s="26" t="str">
        <f t="shared" si="176"/>
        <v/>
      </c>
      <c r="H1454" s="26" t="str">
        <f t="shared" si="183"/>
        <v/>
      </c>
      <c r="I1454" s="26" t="str">
        <f t="shared" si="177"/>
        <v/>
      </c>
      <c r="J1454" t="str">
        <f t="shared" si="178"/>
        <v/>
      </c>
      <c r="K1454" s="26" t="str">
        <f t="shared" si="179"/>
        <v/>
      </c>
      <c r="L1454" s="26" t="str">
        <f t="shared" si="180"/>
        <v/>
      </c>
      <c r="P1454" t="e">
        <f t="shared" si="181"/>
        <v>#N/A</v>
      </c>
      <c r="Q1454" t="e">
        <f t="shared" si="182"/>
        <v>#N/A</v>
      </c>
    </row>
    <row r="1455" spans="1:17">
      <c r="A1455" s="28"/>
      <c r="B1455" s="28"/>
      <c r="C1455" s="28"/>
      <c r="D1455" s="28"/>
      <c r="E1455" s="28"/>
      <c r="F1455" s="28"/>
      <c r="G1455" s="26" t="str">
        <f t="shared" si="176"/>
        <v/>
      </c>
      <c r="H1455" s="26" t="str">
        <f t="shared" si="183"/>
        <v/>
      </c>
      <c r="I1455" s="26" t="str">
        <f t="shared" si="177"/>
        <v/>
      </c>
      <c r="J1455" t="str">
        <f t="shared" si="178"/>
        <v/>
      </c>
      <c r="K1455" s="26" t="str">
        <f t="shared" si="179"/>
        <v/>
      </c>
      <c r="L1455" s="26" t="str">
        <f t="shared" si="180"/>
        <v/>
      </c>
      <c r="P1455" t="e">
        <f t="shared" si="181"/>
        <v>#N/A</v>
      </c>
      <c r="Q1455" t="e">
        <f t="shared" si="182"/>
        <v>#N/A</v>
      </c>
    </row>
    <row r="1456" spans="1:17">
      <c r="A1456" s="28"/>
      <c r="B1456" s="28"/>
      <c r="C1456" s="28"/>
      <c r="D1456" s="28"/>
      <c r="E1456" s="28"/>
      <c r="F1456" s="28"/>
      <c r="G1456" s="26" t="str">
        <f t="shared" si="176"/>
        <v/>
      </c>
      <c r="H1456" s="26" t="str">
        <f t="shared" si="183"/>
        <v/>
      </c>
      <c r="I1456" s="26" t="str">
        <f t="shared" si="177"/>
        <v/>
      </c>
      <c r="J1456" t="str">
        <f t="shared" si="178"/>
        <v/>
      </c>
      <c r="K1456" s="26" t="str">
        <f t="shared" si="179"/>
        <v/>
      </c>
      <c r="L1456" s="26" t="str">
        <f t="shared" si="180"/>
        <v/>
      </c>
      <c r="P1456" t="e">
        <f t="shared" si="181"/>
        <v>#N/A</v>
      </c>
      <c r="Q1456" t="e">
        <f t="shared" si="182"/>
        <v>#N/A</v>
      </c>
    </row>
    <row r="1457" spans="1:17">
      <c r="A1457" s="28"/>
      <c r="B1457" s="28"/>
      <c r="C1457" s="28"/>
      <c r="D1457" s="28"/>
      <c r="E1457" s="28"/>
      <c r="F1457" s="28"/>
      <c r="G1457" s="26" t="str">
        <f t="shared" si="176"/>
        <v/>
      </c>
      <c r="H1457" s="26" t="str">
        <f t="shared" si="183"/>
        <v/>
      </c>
      <c r="I1457" s="26" t="str">
        <f t="shared" si="177"/>
        <v/>
      </c>
      <c r="J1457" t="str">
        <f t="shared" si="178"/>
        <v/>
      </c>
      <c r="K1457" s="26" t="str">
        <f t="shared" si="179"/>
        <v/>
      </c>
      <c r="L1457" s="26" t="str">
        <f t="shared" si="180"/>
        <v/>
      </c>
      <c r="P1457" t="e">
        <f t="shared" si="181"/>
        <v>#N/A</v>
      </c>
      <c r="Q1457" t="e">
        <f t="shared" si="182"/>
        <v>#N/A</v>
      </c>
    </row>
    <row r="1458" spans="1:17">
      <c r="A1458" s="28"/>
      <c r="B1458" s="28"/>
      <c r="C1458" s="28"/>
      <c r="D1458" s="28"/>
      <c r="E1458" s="28"/>
      <c r="F1458" s="28"/>
      <c r="G1458" s="26" t="str">
        <f t="shared" si="176"/>
        <v/>
      </c>
      <c r="H1458" s="26" t="str">
        <f t="shared" si="183"/>
        <v/>
      </c>
      <c r="I1458" s="26" t="str">
        <f t="shared" si="177"/>
        <v/>
      </c>
      <c r="J1458" t="str">
        <f t="shared" si="178"/>
        <v/>
      </c>
      <c r="K1458" s="26" t="str">
        <f t="shared" si="179"/>
        <v/>
      </c>
      <c r="L1458" s="26" t="str">
        <f t="shared" si="180"/>
        <v/>
      </c>
      <c r="P1458" t="e">
        <f t="shared" si="181"/>
        <v>#N/A</v>
      </c>
      <c r="Q1458" t="e">
        <f t="shared" si="182"/>
        <v>#N/A</v>
      </c>
    </row>
    <row r="1459" spans="1:17">
      <c r="A1459" s="28"/>
      <c r="B1459" s="28"/>
      <c r="C1459" s="28"/>
      <c r="D1459" s="28"/>
      <c r="E1459" s="28"/>
      <c r="F1459" s="28"/>
      <c r="G1459" s="26" t="str">
        <f t="shared" si="176"/>
        <v/>
      </c>
      <c r="H1459" s="26" t="str">
        <f t="shared" si="183"/>
        <v/>
      </c>
      <c r="I1459" s="26" t="str">
        <f t="shared" si="177"/>
        <v/>
      </c>
      <c r="J1459" t="str">
        <f t="shared" si="178"/>
        <v/>
      </c>
      <c r="K1459" s="26" t="str">
        <f t="shared" si="179"/>
        <v/>
      </c>
      <c r="L1459" s="26" t="str">
        <f t="shared" si="180"/>
        <v/>
      </c>
      <c r="P1459" t="e">
        <f t="shared" si="181"/>
        <v>#N/A</v>
      </c>
      <c r="Q1459" t="e">
        <f t="shared" si="182"/>
        <v>#N/A</v>
      </c>
    </row>
    <row r="1460" spans="1:17">
      <c r="A1460" s="28"/>
      <c r="B1460" s="28"/>
      <c r="C1460" s="28"/>
      <c r="D1460" s="28"/>
      <c r="E1460" s="28"/>
      <c r="F1460" s="28"/>
      <c r="G1460" s="26" t="str">
        <f t="shared" si="176"/>
        <v/>
      </c>
      <c r="H1460" s="26" t="str">
        <f t="shared" si="183"/>
        <v/>
      </c>
      <c r="I1460" s="26" t="str">
        <f t="shared" si="177"/>
        <v/>
      </c>
      <c r="J1460" t="str">
        <f t="shared" si="178"/>
        <v/>
      </c>
      <c r="K1460" s="26" t="str">
        <f t="shared" si="179"/>
        <v/>
      </c>
      <c r="L1460" s="26" t="str">
        <f t="shared" si="180"/>
        <v/>
      </c>
      <c r="P1460" t="e">
        <f t="shared" si="181"/>
        <v>#N/A</v>
      </c>
      <c r="Q1460" t="e">
        <f t="shared" si="182"/>
        <v>#N/A</v>
      </c>
    </row>
    <row r="1461" spans="1:17">
      <c r="A1461" s="28"/>
      <c r="B1461" s="28"/>
      <c r="C1461" s="28"/>
      <c r="D1461" s="28"/>
      <c r="E1461" s="28"/>
      <c r="F1461" s="28"/>
      <c r="G1461" s="26" t="str">
        <f t="shared" si="176"/>
        <v/>
      </c>
      <c r="H1461" s="26" t="str">
        <f t="shared" si="183"/>
        <v/>
      </c>
      <c r="I1461" s="26" t="str">
        <f t="shared" si="177"/>
        <v/>
      </c>
      <c r="J1461" t="str">
        <f t="shared" si="178"/>
        <v/>
      </c>
      <c r="K1461" s="26" t="str">
        <f t="shared" si="179"/>
        <v/>
      </c>
      <c r="L1461" s="26" t="str">
        <f t="shared" si="180"/>
        <v/>
      </c>
      <c r="P1461" t="e">
        <f t="shared" si="181"/>
        <v>#N/A</v>
      </c>
      <c r="Q1461" t="e">
        <f t="shared" si="182"/>
        <v>#N/A</v>
      </c>
    </row>
    <row r="1462" spans="1:17">
      <c r="A1462" s="28"/>
      <c r="B1462" s="28"/>
      <c r="C1462" s="28"/>
      <c r="D1462" s="28"/>
      <c r="E1462" s="28"/>
      <c r="F1462" s="28"/>
      <c r="G1462" s="26" t="str">
        <f t="shared" si="176"/>
        <v/>
      </c>
      <c r="H1462" s="26" t="str">
        <f t="shared" si="183"/>
        <v/>
      </c>
      <c r="I1462" s="26" t="str">
        <f t="shared" si="177"/>
        <v/>
      </c>
      <c r="J1462" t="str">
        <f t="shared" si="178"/>
        <v/>
      </c>
      <c r="K1462" s="26" t="str">
        <f t="shared" si="179"/>
        <v/>
      </c>
      <c r="L1462" s="26" t="str">
        <f t="shared" si="180"/>
        <v/>
      </c>
      <c r="P1462" t="e">
        <f t="shared" si="181"/>
        <v>#N/A</v>
      </c>
      <c r="Q1462" t="e">
        <f t="shared" si="182"/>
        <v>#N/A</v>
      </c>
    </row>
    <row r="1463" spans="1:17">
      <c r="A1463" s="28"/>
      <c r="B1463" s="28"/>
      <c r="C1463" s="28"/>
      <c r="D1463" s="28"/>
      <c r="E1463" s="28"/>
      <c r="F1463" s="28"/>
      <c r="G1463" s="26" t="str">
        <f t="shared" si="176"/>
        <v/>
      </c>
      <c r="H1463" s="26" t="str">
        <f t="shared" si="183"/>
        <v/>
      </c>
      <c r="I1463" s="26" t="str">
        <f t="shared" si="177"/>
        <v/>
      </c>
      <c r="J1463" t="str">
        <f t="shared" si="178"/>
        <v/>
      </c>
      <c r="K1463" s="26" t="str">
        <f t="shared" si="179"/>
        <v/>
      </c>
      <c r="L1463" s="26" t="str">
        <f t="shared" si="180"/>
        <v/>
      </c>
      <c r="P1463" t="e">
        <f t="shared" si="181"/>
        <v>#N/A</v>
      </c>
      <c r="Q1463" t="e">
        <f t="shared" si="182"/>
        <v>#N/A</v>
      </c>
    </row>
    <row r="1464" spans="1:17">
      <c r="A1464" s="28"/>
      <c r="B1464" s="28"/>
      <c r="C1464" s="28"/>
      <c r="D1464" s="28"/>
      <c r="E1464" s="28"/>
      <c r="F1464" s="28"/>
      <c r="G1464" s="26" t="str">
        <f t="shared" si="176"/>
        <v/>
      </c>
      <c r="H1464" s="26" t="str">
        <f t="shared" si="183"/>
        <v/>
      </c>
      <c r="I1464" s="26" t="str">
        <f t="shared" si="177"/>
        <v/>
      </c>
      <c r="J1464" t="str">
        <f t="shared" si="178"/>
        <v/>
      </c>
      <c r="K1464" s="26" t="str">
        <f t="shared" si="179"/>
        <v/>
      </c>
      <c r="L1464" s="26" t="str">
        <f t="shared" si="180"/>
        <v/>
      </c>
      <c r="P1464" t="e">
        <f t="shared" si="181"/>
        <v>#N/A</v>
      </c>
      <c r="Q1464" t="e">
        <f t="shared" si="182"/>
        <v>#N/A</v>
      </c>
    </row>
    <row r="1465" spans="1:17">
      <c r="A1465" s="28"/>
      <c r="B1465" s="28"/>
      <c r="C1465" s="28"/>
      <c r="D1465" s="28"/>
      <c r="E1465" s="28"/>
      <c r="F1465" s="28"/>
      <c r="G1465" s="26" t="str">
        <f t="shared" si="176"/>
        <v/>
      </c>
      <c r="H1465" s="26" t="str">
        <f t="shared" si="183"/>
        <v/>
      </c>
      <c r="I1465" s="26" t="str">
        <f t="shared" si="177"/>
        <v/>
      </c>
      <c r="J1465" t="str">
        <f t="shared" si="178"/>
        <v/>
      </c>
      <c r="K1465" s="26" t="str">
        <f t="shared" si="179"/>
        <v/>
      </c>
      <c r="L1465" s="26" t="str">
        <f t="shared" si="180"/>
        <v/>
      </c>
      <c r="P1465" t="e">
        <f t="shared" si="181"/>
        <v>#N/A</v>
      </c>
      <c r="Q1465" t="e">
        <f t="shared" si="182"/>
        <v>#N/A</v>
      </c>
    </row>
    <row r="1466" spans="1:17">
      <c r="A1466" s="28"/>
      <c r="B1466" s="28"/>
      <c r="C1466" s="28"/>
      <c r="D1466" s="28"/>
      <c r="E1466" s="28"/>
      <c r="F1466" s="28"/>
      <c r="G1466" s="26" t="str">
        <f t="shared" si="176"/>
        <v/>
      </c>
      <c r="H1466" s="26" t="str">
        <f t="shared" si="183"/>
        <v/>
      </c>
      <c r="I1466" s="26" t="str">
        <f t="shared" si="177"/>
        <v/>
      </c>
      <c r="J1466" t="str">
        <f t="shared" si="178"/>
        <v/>
      </c>
      <c r="K1466" s="26" t="str">
        <f t="shared" si="179"/>
        <v/>
      </c>
      <c r="L1466" s="26" t="str">
        <f t="shared" si="180"/>
        <v/>
      </c>
      <c r="P1466" t="e">
        <f t="shared" si="181"/>
        <v>#N/A</v>
      </c>
      <c r="Q1466" t="e">
        <f t="shared" si="182"/>
        <v>#N/A</v>
      </c>
    </row>
    <row r="1467" spans="1:17">
      <c r="A1467" s="28"/>
      <c r="B1467" s="28"/>
      <c r="C1467" s="28"/>
      <c r="D1467" s="28"/>
      <c r="E1467" s="28"/>
      <c r="F1467" s="28"/>
      <c r="G1467" s="26" t="str">
        <f t="shared" si="176"/>
        <v/>
      </c>
      <c r="H1467" s="26" t="str">
        <f t="shared" si="183"/>
        <v/>
      </c>
      <c r="I1467" s="26" t="str">
        <f t="shared" si="177"/>
        <v/>
      </c>
      <c r="J1467" t="str">
        <f t="shared" si="178"/>
        <v/>
      </c>
      <c r="K1467" s="26" t="str">
        <f t="shared" si="179"/>
        <v/>
      </c>
      <c r="L1467" s="26" t="str">
        <f t="shared" si="180"/>
        <v/>
      </c>
      <c r="P1467" t="e">
        <f t="shared" si="181"/>
        <v>#N/A</v>
      </c>
      <c r="Q1467" t="e">
        <f t="shared" si="182"/>
        <v>#N/A</v>
      </c>
    </row>
    <row r="1468" spans="1:17">
      <c r="A1468" s="28"/>
      <c r="B1468" s="28"/>
      <c r="C1468" s="28"/>
      <c r="D1468" s="28"/>
      <c r="E1468" s="28"/>
      <c r="F1468" s="28"/>
      <c r="G1468" s="26" t="str">
        <f t="shared" si="176"/>
        <v/>
      </c>
      <c r="H1468" s="26" t="str">
        <f t="shared" si="183"/>
        <v/>
      </c>
      <c r="I1468" s="26" t="str">
        <f t="shared" si="177"/>
        <v/>
      </c>
      <c r="J1468" t="str">
        <f t="shared" si="178"/>
        <v/>
      </c>
      <c r="K1468" s="26" t="str">
        <f t="shared" si="179"/>
        <v/>
      </c>
      <c r="L1468" s="26" t="str">
        <f t="shared" si="180"/>
        <v/>
      </c>
      <c r="P1468" t="e">
        <f t="shared" si="181"/>
        <v>#N/A</v>
      </c>
      <c r="Q1468" t="e">
        <f t="shared" si="182"/>
        <v>#N/A</v>
      </c>
    </row>
    <row r="1469" spans="1:17">
      <c r="A1469" s="28"/>
      <c r="B1469" s="28"/>
      <c r="C1469" s="28"/>
      <c r="D1469" s="28"/>
      <c r="E1469" s="28"/>
      <c r="F1469" s="28"/>
      <c r="G1469" s="26" t="str">
        <f t="shared" si="176"/>
        <v/>
      </c>
      <c r="H1469" s="26" t="str">
        <f t="shared" si="183"/>
        <v/>
      </c>
      <c r="I1469" s="26" t="str">
        <f t="shared" si="177"/>
        <v/>
      </c>
      <c r="J1469" t="str">
        <f t="shared" si="178"/>
        <v/>
      </c>
      <c r="K1469" s="26" t="str">
        <f t="shared" si="179"/>
        <v/>
      </c>
      <c r="L1469" s="26" t="str">
        <f t="shared" si="180"/>
        <v/>
      </c>
      <c r="P1469" t="e">
        <f t="shared" si="181"/>
        <v>#N/A</v>
      </c>
      <c r="Q1469" t="e">
        <f t="shared" si="182"/>
        <v>#N/A</v>
      </c>
    </row>
    <row r="1470" spans="1:17">
      <c r="A1470" s="28"/>
      <c r="B1470" s="28"/>
      <c r="C1470" s="28"/>
      <c r="D1470" s="28"/>
      <c r="E1470" s="28"/>
      <c r="F1470" s="28"/>
      <c r="G1470" s="26" t="str">
        <f t="shared" si="176"/>
        <v/>
      </c>
      <c r="H1470" s="26" t="str">
        <f t="shared" si="183"/>
        <v/>
      </c>
      <c r="I1470" s="26" t="str">
        <f t="shared" si="177"/>
        <v/>
      </c>
      <c r="J1470" t="str">
        <f t="shared" si="178"/>
        <v/>
      </c>
      <c r="K1470" s="26" t="str">
        <f t="shared" si="179"/>
        <v/>
      </c>
      <c r="L1470" s="26" t="str">
        <f t="shared" si="180"/>
        <v/>
      </c>
      <c r="P1470" t="e">
        <f t="shared" si="181"/>
        <v>#N/A</v>
      </c>
      <c r="Q1470" t="e">
        <f t="shared" si="182"/>
        <v>#N/A</v>
      </c>
    </row>
    <row r="1471" spans="1:17">
      <c r="A1471" s="28"/>
      <c r="B1471" s="28"/>
      <c r="C1471" s="28"/>
      <c r="D1471" s="28"/>
      <c r="E1471" s="28"/>
      <c r="F1471" s="28"/>
      <c r="G1471" s="26" t="str">
        <f t="shared" si="176"/>
        <v/>
      </c>
      <c r="H1471" s="26" t="str">
        <f t="shared" si="183"/>
        <v/>
      </c>
      <c r="I1471" s="26" t="str">
        <f t="shared" si="177"/>
        <v/>
      </c>
      <c r="J1471" t="str">
        <f t="shared" si="178"/>
        <v/>
      </c>
      <c r="K1471" s="26" t="str">
        <f t="shared" si="179"/>
        <v/>
      </c>
      <c r="L1471" s="26" t="str">
        <f t="shared" si="180"/>
        <v/>
      </c>
      <c r="P1471" t="e">
        <f t="shared" si="181"/>
        <v>#N/A</v>
      </c>
      <c r="Q1471" t="e">
        <f t="shared" si="182"/>
        <v>#N/A</v>
      </c>
    </row>
    <row r="1472" spans="1:17">
      <c r="A1472" s="28"/>
      <c r="B1472" s="28"/>
      <c r="C1472" s="28"/>
      <c r="D1472" s="28"/>
      <c r="E1472" s="28"/>
      <c r="F1472" s="28"/>
      <c r="G1472" s="26" t="str">
        <f t="shared" si="176"/>
        <v/>
      </c>
      <c r="H1472" s="26" t="str">
        <f t="shared" si="183"/>
        <v/>
      </c>
      <c r="I1472" s="26" t="str">
        <f t="shared" si="177"/>
        <v/>
      </c>
      <c r="J1472" t="str">
        <f t="shared" si="178"/>
        <v/>
      </c>
      <c r="K1472" s="26" t="str">
        <f t="shared" si="179"/>
        <v/>
      </c>
      <c r="L1472" s="26" t="str">
        <f t="shared" si="180"/>
        <v/>
      </c>
      <c r="P1472" t="e">
        <f t="shared" si="181"/>
        <v>#N/A</v>
      </c>
      <c r="Q1472" t="e">
        <f t="shared" si="182"/>
        <v>#N/A</v>
      </c>
    </row>
    <row r="1473" spans="1:17">
      <c r="A1473" s="28"/>
      <c r="B1473" s="28"/>
      <c r="C1473" s="28"/>
      <c r="D1473" s="28"/>
      <c r="E1473" s="28"/>
      <c r="F1473" s="28"/>
      <c r="G1473" s="26" t="str">
        <f t="shared" si="176"/>
        <v/>
      </c>
      <c r="H1473" s="26" t="str">
        <f t="shared" si="183"/>
        <v/>
      </c>
      <c r="I1473" s="26" t="str">
        <f t="shared" si="177"/>
        <v/>
      </c>
      <c r="J1473" t="str">
        <f t="shared" si="178"/>
        <v/>
      </c>
      <c r="K1473" s="26" t="str">
        <f t="shared" si="179"/>
        <v/>
      </c>
      <c r="L1473" s="26" t="str">
        <f t="shared" si="180"/>
        <v/>
      </c>
      <c r="P1473" t="e">
        <f t="shared" si="181"/>
        <v>#N/A</v>
      </c>
      <c r="Q1473" t="e">
        <f t="shared" si="182"/>
        <v>#N/A</v>
      </c>
    </row>
    <row r="1474" spans="1:17">
      <c r="A1474" s="28"/>
      <c r="B1474" s="28"/>
      <c r="C1474" s="28"/>
      <c r="D1474" s="28"/>
      <c r="E1474" s="28"/>
      <c r="F1474" s="28"/>
      <c r="G1474" s="26" t="str">
        <f t="shared" ref="G1474:G1537" si="184">IF(B1474="","",243.04*(LN(C1474/100)+17.625*B1474/(243.04+B1474))/(17.625-LN(C1474/100)-17.625*B1474/(243.04+B1474)))</f>
        <v/>
      </c>
      <c r="H1474" s="26" t="str">
        <f t="shared" si="183"/>
        <v/>
      </c>
      <c r="I1474" s="26" t="str">
        <f t="shared" ref="I1474:I1537" si="185">IF(B1474="","",B1474-E1474)</f>
        <v/>
      </c>
      <c r="J1474" t="str">
        <f t="shared" ref="J1474:J1537" si="186">IF(H1474="","",IF(H1474&gt;0.6,"Heating",IF(H1474&lt;-0.2,"Cooling","Steady")))</f>
        <v/>
      </c>
      <c r="K1474" s="26" t="str">
        <f t="shared" ref="K1474:K1537" si="187">IF(J1474="Cooling",I1474,"")</f>
        <v/>
      </c>
      <c r="L1474" s="26" t="str">
        <f t="shared" ref="L1474:L1537" si="188">IF(J1474="Cooling",H1474,"")</f>
        <v/>
      </c>
      <c r="P1474" t="e">
        <f t="shared" ref="P1474:P1537" si="189">IF(K1474="",NA(),K1474)</f>
        <v>#N/A</v>
      </c>
      <c r="Q1474" t="e">
        <f t="shared" ref="Q1474:Q1537" si="190">IF(L1474="",NA(),L1474)</f>
        <v>#N/A</v>
      </c>
    </row>
    <row r="1475" spans="1:17">
      <c r="A1475" s="28"/>
      <c r="B1475" s="28"/>
      <c r="C1475" s="28"/>
      <c r="D1475" s="28"/>
      <c r="E1475" s="28"/>
      <c r="F1475" s="28"/>
      <c r="G1475" s="26" t="str">
        <f t="shared" si="184"/>
        <v/>
      </c>
      <c r="H1475" s="26" t="str">
        <f t="shared" si="183"/>
        <v/>
      </c>
      <c r="I1475" s="26" t="str">
        <f t="shared" si="185"/>
        <v/>
      </c>
      <c r="J1475" t="str">
        <f t="shared" si="186"/>
        <v/>
      </c>
      <c r="K1475" s="26" t="str">
        <f t="shared" si="187"/>
        <v/>
      </c>
      <c r="L1475" s="26" t="str">
        <f t="shared" si="188"/>
        <v/>
      </c>
      <c r="P1475" t="e">
        <f t="shared" si="189"/>
        <v>#N/A</v>
      </c>
      <c r="Q1475" t="e">
        <f t="shared" si="190"/>
        <v>#N/A</v>
      </c>
    </row>
    <row r="1476" spans="1:17">
      <c r="A1476" s="28"/>
      <c r="B1476" s="28"/>
      <c r="C1476" s="28"/>
      <c r="D1476" s="28"/>
      <c r="E1476" s="28"/>
      <c r="F1476" s="28"/>
      <c r="G1476" s="26" t="str">
        <f t="shared" si="184"/>
        <v/>
      </c>
      <c r="H1476" s="26" t="str">
        <f t="shared" ref="H1476:H1539" si="191">IFERROR(IF(OR(B1474="",B1478=""),"",(B1478-B1474)/4*60),"")</f>
        <v/>
      </c>
      <c r="I1476" s="26" t="str">
        <f t="shared" si="185"/>
        <v/>
      </c>
      <c r="J1476" t="str">
        <f t="shared" si="186"/>
        <v/>
      </c>
      <c r="K1476" s="26" t="str">
        <f t="shared" si="187"/>
        <v/>
      </c>
      <c r="L1476" s="26" t="str">
        <f t="shared" si="188"/>
        <v/>
      </c>
      <c r="P1476" t="e">
        <f t="shared" si="189"/>
        <v>#N/A</v>
      </c>
      <c r="Q1476" t="e">
        <f t="shared" si="190"/>
        <v>#N/A</v>
      </c>
    </row>
    <row r="1477" spans="1:17">
      <c r="A1477" s="28"/>
      <c r="B1477" s="28"/>
      <c r="C1477" s="28"/>
      <c r="D1477" s="28"/>
      <c r="E1477" s="28"/>
      <c r="F1477" s="28"/>
      <c r="G1477" s="26" t="str">
        <f t="shared" si="184"/>
        <v/>
      </c>
      <c r="H1477" s="26" t="str">
        <f t="shared" si="191"/>
        <v/>
      </c>
      <c r="I1477" s="26" t="str">
        <f t="shared" si="185"/>
        <v/>
      </c>
      <c r="J1477" t="str">
        <f t="shared" si="186"/>
        <v/>
      </c>
      <c r="K1477" s="26" t="str">
        <f t="shared" si="187"/>
        <v/>
      </c>
      <c r="L1477" s="26" t="str">
        <f t="shared" si="188"/>
        <v/>
      </c>
      <c r="P1477" t="e">
        <f t="shared" si="189"/>
        <v>#N/A</v>
      </c>
      <c r="Q1477" t="e">
        <f t="shared" si="190"/>
        <v>#N/A</v>
      </c>
    </row>
    <row r="1478" spans="1:17">
      <c r="A1478" s="28"/>
      <c r="B1478" s="28"/>
      <c r="C1478" s="28"/>
      <c r="D1478" s="28"/>
      <c r="E1478" s="28"/>
      <c r="F1478" s="28"/>
      <c r="G1478" s="26" t="str">
        <f t="shared" si="184"/>
        <v/>
      </c>
      <c r="H1478" s="26" t="str">
        <f t="shared" si="191"/>
        <v/>
      </c>
      <c r="I1478" s="26" t="str">
        <f t="shared" si="185"/>
        <v/>
      </c>
      <c r="J1478" t="str">
        <f t="shared" si="186"/>
        <v/>
      </c>
      <c r="K1478" s="26" t="str">
        <f t="shared" si="187"/>
        <v/>
      </c>
      <c r="L1478" s="26" t="str">
        <f t="shared" si="188"/>
        <v/>
      </c>
      <c r="P1478" t="e">
        <f t="shared" si="189"/>
        <v>#N/A</v>
      </c>
      <c r="Q1478" t="e">
        <f t="shared" si="190"/>
        <v>#N/A</v>
      </c>
    </row>
    <row r="1479" spans="1:17">
      <c r="A1479" s="28"/>
      <c r="B1479" s="28"/>
      <c r="C1479" s="28"/>
      <c r="D1479" s="28"/>
      <c r="E1479" s="28"/>
      <c r="F1479" s="28"/>
      <c r="G1479" s="26" t="str">
        <f t="shared" si="184"/>
        <v/>
      </c>
      <c r="H1479" s="26" t="str">
        <f t="shared" si="191"/>
        <v/>
      </c>
      <c r="I1479" s="26" t="str">
        <f t="shared" si="185"/>
        <v/>
      </c>
      <c r="J1479" t="str">
        <f t="shared" si="186"/>
        <v/>
      </c>
      <c r="K1479" s="26" t="str">
        <f t="shared" si="187"/>
        <v/>
      </c>
      <c r="L1479" s="26" t="str">
        <f t="shared" si="188"/>
        <v/>
      </c>
      <c r="P1479" t="e">
        <f t="shared" si="189"/>
        <v>#N/A</v>
      </c>
      <c r="Q1479" t="e">
        <f t="shared" si="190"/>
        <v>#N/A</v>
      </c>
    </row>
    <row r="1480" spans="1:17">
      <c r="A1480" s="28"/>
      <c r="B1480" s="28"/>
      <c r="C1480" s="28"/>
      <c r="D1480" s="28"/>
      <c r="E1480" s="28"/>
      <c r="F1480" s="28"/>
      <c r="G1480" s="26" t="str">
        <f t="shared" si="184"/>
        <v/>
      </c>
      <c r="H1480" s="26" t="str">
        <f t="shared" si="191"/>
        <v/>
      </c>
      <c r="I1480" s="26" t="str">
        <f t="shared" si="185"/>
        <v/>
      </c>
      <c r="J1480" t="str">
        <f t="shared" si="186"/>
        <v/>
      </c>
      <c r="K1480" s="26" t="str">
        <f t="shared" si="187"/>
        <v/>
      </c>
      <c r="L1480" s="26" t="str">
        <f t="shared" si="188"/>
        <v/>
      </c>
      <c r="P1480" t="e">
        <f t="shared" si="189"/>
        <v>#N/A</v>
      </c>
      <c r="Q1480" t="e">
        <f t="shared" si="190"/>
        <v>#N/A</v>
      </c>
    </row>
    <row r="1481" spans="1:17">
      <c r="A1481" s="28"/>
      <c r="B1481" s="28"/>
      <c r="C1481" s="28"/>
      <c r="D1481" s="28"/>
      <c r="E1481" s="28"/>
      <c r="F1481" s="28"/>
      <c r="G1481" s="26" t="str">
        <f t="shared" si="184"/>
        <v/>
      </c>
      <c r="H1481" s="26" t="str">
        <f t="shared" si="191"/>
        <v/>
      </c>
      <c r="I1481" s="26" t="str">
        <f t="shared" si="185"/>
        <v/>
      </c>
      <c r="J1481" t="str">
        <f t="shared" si="186"/>
        <v/>
      </c>
      <c r="K1481" s="26" t="str">
        <f t="shared" si="187"/>
        <v/>
      </c>
      <c r="L1481" s="26" t="str">
        <f t="shared" si="188"/>
        <v/>
      </c>
      <c r="P1481" t="e">
        <f t="shared" si="189"/>
        <v>#N/A</v>
      </c>
      <c r="Q1481" t="e">
        <f t="shared" si="190"/>
        <v>#N/A</v>
      </c>
    </row>
    <row r="1482" spans="1:17">
      <c r="A1482" s="28"/>
      <c r="B1482" s="28"/>
      <c r="C1482" s="28"/>
      <c r="D1482" s="28"/>
      <c r="E1482" s="28"/>
      <c r="F1482" s="28"/>
      <c r="G1482" s="26" t="str">
        <f t="shared" si="184"/>
        <v/>
      </c>
      <c r="H1482" s="26" t="str">
        <f t="shared" si="191"/>
        <v/>
      </c>
      <c r="I1482" s="26" t="str">
        <f t="shared" si="185"/>
        <v/>
      </c>
      <c r="J1482" t="str">
        <f t="shared" si="186"/>
        <v/>
      </c>
      <c r="K1482" s="26" t="str">
        <f t="shared" si="187"/>
        <v/>
      </c>
      <c r="L1482" s="26" t="str">
        <f t="shared" si="188"/>
        <v/>
      </c>
      <c r="P1482" t="e">
        <f t="shared" si="189"/>
        <v>#N/A</v>
      </c>
      <c r="Q1482" t="e">
        <f t="shared" si="190"/>
        <v>#N/A</v>
      </c>
    </row>
    <row r="1483" spans="1:17">
      <c r="A1483" s="28"/>
      <c r="B1483" s="28"/>
      <c r="C1483" s="28"/>
      <c r="D1483" s="28"/>
      <c r="E1483" s="28"/>
      <c r="F1483" s="28"/>
      <c r="G1483" s="26" t="str">
        <f t="shared" si="184"/>
        <v/>
      </c>
      <c r="H1483" s="26" t="str">
        <f t="shared" si="191"/>
        <v/>
      </c>
      <c r="I1483" s="26" t="str">
        <f t="shared" si="185"/>
        <v/>
      </c>
      <c r="J1483" t="str">
        <f t="shared" si="186"/>
        <v/>
      </c>
      <c r="K1483" s="26" t="str">
        <f t="shared" si="187"/>
        <v/>
      </c>
      <c r="L1483" s="26" t="str">
        <f t="shared" si="188"/>
        <v/>
      </c>
      <c r="P1483" t="e">
        <f t="shared" si="189"/>
        <v>#N/A</v>
      </c>
      <c r="Q1483" t="e">
        <f t="shared" si="190"/>
        <v>#N/A</v>
      </c>
    </row>
    <row r="1484" spans="1:17">
      <c r="A1484" s="28"/>
      <c r="B1484" s="28"/>
      <c r="C1484" s="28"/>
      <c r="D1484" s="28"/>
      <c r="E1484" s="28"/>
      <c r="F1484" s="28"/>
      <c r="G1484" s="26" t="str">
        <f t="shared" si="184"/>
        <v/>
      </c>
      <c r="H1484" s="26" t="str">
        <f t="shared" si="191"/>
        <v/>
      </c>
      <c r="I1484" s="26" t="str">
        <f t="shared" si="185"/>
        <v/>
      </c>
      <c r="J1484" t="str">
        <f t="shared" si="186"/>
        <v/>
      </c>
      <c r="K1484" s="26" t="str">
        <f t="shared" si="187"/>
        <v/>
      </c>
      <c r="L1484" s="26" t="str">
        <f t="shared" si="188"/>
        <v/>
      </c>
      <c r="P1484" t="e">
        <f t="shared" si="189"/>
        <v>#N/A</v>
      </c>
      <c r="Q1484" t="e">
        <f t="shared" si="190"/>
        <v>#N/A</v>
      </c>
    </row>
    <row r="1485" spans="1:17">
      <c r="A1485" s="28"/>
      <c r="B1485" s="28"/>
      <c r="C1485" s="28"/>
      <c r="D1485" s="28"/>
      <c r="E1485" s="28"/>
      <c r="F1485" s="28"/>
      <c r="G1485" s="26" t="str">
        <f t="shared" si="184"/>
        <v/>
      </c>
      <c r="H1485" s="26" t="str">
        <f t="shared" si="191"/>
        <v/>
      </c>
      <c r="I1485" s="26" t="str">
        <f t="shared" si="185"/>
        <v/>
      </c>
      <c r="J1485" t="str">
        <f t="shared" si="186"/>
        <v/>
      </c>
      <c r="K1485" s="26" t="str">
        <f t="shared" si="187"/>
        <v/>
      </c>
      <c r="L1485" s="26" t="str">
        <f t="shared" si="188"/>
        <v/>
      </c>
      <c r="P1485" t="e">
        <f t="shared" si="189"/>
        <v>#N/A</v>
      </c>
      <c r="Q1485" t="e">
        <f t="shared" si="190"/>
        <v>#N/A</v>
      </c>
    </row>
    <row r="1486" spans="1:17">
      <c r="A1486" s="28"/>
      <c r="B1486" s="28"/>
      <c r="C1486" s="28"/>
      <c r="D1486" s="28"/>
      <c r="E1486" s="28"/>
      <c r="F1486" s="28"/>
      <c r="G1486" s="26" t="str">
        <f t="shared" si="184"/>
        <v/>
      </c>
      <c r="H1486" s="26" t="str">
        <f t="shared" si="191"/>
        <v/>
      </c>
      <c r="I1486" s="26" t="str">
        <f t="shared" si="185"/>
        <v/>
      </c>
      <c r="J1486" t="str">
        <f t="shared" si="186"/>
        <v/>
      </c>
      <c r="K1486" s="26" t="str">
        <f t="shared" si="187"/>
        <v/>
      </c>
      <c r="L1486" s="26" t="str">
        <f t="shared" si="188"/>
        <v/>
      </c>
      <c r="P1486" t="e">
        <f t="shared" si="189"/>
        <v>#N/A</v>
      </c>
      <c r="Q1486" t="e">
        <f t="shared" si="190"/>
        <v>#N/A</v>
      </c>
    </row>
    <row r="1487" spans="1:17">
      <c r="A1487" s="28"/>
      <c r="B1487" s="28"/>
      <c r="C1487" s="28"/>
      <c r="D1487" s="28"/>
      <c r="E1487" s="28"/>
      <c r="F1487" s="28"/>
      <c r="G1487" s="26" t="str">
        <f t="shared" si="184"/>
        <v/>
      </c>
      <c r="H1487" s="26" t="str">
        <f t="shared" si="191"/>
        <v/>
      </c>
      <c r="I1487" s="26" t="str">
        <f t="shared" si="185"/>
        <v/>
      </c>
      <c r="J1487" t="str">
        <f t="shared" si="186"/>
        <v/>
      </c>
      <c r="K1487" s="26" t="str">
        <f t="shared" si="187"/>
        <v/>
      </c>
      <c r="L1487" s="26" t="str">
        <f t="shared" si="188"/>
        <v/>
      </c>
      <c r="P1487" t="e">
        <f t="shared" si="189"/>
        <v>#N/A</v>
      </c>
      <c r="Q1487" t="e">
        <f t="shared" si="190"/>
        <v>#N/A</v>
      </c>
    </row>
    <row r="1488" spans="1:17">
      <c r="A1488" s="28"/>
      <c r="B1488" s="28"/>
      <c r="C1488" s="28"/>
      <c r="D1488" s="28"/>
      <c r="E1488" s="28"/>
      <c r="F1488" s="28"/>
      <c r="G1488" s="26" t="str">
        <f t="shared" si="184"/>
        <v/>
      </c>
      <c r="H1488" s="26" t="str">
        <f t="shared" si="191"/>
        <v/>
      </c>
      <c r="I1488" s="26" t="str">
        <f t="shared" si="185"/>
        <v/>
      </c>
      <c r="J1488" t="str">
        <f t="shared" si="186"/>
        <v/>
      </c>
      <c r="K1488" s="26" t="str">
        <f t="shared" si="187"/>
        <v/>
      </c>
      <c r="L1488" s="26" t="str">
        <f t="shared" si="188"/>
        <v/>
      </c>
      <c r="P1488" t="e">
        <f t="shared" si="189"/>
        <v>#N/A</v>
      </c>
      <c r="Q1488" t="e">
        <f t="shared" si="190"/>
        <v>#N/A</v>
      </c>
    </row>
    <row r="1489" spans="1:17">
      <c r="A1489" s="28"/>
      <c r="B1489" s="28"/>
      <c r="C1489" s="28"/>
      <c r="D1489" s="28"/>
      <c r="E1489" s="28"/>
      <c r="F1489" s="28"/>
      <c r="G1489" s="26" t="str">
        <f t="shared" si="184"/>
        <v/>
      </c>
      <c r="H1489" s="26" t="str">
        <f t="shared" si="191"/>
        <v/>
      </c>
      <c r="I1489" s="26" t="str">
        <f t="shared" si="185"/>
        <v/>
      </c>
      <c r="J1489" t="str">
        <f t="shared" si="186"/>
        <v/>
      </c>
      <c r="K1489" s="26" t="str">
        <f t="shared" si="187"/>
        <v/>
      </c>
      <c r="L1489" s="26" t="str">
        <f t="shared" si="188"/>
        <v/>
      </c>
      <c r="P1489" t="e">
        <f t="shared" si="189"/>
        <v>#N/A</v>
      </c>
      <c r="Q1489" t="e">
        <f t="shared" si="190"/>
        <v>#N/A</v>
      </c>
    </row>
    <row r="1490" spans="1:17">
      <c r="A1490" s="28"/>
      <c r="B1490" s="28"/>
      <c r="C1490" s="28"/>
      <c r="D1490" s="28"/>
      <c r="E1490" s="28"/>
      <c r="F1490" s="28"/>
      <c r="G1490" s="26" t="str">
        <f t="shared" si="184"/>
        <v/>
      </c>
      <c r="H1490" s="26" t="str">
        <f t="shared" si="191"/>
        <v/>
      </c>
      <c r="I1490" s="26" t="str">
        <f t="shared" si="185"/>
        <v/>
      </c>
      <c r="J1490" t="str">
        <f t="shared" si="186"/>
        <v/>
      </c>
      <c r="K1490" s="26" t="str">
        <f t="shared" si="187"/>
        <v/>
      </c>
      <c r="L1490" s="26" t="str">
        <f t="shared" si="188"/>
        <v/>
      </c>
      <c r="P1490" t="e">
        <f t="shared" si="189"/>
        <v>#N/A</v>
      </c>
      <c r="Q1490" t="e">
        <f t="shared" si="190"/>
        <v>#N/A</v>
      </c>
    </row>
    <row r="1491" spans="1:17">
      <c r="A1491" s="28"/>
      <c r="B1491" s="28"/>
      <c r="C1491" s="28"/>
      <c r="D1491" s="28"/>
      <c r="E1491" s="28"/>
      <c r="F1491" s="28"/>
      <c r="G1491" s="26" t="str">
        <f t="shared" si="184"/>
        <v/>
      </c>
      <c r="H1491" s="26" t="str">
        <f t="shared" si="191"/>
        <v/>
      </c>
      <c r="I1491" s="26" t="str">
        <f t="shared" si="185"/>
        <v/>
      </c>
      <c r="J1491" t="str">
        <f t="shared" si="186"/>
        <v/>
      </c>
      <c r="K1491" s="26" t="str">
        <f t="shared" si="187"/>
        <v/>
      </c>
      <c r="L1491" s="26" t="str">
        <f t="shared" si="188"/>
        <v/>
      </c>
      <c r="P1491" t="e">
        <f t="shared" si="189"/>
        <v>#N/A</v>
      </c>
      <c r="Q1491" t="e">
        <f t="shared" si="190"/>
        <v>#N/A</v>
      </c>
    </row>
    <row r="1492" spans="1:17">
      <c r="A1492" s="28"/>
      <c r="B1492" s="28"/>
      <c r="C1492" s="28"/>
      <c r="D1492" s="28"/>
      <c r="E1492" s="28"/>
      <c r="F1492" s="28"/>
      <c r="G1492" s="26" t="str">
        <f t="shared" si="184"/>
        <v/>
      </c>
      <c r="H1492" s="26" t="str">
        <f t="shared" si="191"/>
        <v/>
      </c>
      <c r="I1492" s="26" t="str">
        <f t="shared" si="185"/>
        <v/>
      </c>
      <c r="J1492" t="str">
        <f t="shared" si="186"/>
        <v/>
      </c>
      <c r="K1492" s="26" t="str">
        <f t="shared" si="187"/>
        <v/>
      </c>
      <c r="L1492" s="26" t="str">
        <f t="shared" si="188"/>
        <v/>
      </c>
      <c r="P1492" t="e">
        <f t="shared" si="189"/>
        <v>#N/A</v>
      </c>
      <c r="Q1492" t="e">
        <f t="shared" si="190"/>
        <v>#N/A</v>
      </c>
    </row>
    <row r="1493" spans="1:17">
      <c r="A1493" s="28"/>
      <c r="B1493" s="28"/>
      <c r="C1493" s="28"/>
      <c r="D1493" s="28"/>
      <c r="E1493" s="28"/>
      <c r="F1493" s="28"/>
      <c r="G1493" s="26" t="str">
        <f t="shared" si="184"/>
        <v/>
      </c>
      <c r="H1493" s="26" t="str">
        <f t="shared" si="191"/>
        <v/>
      </c>
      <c r="I1493" s="26" t="str">
        <f t="shared" si="185"/>
        <v/>
      </c>
      <c r="J1493" t="str">
        <f t="shared" si="186"/>
        <v/>
      </c>
      <c r="K1493" s="26" t="str">
        <f t="shared" si="187"/>
        <v/>
      </c>
      <c r="L1493" s="26" t="str">
        <f t="shared" si="188"/>
        <v/>
      </c>
      <c r="P1493" t="e">
        <f t="shared" si="189"/>
        <v>#N/A</v>
      </c>
      <c r="Q1493" t="e">
        <f t="shared" si="190"/>
        <v>#N/A</v>
      </c>
    </row>
    <row r="1494" spans="1:17">
      <c r="A1494" s="28"/>
      <c r="B1494" s="28"/>
      <c r="C1494" s="28"/>
      <c r="D1494" s="28"/>
      <c r="E1494" s="28"/>
      <c r="F1494" s="28"/>
      <c r="G1494" s="26" t="str">
        <f t="shared" si="184"/>
        <v/>
      </c>
      <c r="H1494" s="26" t="str">
        <f t="shared" si="191"/>
        <v/>
      </c>
      <c r="I1494" s="26" t="str">
        <f t="shared" si="185"/>
        <v/>
      </c>
      <c r="J1494" t="str">
        <f t="shared" si="186"/>
        <v/>
      </c>
      <c r="K1494" s="26" t="str">
        <f t="shared" si="187"/>
        <v/>
      </c>
      <c r="L1494" s="26" t="str">
        <f t="shared" si="188"/>
        <v/>
      </c>
      <c r="P1494" t="e">
        <f t="shared" si="189"/>
        <v>#N/A</v>
      </c>
      <c r="Q1494" t="e">
        <f t="shared" si="190"/>
        <v>#N/A</v>
      </c>
    </row>
    <row r="1495" spans="1:17">
      <c r="A1495" s="28"/>
      <c r="B1495" s="28"/>
      <c r="C1495" s="28"/>
      <c r="D1495" s="28"/>
      <c r="E1495" s="28"/>
      <c r="F1495" s="28"/>
      <c r="G1495" s="26" t="str">
        <f t="shared" si="184"/>
        <v/>
      </c>
      <c r="H1495" s="26" t="str">
        <f t="shared" si="191"/>
        <v/>
      </c>
      <c r="I1495" s="26" t="str">
        <f t="shared" si="185"/>
        <v/>
      </c>
      <c r="J1495" t="str">
        <f t="shared" si="186"/>
        <v/>
      </c>
      <c r="K1495" s="26" t="str">
        <f t="shared" si="187"/>
        <v/>
      </c>
      <c r="L1495" s="26" t="str">
        <f t="shared" si="188"/>
        <v/>
      </c>
      <c r="P1495" t="e">
        <f t="shared" si="189"/>
        <v>#N/A</v>
      </c>
      <c r="Q1495" t="e">
        <f t="shared" si="190"/>
        <v>#N/A</v>
      </c>
    </row>
    <row r="1496" spans="1:17">
      <c r="A1496" s="28"/>
      <c r="B1496" s="28"/>
      <c r="C1496" s="28"/>
      <c r="D1496" s="28"/>
      <c r="E1496" s="28"/>
      <c r="F1496" s="28"/>
      <c r="G1496" s="26" t="str">
        <f t="shared" si="184"/>
        <v/>
      </c>
      <c r="H1496" s="26" t="str">
        <f t="shared" si="191"/>
        <v/>
      </c>
      <c r="I1496" s="26" t="str">
        <f t="shared" si="185"/>
        <v/>
      </c>
      <c r="J1496" t="str">
        <f t="shared" si="186"/>
        <v/>
      </c>
      <c r="K1496" s="26" t="str">
        <f t="shared" si="187"/>
        <v/>
      </c>
      <c r="L1496" s="26" t="str">
        <f t="shared" si="188"/>
        <v/>
      </c>
      <c r="P1496" t="e">
        <f t="shared" si="189"/>
        <v>#N/A</v>
      </c>
      <c r="Q1496" t="e">
        <f t="shared" si="190"/>
        <v>#N/A</v>
      </c>
    </row>
    <row r="1497" spans="1:17">
      <c r="A1497" s="28"/>
      <c r="B1497" s="28"/>
      <c r="C1497" s="28"/>
      <c r="D1497" s="28"/>
      <c r="E1497" s="28"/>
      <c r="F1497" s="28"/>
      <c r="G1497" s="26" t="str">
        <f t="shared" si="184"/>
        <v/>
      </c>
      <c r="H1497" s="26" t="str">
        <f t="shared" si="191"/>
        <v/>
      </c>
      <c r="I1497" s="26" t="str">
        <f t="shared" si="185"/>
        <v/>
      </c>
      <c r="J1497" t="str">
        <f t="shared" si="186"/>
        <v/>
      </c>
      <c r="K1497" s="26" t="str">
        <f t="shared" si="187"/>
        <v/>
      </c>
      <c r="L1497" s="26" t="str">
        <f t="shared" si="188"/>
        <v/>
      </c>
      <c r="P1497" t="e">
        <f t="shared" si="189"/>
        <v>#N/A</v>
      </c>
      <c r="Q1497" t="e">
        <f t="shared" si="190"/>
        <v>#N/A</v>
      </c>
    </row>
    <row r="1498" spans="1:17">
      <c r="A1498" s="28"/>
      <c r="B1498" s="28"/>
      <c r="C1498" s="28"/>
      <c r="D1498" s="28"/>
      <c r="E1498" s="28"/>
      <c r="F1498" s="28"/>
      <c r="G1498" s="26" t="str">
        <f t="shared" si="184"/>
        <v/>
      </c>
      <c r="H1498" s="26" t="str">
        <f t="shared" si="191"/>
        <v/>
      </c>
      <c r="I1498" s="26" t="str">
        <f t="shared" si="185"/>
        <v/>
      </c>
      <c r="J1498" t="str">
        <f t="shared" si="186"/>
        <v/>
      </c>
      <c r="K1498" s="26" t="str">
        <f t="shared" si="187"/>
        <v/>
      </c>
      <c r="L1498" s="26" t="str">
        <f t="shared" si="188"/>
        <v/>
      </c>
      <c r="P1498" t="e">
        <f t="shared" si="189"/>
        <v>#N/A</v>
      </c>
      <c r="Q1498" t="e">
        <f t="shared" si="190"/>
        <v>#N/A</v>
      </c>
    </row>
    <row r="1499" spans="1:17">
      <c r="A1499" s="28"/>
      <c r="B1499" s="28"/>
      <c r="C1499" s="28"/>
      <c r="D1499" s="28"/>
      <c r="E1499" s="28"/>
      <c r="F1499" s="28"/>
      <c r="G1499" s="26" t="str">
        <f t="shared" si="184"/>
        <v/>
      </c>
      <c r="H1499" s="26" t="str">
        <f t="shared" si="191"/>
        <v/>
      </c>
      <c r="I1499" s="26" t="str">
        <f t="shared" si="185"/>
        <v/>
      </c>
      <c r="J1499" t="str">
        <f t="shared" si="186"/>
        <v/>
      </c>
      <c r="K1499" s="26" t="str">
        <f t="shared" si="187"/>
        <v/>
      </c>
      <c r="L1499" s="26" t="str">
        <f t="shared" si="188"/>
        <v/>
      </c>
      <c r="P1499" t="e">
        <f t="shared" si="189"/>
        <v>#N/A</v>
      </c>
      <c r="Q1499" t="e">
        <f t="shared" si="190"/>
        <v>#N/A</v>
      </c>
    </row>
    <row r="1500" spans="1:17">
      <c r="A1500" s="28"/>
      <c r="B1500" s="28"/>
      <c r="C1500" s="28"/>
      <c r="D1500" s="28"/>
      <c r="E1500" s="28"/>
      <c r="F1500" s="28"/>
      <c r="G1500" s="26" t="str">
        <f t="shared" si="184"/>
        <v/>
      </c>
      <c r="H1500" s="26" t="str">
        <f t="shared" si="191"/>
        <v/>
      </c>
      <c r="I1500" s="26" t="str">
        <f t="shared" si="185"/>
        <v/>
      </c>
      <c r="J1500" t="str">
        <f t="shared" si="186"/>
        <v/>
      </c>
      <c r="K1500" s="26" t="str">
        <f t="shared" si="187"/>
        <v/>
      </c>
      <c r="L1500" s="26" t="str">
        <f t="shared" si="188"/>
        <v/>
      </c>
      <c r="P1500" t="e">
        <f t="shared" si="189"/>
        <v>#N/A</v>
      </c>
      <c r="Q1500" t="e">
        <f t="shared" si="190"/>
        <v>#N/A</v>
      </c>
    </row>
    <row r="1501" spans="1:17">
      <c r="A1501" s="28"/>
      <c r="B1501" s="28"/>
      <c r="C1501" s="28"/>
      <c r="D1501" s="28"/>
      <c r="E1501" s="28"/>
      <c r="F1501" s="28"/>
      <c r="G1501" s="26" t="str">
        <f t="shared" si="184"/>
        <v/>
      </c>
      <c r="H1501" s="26" t="str">
        <f t="shared" si="191"/>
        <v/>
      </c>
      <c r="I1501" s="26" t="str">
        <f t="shared" si="185"/>
        <v/>
      </c>
      <c r="J1501" t="str">
        <f t="shared" si="186"/>
        <v/>
      </c>
      <c r="K1501" s="26" t="str">
        <f t="shared" si="187"/>
        <v/>
      </c>
      <c r="L1501" s="26" t="str">
        <f t="shared" si="188"/>
        <v/>
      </c>
      <c r="P1501" t="e">
        <f t="shared" si="189"/>
        <v>#N/A</v>
      </c>
      <c r="Q1501" t="e">
        <f t="shared" si="190"/>
        <v>#N/A</v>
      </c>
    </row>
    <row r="1502" spans="1:17">
      <c r="A1502" s="28"/>
      <c r="B1502" s="28"/>
      <c r="C1502" s="28"/>
      <c r="D1502" s="28"/>
      <c r="E1502" s="28"/>
      <c r="F1502" s="28"/>
      <c r="G1502" s="26" t="str">
        <f t="shared" si="184"/>
        <v/>
      </c>
      <c r="H1502" s="26" t="str">
        <f t="shared" si="191"/>
        <v/>
      </c>
      <c r="I1502" s="26" t="str">
        <f t="shared" si="185"/>
        <v/>
      </c>
      <c r="J1502" t="str">
        <f t="shared" si="186"/>
        <v/>
      </c>
      <c r="K1502" s="26" t="str">
        <f t="shared" si="187"/>
        <v/>
      </c>
      <c r="L1502" s="26" t="str">
        <f t="shared" si="188"/>
        <v/>
      </c>
      <c r="P1502" t="e">
        <f t="shared" si="189"/>
        <v>#N/A</v>
      </c>
      <c r="Q1502" t="e">
        <f t="shared" si="190"/>
        <v>#N/A</v>
      </c>
    </row>
    <row r="1503" spans="1:17">
      <c r="A1503" s="28"/>
      <c r="B1503" s="28"/>
      <c r="C1503" s="28"/>
      <c r="D1503" s="28"/>
      <c r="E1503" s="28"/>
      <c r="F1503" s="28"/>
      <c r="G1503" s="26" t="str">
        <f t="shared" si="184"/>
        <v/>
      </c>
      <c r="H1503" s="26" t="str">
        <f t="shared" si="191"/>
        <v/>
      </c>
      <c r="I1503" s="26" t="str">
        <f t="shared" si="185"/>
        <v/>
      </c>
      <c r="J1503" t="str">
        <f t="shared" si="186"/>
        <v/>
      </c>
      <c r="K1503" s="26" t="str">
        <f t="shared" si="187"/>
        <v/>
      </c>
      <c r="L1503" s="26" t="str">
        <f t="shared" si="188"/>
        <v/>
      </c>
      <c r="P1503" t="e">
        <f t="shared" si="189"/>
        <v>#N/A</v>
      </c>
      <c r="Q1503" t="e">
        <f t="shared" si="190"/>
        <v>#N/A</v>
      </c>
    </row>
    <row r="1504" spans="1:17">
      <c r="A1504" s="28"/>
      <c r="B1504" s="28"/>
      <c r="C1504" s="28"/>
      <c r="D1504" s="28"/>
      <c r="E1504" s="28"/>
      <c r="F1504" s="28"/>
      <c r="G1504" s="26" t="str">
        <f t="shared" si="184"/>
        <v/>
      </c>
      <c r="H1504" s="26" t="str">
        <f t="shared" si="191"/>
        <v/>
      </c>
      <c r="I1504" s="26" t="str">
        <f t="shared" si="185"/>
        <v/>
      </c>
      <c r="J1504" t="str">
        <f t="shared" si="186"/>
        <v/>
      </c>
      <c r="K1504" s="26" t="str">
        <f t="shared" si="187"/>
        <v/>
      </c>
      <c r="L1504" s="26" t="str">
        <f t="shared" si="188"/>
        <v/>
      </c>
      <c r="P1504" t="e">
        <f t="shared" si="189"/>
        <v>#N/A</v>
      </c>
      <c r="Q1504" t="e">
        <f t="shared" si="190"/>
        <v>#N/A</v>
      </c>
    </row>
    <row r="1505" spans="1:17">
      <c r="A1505" s="28"/>
      <c r="B1505" s="28"/>
      <c r="C1505" s="28"/>
      <c r="D1505" s="28"/>
      <c r="E1505" s="28"/>
      <c r="F1505" s="28"/>
      <c r="G1505" s="26" t="str">
        <f t="shared" si="184"/>
        <v/>
      </c>
      <c r="H1505" s="26" t="str">
        <f t="shared" si="191"/>
        <v/>
      </c>
      <c r="I1505" s="26" t="str">
        <f t="shared" si="185"/>
        <v/>
      </c>
      <c r="J1505" t="str">
        <f t="shared" si="186"/>
        <v/>
      </c>
      <c r="K1505" s="26" t="str">
        <f t="shared" si="187"/>
        <v/>
      </c>
      <c r="L1505" s="26" t="str">
        <f t="shared" si="188"/>
        <v/>
      </c>
      <c r="P1505" t="e">
        <f t="shared" si="189"/>
        <v>#N/A</v>
      </c>
      <c r="Q1505" t="e">
        <f t="shared" si="190"/>
        <v>#N/A</v>
      </c>
    </row>
    <row r="1506" spans="1:17">
      <c r="A1506" s="28"/>
      <c r="B1506" s="28"/>
      <c r="C1506" s="28"/>
      <c r="D1506" s="28"/>
      <c r="E1506" s="28"/>
      <c r="F1506" s="28"/>
      <c r="G1506" s="26" t="str">
        <f t="shared" si="184"/>
        <v/>
      </c>
      <c r="H1506" s="26" t="str">
        <f t="shared" si="191"/>
        <v/>
      </c>
      <c r="I1506" s="26" t="str">
        <f t="shared" si="185"/>
        <v/>
      </c>
      <c r="J1506" t="str">
        <f t="shared" si="186"/>
        <v/>
      </c>
      <c r="K1506" s="26" t="str">
        <f t="shared" si="187"/>
        <v/>
      </c>
      <c r="L1506" s="26" t="str">
        <f t="shared" si="188"/>
        <v/>
      </c>
      <c r="P1506" t="e">
        <f t="shared" si="189"/>
        <v>#N/A</v>
      </c>
      <c r="Q1506" t="e">
        <f t="shared" si="190"/>
        <v>#N/A</v>
      </c>
    </row>
    <row r="1507" spans="1:17">
      <c r="A1507" s="28"/>
      <c r="B1507" s="28"/>
      <c r="C1507" s="28"/>
      <c r="D1507" s="28"/>
      <c r="E1507" s="28"/>
      <c r="F1507" s="28"/>
      <c r="G1507" s="26" t="str">
        <f t="shared" si="184"/>
        <v/>
      </c>
      <c r="H1507" s="26" t="str">
        <f t="shared" si="191"/>
        <v/>
      </c>
      <c r="I1507" s="26" t="str">
        <f t="shared" si="185"/>
        <v/>
      </c>
      <c r="J1507" t="str">
        <f t="shared" si="186"/>
        <v/>
      </c>
      <c r="K1507" s="26" t="str">
        <f t="shared" si="187"/>
        <v/>
      </c>
      <c r="L1507" s="26" t="str">
        <f t="shared" si="188"/>
        <v/>
      </c>
      <c r="P1507" t="e">
        <f t="shared" si="189"/>
        <v>#N/A</v>
      </c>
      <c r="Q1507" t="e">
        <f t="shared" si="190"/>
        <v>#N/A</v>
      </c>
    </row>
    <row r="1508" spans="1:17">
      <c r="A1508" s="28"/>
      <c r="B1508" s="28"/>
      <c r="C1508" s="28"/>
      <c r="D1508" s="28"/>
      <c r="E1508" s="28"/>
      <c r="F1508" s="28"/>
      <c r="G1508" s="26" t="str">
        <f t="shared" si="184"/>
        <v/>
      </c>
      <c r="H1508" s="26" t="str">
        <f t="shared" si="191"/>
        <v/>
      </c>
      <c r="I1508" s="26" t="str">
        <f t="shared" si="185"/>
        <v/>
      </c>
      <c r="J1508" t="str">
        <f t="shared" si="186"/>
        <v/>
      </c>
      <c r="K1508" s="26" t="str">
        <f t="shared" si="187"/>
        <v/>
      </c>
      <c r="L1508" s="26" t="str">
        <f t="shared" si="188"/>
        <v/>
      </c>
      <c r="P1508" t="e">
        <f t="shared" si="189"/>
        <v>#N/A</v>
      </c>
      <c r="Q1508" t="e">
        <f t="shared" si="190"/>
        <v>#N/A</v>
      </c>
    </row>
    <row r="1509" spans="1:17">
      <c r="A1509" s="28"/>
      <c r="B1509" s="28"/>
      <c r="C1509" s="28"/>
      <c r="D1509" s="28"/>
      <c r="E1509" s="28"/>
      <c r="F1509" s="28"/>
      <c r="G1509" s="26" t="str">
        <f t="shared" si="184"/>
        <v/>
      </c>
      <c r="H1509" s="26" t="str">
        <f t="shared" si="191"/>
        <v/>
      </c>
      <c r="I1509" s="26" t="str">
        <f t="shared" si="185"/>
        <v/>
      </c>
      <c r="J1509" t="str">
        <f t="shared" si="186"/>
        <v/>
      </c>
      <c r="K1509" s="26" t="str">
        <f t="shared" si="187"/>
        <v/>
      </c>
      <c r="L1509" s="26" t="str">
        <f t="shared" si="188"/>
        <v/>
      </c>
      <c r="P1509" t="e">
        <f t="shared" si="189"/>
        <v>#N/A</v>
      </c>
      <c r="Q1509" t="e">
        <f t="shared" si="190"/>
        <v>#N/A</v>
      </c>
    </row>
    <row r="1510" spans="1:17">
      <c r="A1510" s="28"/>
      <c r="B1510" s="28"/>
      <c r="C1510" s="28"/>
      <c r="D1510" s="28"/>
      <c r="E1510" s="28"/>
      <c r="F1510" s="28"/>
      <c r="G1510" s="26" t="str">
        <f t="shared" si="184"/>
        <v/>
      </c>
      <c r="H1510" s="26" t="str">
        <f t="shared" si="191"/>
        <v/>
      </c>
      <c r="I1510" s="26" t="str">
        <f t="shared" si="185"/>
        <v/>
      </c>
      <c r="J1510" t="str">
        <f t="shared" si="186"/>
        <v/>
      </c>
      <c r="K1510" s="26" t="str">
        <f t="shared" si="187"/>
        <v/>
      </c>
      <c r="L1510" s="26" t="str">
        <f t="shared" si="188"/>
        <v/>
      </c>
      <c r="P1510" t="e">
        <f t="shared" si="189"/>
        <v>#N/A</v>
      </c>
      <c r="Q1510" t="e">
        <f t="shared" si="190"/>
        <v>#N/A</v>
      </c>
    </row>
    <row r="1511" spans="1:17">
      <c r="A1511" s="28"/>
      <c r="B1511" s="28"/>
      <c r="C1511" s="28"/>
      <c r="D1511" s="28"/>
      <c r="E1511" s="28"/>
      <c r="F1511" s="28"/>
      <c r="G1511" s="26" t="str">
        <f t="shared" si="184"/>
        <v/>
      </c>
      <c r="H1511" s="26" t="str">
        <f t="shared" si="191"/>
        <v/>
      </c>
      <c r="I1511" s="26" t="str">
        <f t="shared" si="185"/>
        <v/>
      </c>
      <c r="J1511" t="str">
        <f t="shared" si="186"/>
        <v/>
      </c>
      <c r="K1511" s="26" t="str">
        <f t="shared" si="187"/>
        <v/>
      </c>
      <c r="L1511" s="26" t="str">
        <f t="shared" si="188"/>
        <v/>
      </c>
      <c r="P1511" t="e">
        <f t="shared" si="189"/>
        <v>#N/A</v>
      </c>
      <c r="Q1511" t="e">
        <f t="shared" si="190"/>
        <v>#N/A</v>
      </c>
    </row>
    <row r="1512" spans="1:17">
      <c r="A1512" s="28"/>
      <c r="B1512" s="28"/>
      <c r="C1512" s="28"/>
      <c r="D1512" s="28"/>
      <c r="E1512" s="28"/>
      <c r="F1512" s="28"/>
      <c r="G1512" s="26" t="str">
        <f t="shared" si="184"/>
        <v/>
      </c>
      <c r="H1512" s="26" t="str">
        <f t="shared" si="191"/>
        <v/>
      </c>
      <c r="I1512" s="26" t="str">
        <f t="shared" si="185"/>
        <v/>
      </c>
      <c r="J1512" t="str">
        <f t="shared" si="186"/>
        <v/>
      </c>
      <c r="K1512" s="26" t="str">
        <f t="shared" si="187"/>
        <v/>
      </c>
      <c r="L1512" s="26" t="str">
        <f t="shared" si="188"/>
        <v/>
      </c>
      <c r="P1512" t="e">
        <f t="shared" si="189"/>
        <v>#N/A</v>
      </c>
      <c r="Q1512" t="e">
        <f t="shared" si="190"/>
        <v>#N/A</v>
      </c>
    </row>
    <row r="1513" spans="1:17">
      <c r="A1513" s="28"/>
      <c r="B1513" s="28"/>
      <c r="C1513" s="28"/>
      <c r="D1513" s="28"/>
      <c r="E1513" s="28"/>
      <c r="F1513" s="28"/>
      <c r="G1513" s="26" t="str">
        <f t="shared" si="184"/>
        <v/>
      </c>
      <c r="H1513" s="26" t="str">
        <f t="shared" si="191"/>
        <v/>
      </c>
      <c r="I1513" s="26" t="str">
        <f t="shared" si="185"/>
        <v/>
      </c>
      <c r="J1513" t="str">
        <f t="shared" si="186"/>
        <v/>
      </c>
      <c r="K1513" s="26" t="str">
        <f t="shared" si="187"/>
        <v/>
      </c>
      <c r="L1513" s="26" t="str">
        <f t="shared" si="188"/>
        <v/>
      </c>
      <c r="P1513" t="e">
        <f t="shared" si="189"/>
        <v>#N/A</v>
      </c>
      <c r="Q1513" t="e">
        <f t="shared" si="190"/>
        <v>#N/A</v>
      </c>
    </row>
    <row r="1514" spans="1:17">
      <c r="A1514" s="28"/>
      <c r="B1514" s="28"/>
      <c r="C1514" s="28"/>
      <c r="D1514" s="28"/>
      <c r="E1514" s="28"/>
      <c r="F1514" s="28"/>
      <c r="G1514" s="26" t="str">
        <f t="shared" si="184"/>
        <v/>
      </c>
      <c r="H1514" s="26" t="str">
        <f t="shared" si="191"/>
        <v/>
      </c>
      <c r="I1514" s="26" t="str">
        <f t="shared" si="185"/>
        <v/>
      </c>
      <c r="J1514" t="str">
        <f t="shared" si="186"/>
        <v/>
      </c>
      <c r="K1514" s="26" t="str">
        <f t="shared" si="187"/>
        <v/>
      </c>
      <c r="L1514" s="26" t="str">
        <f t="shared" si="188"/>
        <v/>
      </c>
      <c r="P1514" t="e">
        <f t="shared" si="189"/>
        <v>#N/A</v>
      </c>
      <c r="Q1514" t="e">
        <f t="shared" si="190"/>
        <v>#N/A</v>
      </c>
    </row>
    <row r="1515" spans="1:17">
      <c r="A1515" s="28"/>
      <c r="B1515" s="28"/>
      <c r="C1515" s="28"/>
      <c r="D1515" s="28"/>
      <c r="E1515" s="28"/>
      <c r="F1515" s="28"/>
      <c r="G1515" s="26" t="str">
        <f t="shared" si="184"/>
        <v/>
      </c>
      <c r="H1515" s="26" t="str">
        <f t="shared" si="191"/>
        <v/>
      </c>
      <c r="I1515" s="26" t="str">
        <f t="shared" si="185"/>
        <v/>
      </c>
      <c r="J1515" t="str">
        <f t="shared" si="186"/>
        <v/>
      </c>
      <c r="K1515" s="26" t="str">
        <f t="shared" si="187"/>
        <v/>
      </c>
      <c r="L1515" s="26" t="str">
        <f t="shared" si="188"/>
        <v/>
      </c>
      <c r="P1515" t="e">
        <f t="shared" si="189"/>
        <v>#N/A</v>
      </c>
      <c r="Q1515" t="e">
        <f t="shared" si="190"/>
        <v>#N/A</v>
      </c>
    </row>
    <row r="1516" spans="1:17">
      <c r="A1516" s="28"/>
      <c r="B1516" s="28"/>
      <c r="C1516" s="28"/>
      <c r="D1516" s="28"/>
      <c r="E1516" s="28"/>
      <c r="F1516" s="28"/>
      <c r="G1516" s="26" t="str">
        <f t="shared" si="184"/>
        <v/>
      </c>
      <c r="H1516" s="26" t="str">
        <f t="shared" si="191"/>
        <v/>
      </c>
      <c r="I1516" s="26" t="str">
        <f t="shared" si="185"/>
        <v/>
      </c>
      <c r="J1516" t="str">
        <f t="shared" si="186"/>
        <v/>
      </c>
      <c r="K1516" s="26" t="str">
        <f t="shared" si="187"/>
        <v/>
      </c>
      <c r="L1516" s="26" t="str">
        <f t="shared" si="188"/>
        <v/>
      </c>
      <c r="P1516" t="e">
        <f t="shared" si="189"/>
        <v>#N/A</v>
      </c>
      <c r="Q1516" t="e">
        <f t="shared" si="190"/>
        <v>#N/A</v>
      </c>
    </row>
    <row r="1517" spans="1:17">
      <c r="A1517" s="28"/>
      <c r="B1517" s="28"/>
      <c r="C1517" s="28"/>
      <c r="D1517" s="28"/>
      <c r="E1517" s="28"/>
      <c r="F1517" s="28"/>
      <c r="G1517" s="26" t="str">
        <f t="shared" si="184"/>
        <v/>
      </c>
      <c r="H1517" s="26" t="str">
        <f t="shared" si="191"/>
        <v/>
      </c>
      <c r="I1517" s="26" t="str">
        <f t="shared" si="185"/>
        <v/>
      </c>
      <c r="J1517" t="str">
        <f t="shared" si="186"/>
        <v/>
      </c>
      <c r="K1517" s="26" t="str">
        <f t="shared" si="187"/>
        <v/>
      </c>
      <c r="L1517" s="26" t="str">
        <f t="shared" si="188"/>
        <v/>
      </c>
      <c r="P1517" t="e">
        <f t="shared" si="189"/>
        <v>#N/A</v>
      </c>
      <c r="Q1517" t="e">
        <f t="shared" si="190"/>
        <v>#N/A</v>
      </c>
    </row>
    <row r="1518" spans="1:17">
      <c r="A1518" s="28"/>
      <c r="B1518" s="28"/>
      <c r="C1518" s="28"/>
      <c r="D1518" s="28"/>
      <c r="E1518" s="28"/>
      <c r="F1518" s="28"/>
      <c r="G1518" s="26" t="str">
        <f t="shared" si="184"/>
        <v/>
      </c>
      <c r="H1518" s="26" t="str">
        <f t="shared" si="191"/>
        <v/>
      </c>
      <c r="I1518" s="26" t="str">
        <f t="shared" si="185"/>
        <v/>
      </c>
      <c r="J1518" t="str">
        <f t="shared" si="186"/>
        <v/>
      </c>
      <c r="K1518" s="26" t="str">
        <f t="shared" si="187"/>
        <v/>
      </c>
      <c r="L1518" s="26" t="str">
        <f t="shared" si="188"/>
        <v/>
      </c>
      <c r="P1518" t="e">
        <f t="shared" si="189"/>
        <v>#N/A</v>
      </c>
      <c r="Q1518" t="e">
        <f t="shared" si="190"/>
        <v>#N/A</v>
      </c>
    </row>
    <row r="1519" spans="1:17">
      <c r="A1519" s="28"/>
      <c r="B1519" s="28"/>
      <c r="C1519" s="28"/>
      <c r="D1519" s="28"/>
      <c r="E1519" s="28"/>
      <c r="F1519" s="28"/>
      <c r="G1519" s="26" t="str">
        <f t="shared" si="184"/>
        <v/>
      </c>
      <c r="H1519" s="26" t="str">
        <f t="shared" si="191"/>
        <v/>
      </c>
      <c r="I1519" s="26" t="str">
        <f t="shared" si="185"/>
        <v/>
      </c>
      <c r="J1519" t="str">
        <f t="shared" si="186"/>
        <v/>
      </c>
      <c r="K1519" s="26" t="str">
        <f t="shared" si="187"/>
        <v/>
      </c>
      <c r="L1519" s="26" t="str">
        <f t="shared" si="188"/>
        <v/>
      </c>
      <c r="P1519" t="e">
        <f t="shared" si="189"/>
        <v>#N/A</v>
      </c>
      <c r="Q1519" t="e">
        <f t="shared" si="190"/>
        <v>#N/A</v>
      </c>
    </row>
    <row r="1520" spans="1:17">
      <c r="A1520" s="28"/>
      <c r="B1520" s="28"/>
      <c r="C1520" s="28"/>
      <c r="D1520" s="28"/>
      <c r="E1520" s="28"/>
      <c r="F1520" s="28"/>
      <c r="G1520" s="26" t="str">
        <f t="shared" si="184"/>
        <v/>
      </c>
      <c r="H1520" s="26" t="str">
        <f t="shared" si="191"/>
        <v/>
      </c>
      <c r="I1520" s="26" t="str">
        <f t="shared" si="185"/>
        <v/>
      </c>
      <c r="J1520" t="str">
        <f t="shared" si="186"/>
        <v/>
      </c>
      <c r="K1520" s="26" t="str">
        <f t="shared" si="187"/>
        <v/>
      </c>
      <c r="L1520" s="26" t="str">
        <f t="shared" si="188"/>
        <v/>
      </c>
      <c r="P1520" t="e">
        <f t="shared" si="189"/>
        <v>#N/A</v>
      </c>
      <c r="Q1520" t="e">
        <f t="shared" si="190"/>
        <v>#N/A</v>
      </c>
    </row>
    <row r="1521" spans="1:17">
      <c r="A1521" s="28"/>
      <c r="B1521" s="28"/>
      <c r="C1521" s="28"/>
      <c r="D1521" s="28"/>
      <c r="E1521" s="28"/>
      <c r="F1521" s="28"/>
      <c r="G1521" s="26" t="str">
        <f t="shared" si="184"/>
        <v/>
      </c>
      <c r="H1521" s="26" t="str">
        <f t="shared" si="191"/>
        <v/>
      </c>
      <c r="I1521" s="26" t="str">
        <f t="shared" si="185"/>
        <v/>
      </c>
      <c r="J1521" t="str">
        <f t="shared" si="186"/>
        <v/>
      </c>
      <c r="K1521" s="26" t="str">
        <f t="shared" si="187"/>
        <v/>
      </c>
      <c r="L1521" s="26" t="str">
        <f t="shared" si="188"/>
        <v/>
      </c>
      <c r="P1521" t="e">
        <f t="shared" si="189"/>
        <v>#N/A</v>
      </c>
      <c r="Q1521" t="e">
        <f t="shared" si="190"/>
        <v>#N/A</v>
      </c>
    </row>
    <row r="1522" spans="1:17">
      <c r="A1522" s="28"/>
      <c r="B1522" s="28"/>
      <c r="C1522" s="28"/>
      <c r="D1522" s="28"/>
      <c r="E1522" s="28"/>
      <c r="F1522" s="28"/>
      <c r="G1522" s="26" t="str">
        <f t="shared" si="184"/>
        <v/>
      </c>
      <c r="H1522" s="26" t="str">
        <f t="shared" si="191"/>
        <v/>
      </c>
      <c r="I1522" s="26" t="str">
        <f t="shared" si="185"/>
        <v/>
      </c>
      <c r="J1522" t="str">
        <f t="shared" si="186"/>
        <v/>
      </c>
      <c r="K1522" s="26" t="str">
        <f t="shared" si="187"/>
        <v/>
      </c>
      <c r="L1522" s="26" t="str">
        <f t="shared" si="188"/>
        <v/>
      </c>
      <c r="P1522" t="e">
        <f t="shared" si="189"/>
        <v>#N/A</v>
      </c>
      <c r="Q1522" t="e">
        <f t="shared" si="190"/>
        <v>#N/A</v>
      </c>
    </row>
    <row r="1523" spans="1:17">
      <c r="A1523" s="28"/>
      <c r="B1523" s="28"/>
      <c r="C1523" s="28"/>
      <c r="D1523" s="28"/>
      <c r="E1523" s="28"/>
      <c r="F1523" s="28"/>
      <c r="G1523" s="26" t="str">
        <f t="shared" si="184"/>
        <v/>
      </c>
      <c r="H1523" s="26" t="str">
        <f t="shared" si="191"/>
        <v/>
      </c>
      <c r="I1523" s="26" t="str">
        <f t="shared" si="185"/>
        <v/>
      </c>
      <c r="J1523" t="str">
        <f t="shared" si="186"/>
        <v/>
      </c>
      <c r="K1523" s="26" t="str">
        <f t="shared" si="187"/>
        <v/>
      </c>
      <c r="L1523" s="26" t="str">
        <f t="shared" si="188"/>
        <v/>
      </c>
      <c r="P1523" t="e">
        <f t="shared" si="189"/>
        <v>#N/A</v>
      </c>
      <c r="Q1523" t="e">
        <f t="shared" si="190"/>
        <v>#N/A</v>
      </c>
    </row>
    <row r="1524" spans="1:17">
      <c r="A1524" s="28"/>
      <c r="B1524" s="28"/>
      <c r="C1524" s="28"/>
      <c r="D1524" s="28"/>
      <c r="E1524" s="28"/>
      <c r="F1524" s="28"/>
      <c r="G1524" s="26" t="str">
        <f t="shared" si="184"/>
        <v/>
      </c>
      <c r="H1524" s="26" t="str">
        <f t="shared" si="191"/>
        <v/>
      </c>
      <c r="I1524" s="26" t="str">
        <f t="shared" si="185"/>
        <v/>
      </c>
      <c r="J1524" t="str">
        <f t="shared" si="186"/>
        <v/>
      </c>
      <c r="K1524" s="26" t="str">
        <f t="shared" si="187"/>
        <v/>
      </c>
      <c r="L1524" s="26" t="str">
        <f t="shared" si="188"/>
        <v/>
      </c>
      <c r="P1524" t="e">
        <f t="shared" si="189"/>
        <v>#N/A</v>
      </c>
      <c r="Q1524" t="e">
        <f t="shared" si="190"/>
        <v>#N/A</v>
      </c>
    </row>
    <row r="1525" spans="1:17">
      <c r="A1525" s="28"/>
      <c r="B1525" s="28"/>
      <c r="C1525" s="28"/>
      <c r="D1525" s="28"/>
      <c r="E1525" s="28"/>
      <c r="F1525" s="28"/>
      <c r="G1525" s="26" t="str">
        <f t="shared" si="184"/>
        <v/>
      </c>
      <c r="H1525" s="26" t="str">
        <f t="shared" si="191"/>
        <v/>
      </c>
      <c r="I1525" s="26" t="str">
        <f t="shared" si="185"/>
        <v/>
      </c>
      <c r="J1525" t="str">
        <f t="shared" si="186"/>
        <v/>
      </c>
      <c r="K1525" s="26" t="str">
        <f t="shared" si="187"/>
        <v/>
      </c>
      <c r="L1525" s="26" t="str">
        <f t="shared" si="188"/>
        <v/>
      </c>
      <c r="P1525" t="e">
        <f t="shared" si="189"/>
        <v>#N/A</v>
      </c>
      <c r="Q1525" t="e">
        <f t="shared" si="190"/>
        <v>#N/A</v>
      </c>
    </row>
    <row r="1526" spans="1:17">
      <c r="A1526" s="28"/>
      <c r="B1526" s="28"/>
      <c r="C1526" s="28"/>
      <c r="D1526" s="28"/>
      <c r="E1526" s="28"/>
      <c r="F1526" s="28"/>
      <c r="G1526" s="26" t="str">
        <f t="shared" si="184"/>
        <v/>
      </c>
      <c r="H1526" s="26" t="str">
        <f t="shared" si="191"/>
        <v/>
      </c>
      <c r="I1526" s="26" t="str">
        <f t="shared" si="185"/>
        <v/>
      </c>
      <c r="J1526" t="str">
        <f t="shared" si="186"/>
        <v/>
      </c>
      <c r="K1526" s="26" t="str">
        <f t="shared" si="187"/>
        <v/>
      </c>
      <c r="L1526" s="26" t="str">
        <f t="shared" si="188"/>
        <v/>
      </c>
      <c r="P1526" t="e">
        <f t="shared" si="189"/>
        <v>#N/A</v>
      </c>
      <c r="Q1526" t="e">
        <f t="shared" si="190"/>
        <v>#N/A</v>
      </c>
    </row>
    <row r="1527" spans="1:17">
      <c r="A1527" s="28"/>
      <c r="B1527" s="28"/>
      <c r="C1527" s="28"/>
      <c r="D1527" s="28"/>
      <c r="E1527" s="28"/>
      <c r="F1527" s="28"/>
      <c r="G1527" s="26" t="str">
        <f t="shared" si="184"/>
        <v/>
      </c>
      <c r="H1527" s="26" t="str">
        <f t="shared" si="191"/>
        <v/>
      </c>
      <c r="I1527" s="26" t="str">
        <f t="shared" si="185"/>
        <v/>
      </c>
      <c r="J1527" t="str">
        <f t="shared" si="186"/>
        <v/>
      </c>
      <c r="K1527" s="26" t="str">
        <f t="shared" si="187"/>
        <v/>
      </c>
      <c r="L1527" s="26" t="str">
        <f t="shared" si="188"/>
        <v/>
      </c>
      <c r="P1527" t="e">
        <f t="shared" si="189"/>
        <v>#N/A</v>
      </c>
      <c r="Q1527" t="e">
        <f t="shared" si="190"/>
        <v>#N/A</v>
      </c>
    </row>
    <row r="1528" spans="1:17">
      <c r="A1528" s="28"/>
      <c r="B1528" s="28"/>
      <c r="C1528" s="28"/>
      <c r="D1528" s="28"/>
      <c r="E1528" s="28"/>
      <c r="F1528" s="28"/>
      <c r="G1528" s="26" t="str">
        <f t="shared" si="184"/>
        <v/>
      </c>
      <c r="H1528" s="26" t="str">
        <f t="shared" si="191"/>
        <v/>
      </c>
      <c r="I1528" s="26" t="str">
        <f t="shared" si="185"/>
        <v/>
      </c>
      <c r="J1528" t="str">
        <f t="shared" si="186"/>
        <v/>
      </c>
      <c r="K1528" s="26" t="str">
        <f t="shared" si="187"/>
        <v/>
      </c>
      <c r="L1528" s="26" t="str">
        <f t="shared" si="188"/>
        <v/>
      </c>
      <c r="P1528" t="e">
        <f t="shared" si="189"/>
        <v>#N/A</v>
      </c>
      <c r="Q1528" t="e">
        <f t="shared" si="190"/>
        <v>#N/A</v>
      </c>
    </row>
    <row r="1529" spans="1:17">
      <c r="A1529" s="28"/>
      <c r="B1529" s="28"/>
      <c r="C1529" s="28"/>
      <c r="D1529" s="28"/>
      <c r="E1529" s="28"/>
      <c r="F1529" s="28"/>
      <c r="G1529" s="26" t="str">
        <f t="shared" si="184"/>
        <v/>
      </c>
      <c r="H1529" s="26" t="str">
        <f t="shared" si="191"/>
        <v/>
      </c>
      <c r="I1529" s="26" t="str">
        <f t="shared" si="185"/>
        <v/>
      </c>
      <c r="J1529" t="str">
        <f t="shared" si="186"/>
        <v/>
      </c>
      <c r="K1529" s="26" t="str">
        <f t="shared" si="187"/>
        <v/>
      </c>
      <c r="L1529" s="26" t="str">
        <f t="shared" si="188"/>
        <v/>
      </c>
      <c r="P1529" t="e">
        <f t="shared" si="189"/>
        <v>#N/A</v>
      </c>
      <c r="Q1529" t="e">
        <f t="shared" si="190"/>
        <v>#N/A</v>
      </c>
    </row>
    <row r="1530" spans="1:17">
      <c r="A1530" s="28"/>
      <c r="B1530" s="28"/>
      <c r="C1530" s="28"/>
      <c r="D1530" s="28"/>
      <c r="E1530" s="28"/>
      <c r="F1530" s="28"/>
      <c r="G1530" s="26" t="str">
        <f t="shared" si="184"/>
        <v/>
      </c>
      <c r="H1530" s="26" t="str">
        <f t="shared" si="191"/>
        <v/>
      </c>
      <c r="I1530" s="26" t="str">
        <f t="shared" si="185"/>
        <v/>
      </c>
      <c r="J1530" t="str">
        <f t="shared" si="186"/>
        <v/>
      </c>
      <c r="K1530" s="26" t="str">
        <f t="shared" si="187"/>
        <v/>
      </c>
      <c r="L1530" s="26" t="str">
        <f t="shared" si="188"/>
        <v/>
      </c>
      <c r="P1530" t="e">
        <f t="shared" si="189"/>
        <v>#N/A</v>
      </c>
      <c r="Q1530" t="e">
        <f t="shared" si="190"/>
        <v>#N/A</v>
      </c>
    </row>
    <row r="1531" spans="1:17">
      <c r="A1531" s="28"/>
      <c r="B1531" s="28"/>
      <c r="C1531" s="28"/>
      <c r="D1531" s="28"/>
      <c r="E1531" s="28"/>
      <c r="F1531" s="28"/>
      <c r="G1531" s="26" t="str">
        <f t="shared" si="184"/>
        <v/>
      </c>
      <c r="H1531" s="26" t="str">
        <f t="shared" si="191"/>
        <v/>
      </c>
      <c r="I1531" s="26" t="str">
        <f t="shared" si="185"/>
        <v/>
      </c>
      <c r="J1531" t="str">
        <f t="shared" si="186"/>
        <v/>
      </c>
      <c r="K1531" s="26" t="str">
        <f t="shared" si="187"/>
        <v/>
      </c>
      <c r="L1531" s="26" t="str">
        <f t="shared" si="188"/>
        <v/>
      </c>
      <c r="P1531" t="e">
        <f t="shared" si="189"/>
        <v>#N/A</v>
      </c>
      <c r="Q1531" t="e">
        <f t="shared" si="190"/>
        <v>#N/A</v>
      </c>
    </row>
    <row r="1532" spans="1:17">
      <c r="A1532" s="28"/>
      <c r="B1532" s="28"/>
      <c r="C1532" s="28"/>
      <c r="D1532" s="28"/>
      <c r="E1532" s="28"/>
      <c r="F1532" s="28"/>
      <c r="G1532" s="26" t="str">
        <f t="shared" si="184"/>
        <v/>
      </c>
      <c r="H1532" s="26" t="str">
        <f t="shared" si="191"/>
        <v/>
      </c>
      <c r="I1532" s="26" t="str">
        <f t="shared" si="185"/>
        <v/>
      </c>
      <c r="J1532" t="str">
        <f t="shared" si="186"/>
        <v/>
      </c>
      <c r="K1532" s="26" t="str">
        <f t="shared" si="187"/>
        <v/>
      </c>
      <c r="L1532" s="26" t="str">
        <f t="shared" si="188"/>
        <v/>
      </c>
      <c r="P1532" t="e">
        <f t="shared" si="189"/>
        <v>#N/A</v>
      </c>
      <c r="Q1532" t="e">
        <f t="shared" si="190"/>
        <v>#N/A</v>
      </c>
    </row>
    <row r="1533" spans="1:17">
      <c r="A1533" s="28"/>
      <c r="B1533" s="28"/>
      <c r="C1533" s="28"/>
      <c r="D1533" s="28"/>
      <c r="E1533" s="28"/>
      <c r="F1533" s="28"/>
      <c r="G1533" s="26" t="str">
        <f t="shared" si="184"/>
        <v/>
      </c>
      <c r="H1533" s="26" t="str">
        <f t="shared" si="191"/>
        <v/>
      </c>
      <c r="I1533" s="26" t="str">
        <f t="shared" si="185"/>
        <v/>
      </c>
      <c r="J1533" t="str">
        <f t="shared" si="186"/>
        <v/>
      </c>
      <c r="K1533" s="26" t="str">
        <f t="shared" si="187"/>
        <v/>
      </c>
      <c r="L1533" s="26" t="str">
        <f t="shared" si="188"/>
        <v/>
      </c>
      <c r="P1533" t="e">
        <f t="shared" si="189"/>
        <v>#N/A</v>
      </c>
      <c r="Q1533" t="e">
        <f t="shared" si="190"/>
        <v>#N/A</v>
      </c>
    </row>
    <row r="1534" spans="1:17">
      <c r="A1534" s="28"/>
      <c r="B1534" s="28"/>
      <c r="C1534" s="28"/>
      <c r="D1534" s="28"/>
      <c r="E1534" s="28"/>
      <c r="F1534" s="28"/>
      <c r="G1534" s="26" t="str">
        <f t="shared" si="184"/>
        <v/>
      </c>
      <c r="H1534" s="26" t="str">
        <f t="shared" si="191"/>
        <v/>
      </c>
      <c r="I1534" s="26" t="str">
        <f t="shared" si="185"/>
        <v/>
      </c>
      <c r="J1534" t="str">
        <f t="shared" si="186"/>
        <v/>
      </c>
      <c r="K1534" s="26" t="str">
        <f t="shared" si="187"/>
        <v/>
      </c>
      <c r="L1534" s="26" t="str">
        <f t="shared" si="188"/>
        <v/>
      </c>
      <c r="P1534" t="e">
        <f t="shared" si="189"/>
        <v>#N/A</v>
      </c>
      <c r="Q1534" t="e">
        <f t="shared" si="190"/>
        <v>#N/A</v>
      </c>
    </row>
    <row r="1535" spans="1:17">
      <c r="A1535" s="28"/>
      <c r="B1535" s="28"/>
      <c r="C1535" s="28"/>
      <c r="D1535" s="28"/>
      <c r="E1535" s="28"/>
      <c r="F1535" s="28"/>
      <c r="G1535" s="26" t="str">
        <f t="shared" si="184"/>
        <v/>
      </c>
      <c r="H1535" s="26" t="str">
        <f t="shared" si="191"/>
        <v/>
      </c>
      <c r="I1535" s="26" t="str">
        <f t="shared" si="185"/>
        <v/>
      </c>
      <c r="J1535" t="str">
        <f t="shared" si="186"/>
        <v/>
      </c>
      <c r="K1535" s="26" t="str">
        <f t="shared" si="187"/>
        <v/>
      </c>
      <c r="L1535" s="26" t="str">
        <f t="shared" si="188"/>
        <v/>
      </c>
      <c r="P1535" t="e">
        <f t="shared" si="189"/>
        <v>#N/A</v>
      </c>
      <c r="Q1535" t="e">
        <f t="shared" si="190"/>
        <v>#N/A</v>
      </c>
    </row>
    <row r="1536" spans="1:17">
      <c r="A1536" s="28"/>
      <c r="B1536" s="28"/>
      <c r="C1536" s="28"/>
      <c r="D1536" s="28"/>
      <c r="E1536" s="28"/>
      <c r="F1536" s="28"/>
      <c r="G1536" s="26" t="str">
        <f t="shared" si="184"/>
        <v/>
      </c>
      <c r="H1536" s="26" t="str">
        <f t="shared" si="191"/>
        <v/>
      </c>
      <c r="I1536" s="26" t="str">
        <f t="shared" si="185"/>
        <v/>
      </c>
      <c r="J1536" t="str">
        <f t="shared" si="186"/>
        <v/>
      </c>
      <c r="K1536" s="26" t="str">
        <f t="shared" si="187"/>
        <v/>
      </c>
      <c r="L1536" s="26" t="str">
        <f t="shared" si="188"/>
        <v/>
      </c>
      <c r="P1536" t="e">
        <f t="shared" si="189"/>
        <v>#N/A</v>
      </c>
      <c r="Q1536" t="e">
        <f t="shared" si="190"/>
        <v>#N/A</v>
      </c>
    </row>
    <row r="1537" spans="1:17">
      <c r="A1537" s="28"/>
      <c r="B1537" s="28"/>
      <c r="C1537" s="28"/>
      <c r="D1537" s="28"/>
      <c r="E1537" s="28"/>
      <c r="F1537" s="28"/>
      <c r="G1537" s="26" t="str">
        <f t="shared" si="184"/>
        <v/>
      </c>
      <c r="H1537" s="26" t="str">
        <f t="shared" si="191"/>
        <v/>
      </c>
      <c r="I1537" s="26" t="str">
        <f t="shared" si="185"/>
        <v/>
      </c>
      <c r="J1537" t="str">
        <f t="shared" si="186"/>
        <v/>
      </c>
      <c r="K1537" s="26" t="str">
        <f t="shared" si="187"/>
        <v/>
      </c>
      <c r="L1537" s="26" t="str">
        <f t="shared" si="188"/>
        <v/>
      </c>
      <c r="P1537" t="e">
        <f t="shared" si="189"/>
        <v>#N/A</v>
      </c>
      <c r="Q1537" t="e">
        <f t="shared" si="190"/>
        <v>#N/A</v>
      </c>
    </row>
    <row r="1538" spans="1:17">
      <c r="A1538" s="28"/>
      <c r="B1538" s="28"/>
      <c r="C1538" s="28"/>
      <c r="D1538" s="28"/>
      <c r="E1538" s="28"/>
      <c r="F1538" s="28"/>
      <c r="G1538" s="26" t="str">
        <f t="shared" ref="G1538:G1601" si="192">IF(B1538="","",243.04*(LN(C1538/100)+17.625*B1538/(243.04+B1538))/(17.625-LN(C1538/100)-17.625*B1538/(243.04+B1538)))</f>
        <v/>
      </c>
      <c r="H1538" s="26" t="str">
        <f t="shared" si="191"/>
        <v/>
      </c>
      <c r="I1538" s="26" t="str">
        <f t="shared" ref="I1538:I1601" si="193">IF(B1538="","",B1538-E1538)</f>
        <v/>
      </c>
      <c r="J1538" t="str">
        <f t="shared" ref="J1538:J1601" si="194">IF(H1538="","",IF(H1538&gt;0.6,"Heating",IF(H1538&lt;-0.2,"Cooling","Steady")))</f>
        <v/>
      </c>
      <c r="K1538" s="26" t="str">
        <f t="shared" ref="K1538:K1601" si="195">IF(J1538="Cooling",I1538,"")</f>
        <v/>
      </c>
      <c r="L1538" s="26" t="str">
        <f t="shared" ref="L1538:L1601" si="196">IF(J1538="Cooling",H1538,"")</f>
        <v/>
      </c>
      <c r="P1538" t="e">
        <f t="shared" ref="P1538:P1601" si="197">IF(K1538="",NA(),K1538)</f>
        <v>#N/A</v>
      </c>
      <c r="Q1538" t="e">
        <f t="shared" ref="Q1538:Q1601" si="198">IF(L1538="",NA(),L1538)</f>
        <v>#N/A</v>
      </c>
    </row>
    <row r="1539" spans="1:17">
      <c r="A1539" s="28"/>
      <c r="B1539" s="28"/>
      <c r="C1539" s="28"/>
      <c r="D1539" s="28"/>
      <c r="E1539" s="28"/>
      <c r="F1539" s="28"/>
      <c r="G1539" s="26" t="str">
        <f t="shared" si="192"/>
        <v/>
      </c>
      <c r="H1539" s="26" t="str">
        <f t="shared" si="191"/>
        <v/>
      </c>
      <c r="I1539" s="26" t="str">
        <f t="shared" si="193"/>
        <v/>
      </c>
      <c r="J1539" t="str">
        <f t="shared" si="194"/>
        <v/>
      </c>
      <c r="K1539" s="26" t="str">
        <f t="shared" si="195"/>
        <v/>
      </c>
      <c r="L1539" s="26" t="str">
        <f t="shared" si="196"/>
        <v/>
      </c>
      <c r="P1539" t="e">
        <f t="shared" si="197"/>
        <v>#N/A</v>
      </c>
      <c r="Q1539" t="e">
        <f t="shared" si="198"/>
        <v>#N/A</v>
      </c>
    </row>
    <row r="1540" spans="1:17">
      <c r="A1540" s="28"/>
      <c r="B1540" s="28"/>
      <c r="C1540" s="28"/>
      <c r="D1540" s="28"/>
      <c r="E1540" s="28"/>
      <c r="F1540" s="28"/>
      <c r="G1540" s="26" t="str">
        <f t="shared" si="192"/>
        <v/>
      </c>
      <c r="H1540" s="26" t="str">
        <f t="shared" ref="H1540:H1603" si="199">IFERROR(IF(OR(B1538="",B1542=""),"",(B1542-B1538)/4*60),"")</f>
        <v/>
      </c>
      <c r="I1540" s="26" t="str">
        <f t="shared" si="193"/>
        <v/>
      </c>
      <c r="J1540" t="str">
        <f t="shared" si="194"/>
        <v/>
      </c>
      <c r="K1540" s="26" t="str">
        <f t="shared" si="195"/>
        <v/>
      </c>
      <c r="L1540" s="26" t="str">
        <f t="shared" si="196"/>
        <v/>
      </c>
      <c r="P1540" t="e">
        <f t="shared" si="197"/>
        <v>#N/A</v>
      </c>
      <c r="Q1540" t="e">
        <f t="shared" si="198"/>
        <v>#N/A</v>
      </c>
    </row>
    <row r="1541" spans="1:17">
      <c r="A1541" s="28"/>
      <c r="B1541" s="28"/>
      <c r="C1541" s="28"/>
      <c r="D1541" s="28"/>
      <c r="E1541" s="28"/>
      <c r="F1541" s="28"/>
      <c r="G1541" s="26" t="str">
        <f t="shared" si="192"/>
        <v/>
      </c>
      <c r="H1541" s="26" t="str">
        <f t="shared" si="199"/>
        <v/>
      </c>
      <c r="I1541" s="26" t="str">
        <f t="shared" si="193"/>
        <v/>
      </c>
      <c r="J1541" t="str">
        <f t="shared" si="194"/>
        <v/>
      </c>
      <c r="K1541" s="26" t="str">
        <f t="shared" si="195"/>
        <v/>
      </c>
      <c r="L1541" s="26" t="str">
        <f t="shared" si="196"/>
        <v/>
      </c>
      <c r="P1541" t="e">
        <f t="shared" si="197"/>
        <v>#N/A</v>
      </c>
      <c r="Q1541" t="e">
        <f t="shared" si="198"/>
        <v>#N/A</v>
      </c>
    </row>
    <row r="1542" spans="1:17">
      <c r="A1542" s="28"/>
      <c r="B1542" s="28"/>
      <c r="C1542" s="28"/>
      <c r="D1542" s="28"/>
      <c r="E1542" s="28"/>
      <c r="F1542" s="28"/>
      <c r="G1542" s="26" t="str">
        <f t="shared" si="192"/>
        <v/>
      </c>
      <c r="H1542" s="26" t="str">
        <f t="shared" si="199"/>
        <v/>
      </c>
      <c r="I1542" s="26" t="str">
        <f t="shared" si="193"/>
        <v/>
      </c>
      <c r="J1542" t="str">
        <f t="shared" si="194"/>
        <v/>
      </c>
      <c r="K1542" s="26" t="str">
        <f t="shared" si="195"/>
        <v/>
      </c>
      <c r="L1542" s="26" t="str">
        <f t="shared" si="196"/>
        <v/>
      </c>
      <c r="P1542" t="e">
        <f t="shared" si="197"/>
        <v>#N/A</v>
      </c>
      <c r="Q1542" t="e">
        <f t="shared" si="198"/>
        <v>#N/A</v>
      </c>
    </row>
    <row r="1543" spans="1:17">
      <c r="A1543" s="28"/>
      <c r="B1543" s="28"/>
      <c r="C1543" s="28"/>
      <c r="D1543" s="28"/>
      <c r="E1543" s="28"/>
      <c r="F1543" s="28"/>
      <c r="G1543" s="26" t="str">
        <f t="shared" si="192"/>
        <v/>
      </c>
      <c r="H1543" s="26" t="str">
        <f t="shared" si="199"/>
        <v/>
      </c>
      <c r="I1543" s="26" t="str">
        <f t="shared" si="193"/>
        <v/>
      </c>
      <c r="J1543" t="str">
        <f t="shared" si="194"/>
        <v/>
      </c>
      <c r="K1543" s="26" t="str">
        <f t="shared" si="195"/>
        <v/>
      </c>
      <c r="L1543" s="26" t="str">
        <f t="shared" si="196"/>
        <v/>
      </c>
      <c r="P1543" t="e">
        <f t="shared" si="197"/>
        <v>#N/A</v>
      </c>
      <c r="Q1543" t="e">
        <f t="shared" si="198"/>
        <v>#N/A</v>
      </c>
    </row>
    <row r="1544" spans="1:17">
      <c r="A1544" s="28"/>
      <c r="B1544" s="28"/>
      <c r="C1544" s="28"/>
      <c r="D1544" s="28"/>
      <c r="E1544" s="28"/>
      <c r="F1544" s="28"/>
      <c r="G1544" s="26" t="str">
        <f t="shared" si="192"/>
        <v/>
      </c>
      <c r="H1544" s="26" t="str">
        <f t="shared" si="199"/>
        <v/>
      </c>
      <c r="I1544" s="26" t="str">
        <f t="shared" si="193"/>
        <v/>
      </c>
      <c r="J1544" t="str">
        <f t="shared" si="194"/>
        <v/>
      </c>
      <c r="K1544" s="26" t="str">
        <f t="shared" si="195"/>
        <v/>
      </c>
      <c r="L1544" s="26" t="str">
        <f t="shared" si="196"/>
        <v/>
      </c>
      <c r="P1544" t="e">
        <f t="shared" si="197"/>
        <v>#N/A</v>
      </c>
      <c r="Q1544" t="e">
        <f t="shared" si="198"/>
        <v>#N/A</v>
      </c>
    </row>
    <row r="1545" spans="1:17">
      <c r="A1545" s="28"/>
      <c r="B1545" s="28"/>
      <c r="C1545" s="28"/>
      <c r="D1545" s="28"/>
      <c r="E1545" s="28"/>
      <c r="F1545" s="28"/>
      <c r="G1545" s="26" t="str">
        <f t="shared" si="192"/>
        <v/>
      </c>
      <c r="H1545" s="26" t="str">
        <f t="shared" si="199"/>
        <v/>
      </c>
      <c r="I1545" s="26" t="str">
        <f t="shared" si="193"/>
        <v/>
      </c>
      <c r="J1545" t="str">
        <f t="shared" si="194"/>
        <v/>
      </c>
      <c r="K1545" s="26" t="str">
        <f t="shared" si="195"/>
        <v/>
      </c>
      <c r="L1545" s="26" t="str">
        <f t="shared" si="196"/>
        <v/>
      </c>
      <c r="P1545" t="e">
        <f t="shared" si="197"/>
        <v>#N/A</v>
      </c>
      <c r="Q1545" t="e">
        <f t="shared" si="198"/>
        <v>#N/A</v>
      </c>
    </row>
    <row r="1546" spans="1:17">
      <c r="A1546" s="28"/>
      <c r="B1546" s="28"/>
      <c r="C1546" s="28"/>
      <c r="D1546" s="28"/>
      <c r="E1546" s="28"/>
      <c r="F1546" s="28"/>
      <c r="G1546" s="26" t="str">
        <f t="shared" si="192"/>
        <v/>
      </c>
      <c r="H1546" s="26" t="str">
        <f t="shared" si="199"/>
        <v/>
      </c>
      <c r="I1546" s="26" t="str">
        <f t="shared" si="193"/>
        <v/>
      </c>
      <c r="J1546" t="str">
        <f t="shared" si="194"/>
        <v/>
      </c>
      <c r="K1546" s="26" t="str">
        <f t="shared" si="195"/>
        <v/>
      </c>
      <c r="L1546" s="26" t="str">
        <f t="shared" si="196"/>
        <v/>
      </c>
      <c r="P1546" t="e">
        <f t="shared" si="197"/>
        <v>#N/A</v>
      </c>
      <c r="Q1546" t="e">
        <f t="shared" si="198"/>
        <v>#N/A</v>
      </c>
    </row>
    <row r="1547" spans="1:17">
      <c r="A1547" s="28"/>
      <c r="B1547" s="28"/>
      <c r="C1547" s="28"/>
      <c r="D1547" s="28"/>
      <c r="E1547" s="28"/>
      <c r="F1547" s="28"/>
      <c r="G1547" s="26" t="str">
        <f t="shared" si="192"/>
        <v/>
      </c>
      <c r="H1547" s="26" t="str">
        <f t="shared" si="199"/>
        <v/>
      </c>
      <c r="I1547" s="26" t="str">
        <f t="shared" si="193"/>
        <v/>
      </c>
      <c r="J1547" t="str">
        <f t="shared" si="194"/>
        <v/>
      </c>
      <c r="K1547" s="26" t="str">
        <f t="shared" si="195"/>
        <v/>
      </c>
      <c r="L1547" s="26" t="str">
        <f t="shared" si="196"/>
        <v/>
      </c>
      <c r="P1547" t="e">
        <f t="shared" si="197"/>
        <v>#N/A</v>
      </c>
      <c r="Q1547" t="e">
        <f t="shared" si="198"/>
        <v>#N/A</v>
      </c>
    </row>
    <row r="1548" spans="1:17">
      <c r="A1548" s="28"/>
      <c r="B1548" s="28"/>
      <c r="C1548" s="28"/>
      <c r="D1548" s="28"/>
      <c r="E1548" s="28"/>
      <c r="F1548" s="28"/>
      <c r="G1548" s="26" t="str">
        <f t="shared" si="192"/>
        <v/>
      </c>
      <c r="H1548" s="26" t="str">
        <f t="shared" si="199"/>
        <v/>
      </c>
      <c r="I1548" s="26" t="str">
        <f t="shared" si="193"/>
        <v/>
      </c>
      <c r="J1548" t="str">
        <f t="shared" si="194"/>
        <v/>
      </c>
      <c r="K1548" s="26" t="str">
        <f t="shared" si="195"/>
        <v/>
      </c>
      <c r="L1548" s="26" t="str">
        <f t="shared" si="196"/>
        <v/>
      </c>
      <c r="P1548" t="e">
        <f t="shared" si="197"/>
        <v>#N/A</v>
      </c>
      <c r="Q1548" t="e">
        <f t="shared" si="198"/>
        <v>#N/A</v>
      </c>
    </row>
    <row r="1549" spans="1:17">
      <c r="A1549" s="28"/>
      <c r="B1549" s="28"/>
      <c r="C1549" s="28"/>
      <c r="D1549" s="28"/>
      <c r="E1549" s="28"/>
      <c r="F1549" s="28"/>
      <c r="G1549" s="26" t="str">
        <f t="shared" si="192"/>
        <v/>
      </c>
      <c r="H1549" s="26" t="str">
        <f t="shared" si="199"/>
        <v/>
      </c>
      <c r="I1549" s="26" t="str">
        <f t="shared" si="193"/>
        <v/>
      </c>
      <c r="J1549" t="str">
        <f t="shared" si="194"/>
        <v/>
      </c>
      <c r="K1549" s="26" t="str">
        <f t="shared" si="195"/>
        <v/>
      </c>
      <c r="L1549" s="26" t="str">
        <f t="shared" si="196"/>
        <v/>
      </c>
      <c r="P1549" t="e">
        <f t="shared" si="197"/>
        <v>#N/A</v>
      </c>
      <c r="Q1549" t="e">
        <f t="shared" si="198"/>
        <v>#N/A</v>
      </c>
    </row>
    <row r="1550" spans="1:17">
      <c r="A1550" s="28"/>
      <c r="B1550" s="28"/>
      <c r="C1550" s="28"/>
      <c r="D1550" s="28"/>
      <c r="E1550" s="28"/>
      <c r="F1550" s="28"/>
      <c r="G1550" s="26" t="str">
        <f t="shared" si="192"/>
        <v/>
      </c>
      <c r="H1550" s="26" t="str">
        <f t="shared" si="199"/>
        <v/>
      </c>
      <c r="I1550" s="26" t="str">
        <f t="shared" si="193"/>
        <v/>
      </c>
      <c r="J1550" t="str">
        <f t="shared" si="194"/>
        <v/>
      </c>
      <c r="K1550" s="26" t="str">
        <f t="shared" si="195"/>
        <v/>
      </c>
      <c r="L1550" s="26" t="str">
        <f t="shared" si="196"/>
        <v/>
      </c>
      <c r="P1550" t="e">
        <f t="shared" si="197"/>
        <v>#N/A</v>
      </c>
      <c r="Q1550" t="e">
        <f t="shared" si="198"/>
        <v>#N/A</v>
      </c>
    </row>
    <row r="1551" spans="1:17">
      <c r="A1551" s="28"/>
      <c r="B1551" s="28"/>
      <c r="C1551" s="28"/>
      <c r="D1551" s="28"/>
      <c r="E1551" s="28"/>
      <c r="F1551" s="28"/>
      <c r="G1551" s="26" t="str">
        <f t="shared" si="192"/>
        <v/>
      </c>
      <c r="H1551" s="26" t="str">
        <f t="shared" si="199"/>
        <v/>
      </c>
      <c r="I1551" s="26" t="str">
        <f t="shared" si="193"/>
        <v/>
      </c>
      <c r="J1551" t="str">
        <f t="shared" si="194"/>
        <v/>
      </c>
      <c r="K1551" s="26" t="str">
        <f t="shared" si="195"/>
        <v/>
      </c>
      <c r="L1551" s="26" t="str">
        <f t="shared" si="196"/>
        <v/>
      </c>
      <c r="P1551" t="e">
        <f t="shared" si="197"/>
        <v>#N/A</v>
      </c>
      <c r="Q1551" t="e">
        <f t="shared" si="198"/>
        <v>#N/A</v>
      </c>
    </row>
    <row r="1552" spans="1:17">
      <c r="A1552" s="28"/>
      <c r="B1552" s="28"/>
      <c r="C1552" s="28"/>
      <c r="D1552" s="28"/>
      <c r="E1552" s="28"/>
      <c r="F1552" s="28"/>
      <c r="G1552" s="26" t="str">
        <f t="shared" si="192"/>
        <v/>
      </c>
      <c r="H1552" s="26" t="str">
        <f t="shared" si="199"/>
        <v/>
      </c>
      <c r="I1552" s="26" t="str">
        <f t="shared" si="193"/>
        <v/>
      </c>
      <c r="J1552" t="str">
        <f t="shared" si="194"/>
        <v/>
      </c>
      <c r="K1552" s="26" t="str">
        <f t="shared" si="195"/>
        <v/>
      </c>
      <c r="L1552" s="26" t="str">
        <f t="shared" si="196"/>
        <v/>
      </c>
      <c r="P1552" t="e">
        <f t="shared" si="197"/>
        <v>#N/A</v>
      </c>
      <c r="Q1552" t="e">
        <f t="shared" si="198"/>
        <v>#N/A</v>
      </c>
    </row>
    <row r="1553" spans="1:17">
      <c r="A1553" s="28"/>
      <c r="B1553" s="28"/>
      <c r="C1553" s="28"/>
      <c r="D1553" s="28"/>
      <c r="E1553" s="28"/>
      <c r="F1553" s="28"/>
      <c r="G1553" s="26" t="str">
        <f t="shared" si="192"/>
        <v/>
      </c>
      <c r="H1553" s="26" t="str">
        <f t="shared" si="199"/>
        <v/>
      </c>
      <c r="I1553" s="26" t="str">
        <f t="shared" si="193"/>
        <v/>
      </c>
      <c r="J1553" t="str">
        <f t="shared" si="194"/>
        <v/>
      </c>
      <c r="K1553" s="26" t="str">
        <f t="shared" si="195"/>
        <v/>
      </c>
      <c r="L1553" s="26" t="str">
        <f t="shared" si="196"/>
        <v/>
      </c>
      <c r="P1553" t="e">
        <f t="shared" si="197"/>
        <v>#N/A</v>
      </c>
      <c r="Q1553" t="e">
        <f t="shared" si="198"/>
        <v>#N/A</v>
      </c>
    </row>
    <row r="1554" spans="1:17">
      <c r="A1554" s="28"/>
      <c r="B1554" s="28"/>
      <c r="C1554" s="28"/>
      <c r="D1554" s="28"/>
      <c r="E1554" s="28"/>
      <c r="F1554" s="28"/>
      <c r="G1554" s="26" t="str">
        <f t="shared" si="192"/>
        <v/>
      </c>
      <c r="H1554" s="26" t="str">
        <f t="shared" si="199"/>
        <v/>
      </c>
      <c r="I1554" s="26" t="str">
        <f t="shared" si="193"/>
        <v/>
      </c>
      <c r="J1554" t="str">
        <f t="shared" si="194"/>
        <v/>
      </c>
      <c r="K1554" s="26" t="str">
        <f t="shared" si="195"/>
        <v/>
      </c>
      <c r="L1554" s="26" t="str">
        <f t="shared" si="196"/>
        <v/>
      </c>
      <c r="P1554" t="e">
        <f t="shared" si="197"/>
        <v>#N/A</v>
      </c>
      <c r="Q1554" t="e">
        <f t="shared" si="198"/>
        <v>#N/A</v>
      </c>
    </row>
    <row r="1555" spans="1:17">
      <c r="A1555" s="28"/>
      <c r="B1555" s="28"/>
      <c r="C1555" s="28"/>
      <c r="D1555" s="28"/>
      <c r="E1555" s="28"/>
      <c r="F1555" s="28"/>
      <c r="G1555" s="26" t="str">
        <f t="shared" si="192"/>
        <v/>
      </c>
      <c r="H1555" s="26" t="str">
        <f t="shared" si="199"/>
        <v/>
      </c>
      <c r="I1555" s="26" t="str">
        <f t="shared" si="193"/>
        <v/>
      </c>
      <c r="J1555" t="str">
        <f t="shared" si="194"/>
        <v/>
      </c>
      <c r="K1555" s="26" t="str">
        <f t="shared" si="195"/>
        <v/>
      </c>
      <c r="L1555" s="26" t="str">
        <f t="shared" si="196"/>
        <v/>
      </c>
      <c r="P1555" t="e">
        <f t="shared" si="197"/>
        <v>#N/A</v>
      </c>
      <c r="Q1555" t="e">
        <f t="shared" si="198"/>
        <v>#N/A</v>
      </c>
    </row>
    <row r="1556" spans="1:17">
      <c r="A1556" s="28"/>
      <c r="B1556" s="28"/>
      <c r="C1556" s="28"/>
      <c r="D1556" s="28"/>
      <c r="E1556" s="28"/>
      <c r="F1556" s="28"/>
      <c r="G1556" s="26" t="str">
        <f t="shared" si="192"/>
        <v/>
      </c>
      <c r="H1556" s="26" t="str">
        <f t="shared" si="199"/>
        <v/>
      </c>
      <c r="I1556" s="26" t="str">
        <f t="shared" si="193"/>
        <v/>
      </c>
      <c r="J1556" t="str">
        <f t="shared" si="194"/>
        <v/>
      </c>
      <c r="K1556" s="26" t="str">
        <f t="shared" si="195"/>
        <v/>
      </c>
      <c r="L1556" s="26" t="str">
        <f t="shared" si="196"/>
        <v/>
      </c>
      <c r="P1556" t="e">
        <f t="shared" si="197"/>
        <v>#N/A</v>
      </c>
      <c r="Q1556" t="e">
        <f t="shared" si="198"/>
        <v>#N/A</v>
      </c>
    </row>
    <row r="1557" spans="1:17">
      <c r="A1557" s="28"/>
      <c r="B1557" s="28"/>
      <c r="C1557" s="28"/>
      <c r="D1557" s="28"/>
      <c r="E1557" s="28"/>
      <c r="F1557" s="28"/>
      <c r="G1557" s="26" t="str">
        <f t="shared" si="192"/>
        <v/>
      </c>
      <c r="H1557" s="26" t="str">
        <f t="shared" si="199"/>
        <v/>
      </c>
      <c r="I1557" s="26" t="str">
        <f t="shared" si="193"/>
        <v/>
      </c>
      <c r="J1557" t="str">
        <f t="shared" si="194"/>
        <v/>
      </c>
      <c r="K1557" s="26" t="str">
        <f t="shared" si="195"/>
        <v/>
      </c>
      <c r="L1557" s="26" t="str">
        <f t="shared" si="196"/>
        <v/>
      </c>
      <c r="P1557" t="e">
        <f t="shared" si="197"/>
        <v>#N/A</v>
      </c>
      <c r="Q1557" t="e">
        <f t="shared" si="198"/>
        <v>#N/A</v>
      </c>
    </row>
    <row r="1558" spans="1:17">
      <c r="A1558" s="28"/>
      <c r="B1558" s="28"/>
      <c r="C1558" s="28"/>
      <c r="D1558" s="28"/>
      <c r="E1558" s="28"/>
      <c r="F1558" s="28"/>
      <c r="G1558" s="26" t="str">
        <f t="shared" si="192"/>
        <v/>
      </c>
      <c r="H1558" s="26" t="str">
        <f t="shared" si="199"/>
        <v/>
      </c>
      <c r="I1558" s="26" t="str">
        <f t="shared" si="193"/>
        <v/>
      </c>
      <c r="J1558" t="str">
        <f t="shared" si="194"/>
        <v/>
      </c>
      <c r="K1558" s="26" t="str">
        <f t="shared" si="195"/>
        <v/>
      </c>
      <c r="L1558" s="26" t="str">
        <f t="shared" si="196"/>
        <v/>
      </c>
      <c r="P1558" t="e">
        <f t="shared" si="197"/>
        <v>#N/A</v>
      </c>
      <c r="Q1558" t="e">
        <f t="shared" si="198"/>
        <v>#N/A</v>
      </c>
    </row>
    <row r="1559" spans="1:17">
      <c r="A1559" s="28"/>
      <c r="B1559" s="28"/>
      <c r="C1559" s="28"/>
      <c r="D1559" s="28"/>
      <c r="E1559" s="28"/>
      <c r="F1559" s="28"/>
      <c r="G1559" s="26" t="str">
        <f t="shared" si="192"/>
        <v/>
      </c>
      <c r="H1559" s="26" t="str">
        <f t="shared" si="199"/>
        <v/>
      </c>
      <c r="I1559" s="26" t="str">
        <f t="shared" si="193"/>
        <v/>
      </c>
      <c r="J1559" t="str">
        <f t="shared" si="194"/>
        <v/>
      </c>
      <c r="K1559" s="26" t="str">
        <f t="shared" si="195"/>
        <v/>
      </c>
      <c r="L1559" s="26" t="str">
        <f t="shared" si="196"/>
        <v/>
      </c>
      <c r="P1559" t="e">
        <f t="shared" si="197"/>
        <v>#N/A</v>
      </c>
      <c r="Q1559" t="e">
        <f t="shared" si="198"/>
        <v>#N/A</v>
      </c>
    </row>
    <row r="1560" spans="1:17">
      <c r="A1560" s="28"/>
      <c r="B1560" s="28"/>
      <c r="C1560" s="28"/>
      <c r="D1560" s="28"/>
      <c r="E1560" s="28"/>
      <c r="F1560" s="28"/>
      <c r="G1560" s="26" t="str">
        <f t="shared" si="192"/>
        <v/>
      </c>
      <c r="H1560" s="26" t="str">
        <f t="shared" si="199"/>
        <v/>
      </c>
      <c r="I1560" s="26" t="str">
        <f t="shared" si="193"/>
        <v/>
      </c>
      <c r="J1560" t="str">
        <f t="shared" si="194"/>
        <v/>
      </c>
      <c r="K1560" s="26" t="str">
        <f t="shared" si="195"/>
        <v/>
      </c>
      <c r="L1560" s="26" t="str">
        <f t="shared" si="196"/>
        <v/>
      </c>
      <c r="P1560" t="e">
        <f t="shared" si="197"/>
        <v>#N/A</v>
      </c>
      <c r="Q1560" t="e">
        <f t="shared" si="198"/>
        <v>#N/A</v>
      </c>
    </row>
    <row r="1561" spans="1:17">
      <c r="A1561" s="28"/>
      <c r="B1561" s="28"/>
      <c r="C1561" s="28"/>
      <c r="D1561" s="28"/>
      <c r="E1561" s="28"/>
      <c r="F1561" s="28"/>
      <c r="G1561" s="26" t="str">
        <f t="shared" si="192"/>
        <v/>
      </c>
      <c r="H1561" s="26" t="str">
        <f t="shared" si="199"/>
        <v/>
      </c>
      <c r="I1561" s="26" t="str">
        <f t="shared" si="193"/>
        <v/>
      </c>
      <c r="J1561" t="str">
        <f t="shared" si="194"/>
        <v/>
      </c>
      <c r="K1561" s="26" t="str">
        <f t="shared" si="195"/>
        <v/>
      </c>
      <c r="L1561" s="26" t="str">
        <f t="shared" si="196"/>
        <v/>
      </c>
      <c r="P1561" t="e">
        <f t="shared" si="197"/>
        <v>#N/A</v>
      </c>
      <c r="Q1561" t="e">
        <f t="shared" si="198"/>
        <v>#N/A</v>
      </c>
    </row>
    <row r="1562" spans="1:17">
      <c r="A1562" s="28"/>
      <c r="B1562" s="28"/>
      <c r="C1562" s="28"/>
      <c r="D1562" s="28"/>
      <c r="E1562" s="28"/>
      <c r="F1562" s="28"/>
      <c r="G1562" s="26" t="str">
        <f t="shared" si="192"/>
        <v/>
      </c>
      <c r="H1562" s="26" t="str">
        <f t="shared" si="199"/>
        <v/>
      </c>
      <c r="I1562" s="26" t="str">
        <f t="shared" si="193"/>
        <v/>
      </c>
      <c r="J1562" t="str">
        <f t="shared" si="194"/>
        <v/>
      </c>
      <c r="K1562" s="26" t="str">
        <f t="shared" si="195"/>
        <v/>
      </c>
      <c r="L1562" s="26" t="str">
        <f t="shared" si="196"/>
        <v/>
      </c>
      <c r="P1562" t="e">
        <f t="shared" si="197"/>
        <v>#N/A</v>
      </c>
      <c r="Q1562" t="e">
        <f t="shared" si="198"/>
        <v>#N/A</v>
      </c>
    </row>
    <row r="1563" spans="1:17">
      <c r="A1563" s="28"/>
      <c r="B1563" s="28"/>
      <c r="C1563" s="28"/>
      <c r="D1563" s="28"/>
      <c r="E1563" s="28"/>
      <c r="F1563" s="28"/>
      <c r="G1563" s="26" t="str">
        <f t="shared" si="192"/>
        <v/>
      </c>
      <c r="H1563" s="26" t="str">
        <f t="shared" si="199"/>
        <v/>
      </c>
      <c r="I1563" s="26" t="str">
        <f t="shared" si="193"/>
        <v/>
      </c>
      <c r="J1563" t="str">
        <f t="shared" si="194"/>
        <v/>
      </c>
      <c r="K1563" s="26" t="str">
        <f t="shared" si="195"/>
        <v/>
      </c>
      <c r="L1563" s="26" t="str">
        <f t="shared" si="196"/>
        <v/>
      </c>
      <c r="P1563" t="e">
        <f t="shared" si="197"/>
        <v>#N/A</v>
      </c>
      <c r="Q1563" t="e">
        <f t="shared" si="198"/>
        <v>#N/A</v>
      </c>
    </row>
    <row r="1564" spans="1:17">
      <c r="A1564" s="28"/>
      <c r="B1564" s="28"/>
      <c r="C1564" s="28"/>
      <c r="D1564" s="28"/>
      <c r="E1564" s="28"/>
      <c r="F1564" s="28"/>
      <c r="G1564" s="26" t="str">
        <f t="shared" si="192"/>
        <v/>
      </c>
      <c r="H1564" s="26" t="str">
        <f t="shared" si="199"/>
        <v/>
      </c>
      <c r="I1564" s="26" t="str">
        <f t="shared" si="193"/>
        <v/>
      </c>
      <c r="J1564" t="str">
        <f t="shared" si="194"/>
        <v/>
      </c>
      <c r="K1564" s="26" t="str">
        <f t="shared" si="195"/>
        <v/>
      </c>
      <c r="L1564" s="26" t="str">
        <f t="shared" si="196"/>
        <v/>
      </c>
      <c r="P1564" t="e">
        <f t="shared" si="197"/>
        <v>#N/A</v>
      </c>
      <c r="Q1564" t="e">
        <f t="shared" si="198"/>
        <v>#N/A</v>
      </c>
    </row>
    <row r="1565" spans="1:17">
      <c r="A1565" s="28"/>
      <c r="B1565" s="28"/>
      <c r="C1565" s="28"/>
      <c r="D1565" s="28"/>
      <c r="E1565" s="28"/>
      <c r="F1565" s="28"/>
      <c r="G1565" s="26" t="str">
        <f t="shared" si="192"/>
        <v/>
      </c>
      <c r="H1565" s="26" t="str">
        <f t="shared" si="199"/>
        <v/>
      </c>
      <c r="I1565" s="26" t="str">
        <f t="shared" si="193"/>
        <v/>
      </c>
      <c r="J1565" t="str">
        <f t="shared" si="194"/>
        <v/>
      </c>
      <c r="K1565" s="26" t="str">
        <f t="shared" si="195"/>
        <v/>
      </c>
      <c r="L1565" s="26" t="str">
        <f t="shared" si="196"/>
        <v/>
      </c>
      <c r="P1565" t="e">
        <f t="shared" si="197"/>
        <v>#N/A</v>
      </c>
      <c r="Q1565" t="e">
        <f t="shared" si="198"/>
        <v>#N/A</v>
      </c>
    </row>
    <row r="1566" spans="1:17">
      <c r="A1566" s="28"/>
      <c r="B1566" s="28"/>
      <c r="C1566" s="28"/>
      <c r="D1566" s="28"/>
      <c r="E1566" s="28"/>
      <c r="F1566" s="28"/>
      <c r="G1566" s="26" t="str">
        <f t="shared" si="192"/>
        <v/>
      </c>
      <c r="H1566" s="26" t="str">
        <f t="shared" si="199"/>
        <v/>
      </c>
      <c r="I1566" s="26" t="str">
        <f t="shared" si="193"/>
        <v/>
      </c>
      <c r="J1566" t="str">
        <f t="shared" si="194"/>
        <v/>
      </c>
      <c r="K1566" s="26" t="str">
        <f t="shared" si="195"/>
        <v/>
      </c>
      <c r="L1566" s="26" t="str">
        <f t="shared" si="196"/>
        <v/>
      </c>
      <c r="P1566" t="e">
        <f t="shared" si="197"/>
        <v>#N/A</v>
      </c>
      <c r="Q1566" t="e">
        <f t="shared" si="198"/>
        <v>#N/A</v>
      </c>
    </row>
    <row r="1567" spans="1:17">
      <c r="A1567" s="28"/>
      <c r="B1567" s="28"/>
      <c r="C1567" s="28"/>
      <c r="D1567" s="28"/>
      <c r="E1567" s="28"/>
      <c r="F1567" s="28"/>
      <c r="G1567" s="26" t="str">
        <f t="shared" si="192"/>
        <v/>
      </c>
      <c r="H1567" s="26" t="str">
        <f t="shared" si="199"/>
        <v/>
      </c>
      <c r="I1567" s="26" t="str">
        <f t="shared" si="193"/>
        <v/>
      </c>
      <c r="J1567" t="str">
        <f t="shared" si="194"/>
        <v/>
      </c>
      <c r="K1567" s="26" t="str">
        <f t="shared" si="195"/>
        <v/>
      </c>
      <c r="L1567" s="26" t="str">
        <f t="shared" si="196"/>
        <v/>
      </c>
      <c r="P1567" t="e">
        <f t="shared" si="197"/>
        <v>#N/A</v>
      </c>
      <c r="Q1567" t="e">
        <f t="shared" si="198"/>
        <v>#N/A</v>
      </c>
    </row>
    <row r="1568" spans="1:17">
      <c r="A1568" s="28"/>
      <c r="B1568" s="28"/>
      <c r="C1568" s="28"/>
      <c r="D1568" s="28"/>
      <c r="E1568" s="28"/>
      <c r="F1568" s="28"/>
      <c r="G1568" s="26" t="str">
        <f t="shared" si="192"/>
        <v/>
      </c>
      <c r="H1568" s="26" t="str">
        <f t="shared" si="199"/>
        <v/>
      </c>
      <c r="I1568" s="26" t="str">
        <f t="shared" si="193"/>
        <v/>
      </c>
      <c r="J1568" t="str">
        <f t="shared" si="194"/>
        <v/>
      </c>
      <c r="K1568" s="26" t="str">
        <f t="shared" si="195"/>
        <v/>
      </c>
      <c r="L1568" s="26" t="str">
        <f t="shared" si="196"/>
        <v/>
      </c>
      <c r="P1568" t="e">
        <f t="shared" si="197"/>
        <v>#N/A</v>
      </c>
      <c r="Q1568" t="e">
        <f t="shared" si="198"/>
        <v>#N/A</v>
      </c>
    </row>
    <row r="1569" spans="1:17">
      <c r="A1569" s="28"/>
      <c r="B1569" s="28"/>
      <c r="C1569" s="28"/>
      <c r="D1569" s="28"/>
      <c r="E1569" s="28"/>
      <c r="F1569" s="28"/>
      <c r="G1569" s="26" t="str">
        <f t="shared" si="192"/>
        <v/>
      </c>
      <c r="H1569" s="26" t="str">
        <f t="shared" si="199"/>
        <v/>
      </c>
      <c r="I1569" s="26" t="str">
        <f t="shared" si="193"/>
        <v/>
      </c>
      <c r="J1569" t="str">
        <f t="shared" si="194"/>
        <v/>
      </c>
      <c r="K1569" s="26" t="str">
        <f t="shared" si="195"/>
        <v/>
      </c>
      <c r="L1569" s="26" t="str">
        <f t="shared" si="196"/>
        <v/>
      </c>
      <c r="P1569" t="e">
        <f t="shared" si="197"/>
        <v>#N/A</v>
      </c>
      <c r="Q1569" t="e">
        <f t="shared" si="198"/>
        <v>#N/A</v>
      </c>
    </row>
    <row r="1570" spans="1:17">
      <c r="A1570" s="28"/>
      <c r="B1570" s="28"/>
      <c r="C1570" s="28"/>
      <c r="D1570" s="28"/>
      <c r="E1570" s="28"/>
      <c r="F1570" s="28"/>
      <c r="G1570" s="26" t="str">
        <f t="shared" si="192"/>
        <v/>
      </c>
      <c r="H1570" s="26" t="str">
        <f t="shared" si="199"/>
        <v/>
      </c>
      <c r="I1570" s="26" t="str">
        <f t="shared" si="193"/>
        <v/>
      </c>
      <c r="J1570" t="str">
        <f t="shared" si="194"/>
        <v/>
      </c>
      <c r="K1570" s="26" t="str">
        <f t="shared" si="195"/>
        <v/>
      </c>
      <c r="L1570" s="26" t="str">
        <f t="shared" si="196"/>
        <v/>
      </c>
      <c r="P1570" t="e">
        <f t="shared" si="197"/>
        <v>#N/A</v>
      </c>
      <c r="Q1570" t="e">
        <f t="shared" si="198"/>
        <v>#N/A</v>
      </c>
    </row>
    <row r="1571" spans="1:17">
      <c r="A1571" s="28"/>
      <c r="B1571" s="28"/>
      <c r="C1571" s="28"/>
      <c r="D1571" s="28"/>
      <c r="E1571" s="28"/>
      <c r="F1571" s="28"/>
      <c r="G1571" s="26" t="str">
        <f t="shared" si="192"/>
        <v/>
      </c>
      <c r="H1571" s="26" t="str">
        <f t="shared" si="199"/>
        <v/>
      </c>
      <c r="I1571" s="26" t="str">
        <f t="shared" si="193"/>
        <v/>
      </c>
      <c r="J1571" t="str">
        <f t="shared" si="194"/>
        <v/>
      </c>
      <c r="K1571" s="26" t="str">
        <f t="shared" si="195"/>
        <v/>
      </c>
      <c r="L1571" s="26" t="str">
        <f t="shared" si="196"/>
        <v/>
      </c>
      <c r="P1571" t="e">
        <f t="shared" si="197"/>
        <v>#N/A</v>
      </c>
      <c r="Q1571" t="e">
        <f t="shared" si="198"/>
        <v>#N/A</v>
      </c>
    </row>
    <row r="1572" spans="1:17">
      <c r="A1572" s="28"/>
      <c r="B1572" s="28"/>
      <c r="C1572" s="28"/>
      <c r="D1572" s="28"/>
      <c r="E1572" s="28"/>
      <c r="F1572" s="28"/>
      <c r="G1572" s="26" t="str">
        <f t="shared" si="192"/>
        <v/>
      </c>
      <c r="H1572" s="26" t="str">
        <f t="shared" si="199"/>
        <v/>
      </c>
      <c r="I1572" s="26" t="str">
        <f t="shared" si="193"/>
        <v/>
      </c>
      <c r="J1572" t="str">
        <f t="shared" si="194"/>
        <v/>
      </c>
      <c r="K1572" s="26" t="str">
        <f t="shared" si="195"/>
        <v/>
      </c>
      <c r="L1572" s="26" t="str">
        <f t="shared" si="196"/>
        <v/>
      </c>
      <c r="P1572" t="e">
        <f t="shared" si="197"/>
        <v>#N/A</v>
      </c>
      <c r="Q1572" t="e">
        <f t="shared" si="198"/>
        <v>#N/A</v>
      </c>
    </row>
    <row r="1573" spans="1:17">
      <c r="A1573" s="28"/>
      <c r="B1573" s="28"/>
      <c r="C1573" s="28"/>
      <c r="D1573" s="28"/>
      <c r="E1573" s="28"/>
      <c r="F1573" s="28"/>
      <c r="G1573" s="26" t="str">
        <f t="shared" si="192"/>
        <v/>
      </c>
      <c r="H1573" s="26" t="str">
        <f t="shared" si="199"/>
        <v/>
      </c>
      <c r="I1573" s="26" t="str">
        <f t="shared" si="193"/>
        <v/>
      </c>
      <c r="J1573" t="str">
        <f t="shared" si="194"/>
        <v/>
      </c>
      <c r="K1573" s="26" t="str">
        <f t="shared" si="195"/>
        <v/>
      </c>
      <c r="L1573" s="26" t="str">
        <f t="shared" si="196"/>
        <v/>
      </c>
      <c r="P1573" t="e">
        <f t="shared" si="197"/>
        <v>#N/A</v>
      </c>
      <c r="Q1573" t="e">
        <f t="shared" si="198"/>
        <v>#N/A</v>
      </c>
    </row>
    <row r="1574" spans="1:17">
      <c r="A1574" s="28"/>
      <c r="B1574" s="28"/>
      <c r="C1574" s="28"/>
      <c r="D1574" s="28"/>
      <c r="E1574" s="28"/>
      <c r="F1574" s="28"/>
      <c r="G1574" s="26" t="str">
        <f t="shared" si="192"/>
        <v/>
      </c>
      <c r="H1574" s="26" t="str">
        <f t="shared" si="199"/>
        <v/>
      </c>
      <c r="I1574" s="26" t="str">
        <f t="shared" si="193"/>
        <v/>
      </c>
      <c r="J1574" t="str">
        <f t="shared" si="194"/>
        <v/>
      </c>
      <c r="K1574" s="26" t="str">
        <f t="shared" si="195"/>
        <v/>
      </c>
      <c r="L1574" s="26" t="str">
        <f t="shared" si="196"/>
        <v/>
      </c>
      <c r="P1574" t="e">
        <f t="shared" si="197"/>
        <v>#N/A</v>
      </c>
      <c r="Q1574" t="e">
        <f t="shared" si="198"/>
        <v>#N/A</v>
      </c>
    </row>
    <row r="1575" spans="1:17">
      <c r="A1575" s="28"/>
      <c r="B1575" s="28"/>
      <c r="C1575" s="28"/>
      <c r="D1575" s="28"/>
      <c r="E1575" s="28"/>
      <c r="F1575" s="28"/>
      <c r="G1575" s="26" t="str">
        <f t="shared" si="192"/>
        <v/>
      </c>
      <c r="H1575" s="26" t="str">
        <f t="shared" si="199"/>
        <v/>
      </c>
      <c r="I1575" s="26" t="str">
        <f t="shared" si="193"/>
        <v/>
      </c>
      <c r="J1575" t="str">
        <f t="shared" si="194"/>
        <v/>
      </c>
      <c r="K1575" s="26" t="str">
        <f t="shared" si="195"/>
        <v/>
      </c>
      <c r="L1575" s="26" t="str">
        <f t="shared" si="196"/>
        <v/>
      </c>
      <c r="P1575" t="e">
        <f t="shared" si="197"/>
        <v>#N/A</v>
      </c>
      <c r="Q1575" t="e">
        <f t="shared" si="198"/>
        <v>#N/A</v>
      </c>
    </row>
    <row r="1576" spans="1:17">
      <c r="A1576" s="28"/>
      <c r="B1576" s="28"/>
      <c r="C1576" s="28"/>
      <c r="D1576" s="28"/>
      <c r="E1576" s="28"/>
      <c r="F1576" s="28"/>
      <c r="G1576" s="26" t="str">
        <f t="shared" si="192"/>
        <v/>
      </c>
      <c r="H1576" s="26" t="str">
        <f t="shared" si="199"/>
        <v/>
      </c>
      <c r="I1576" s="26" t="str">
        <f t="shared" si="193"/>
        <v/>
      </c>
      <c r="J1576" t="str">
        <f t="shared" si="194"/>
        <v/>
      </c>
      <c r="K1576" s="26" t="str">
        <f t="shared" si="195"/>
        <v/>
      </c>
      <c r="L1576" s="26" t="str">
        <f t="shared" si="196"/>
        <v/>
      </c>
      <c r="P1576" t="e">
        <f t="shared" si="197"/>
        <v>#N/A</v>
      </c>
      <c r="Q1576" t="e">
        <f t="shared" si="198"/>
        <v>#N/A</v>
      </c>
    </row>
    <row r="1577" spans="1:17">
      <c r="A1577" s="28"/>
      <c r="B1577" s="28"/>
      <c r="C1577" s="28"/>
      <c r="D1577" s="28"/>
      <c r="E1577" s="28"/>
      <c r="F1577" s="28"/>
      <c r="G1577" s="26" t="str">
        <f t="shared" si="192"/>
        <v/>
      </c>
      <c r="H1577" s="26" t="str">
        <f t="shared" si="199"/>
        <v/>
      </c>
      <c r="I1577" s="26" t="str">
        <f t="shared" si="193"/>
        <v/>
      </c>
      <c r="J1577" t="str">
        <f t="shared" si="194"/>
        <v/>
      </c>
      <c r="K1577" s="26" t="str">
        <f t="shared" si="195"/>
        <v/>
      </c>
      <c r="L1577" s="26" t="str">
        <f t="shared" si="196"/>
        <v/>
      </c>
      <c r="P1577" t="e">
        <f t="shared" si="197"/>
        <v>#N/A</v>
      </c>
      <c r="Q1577" t="e">
        <f t="shared" si="198"/>
        <v>#N/A</v>
      </c>
    </row>
    <row r="1578" spans="1:17">
      <c r="A1578" s="28"/>
      <c r="B1578" s="28"/>
      <c r="C1578" s="28"/>
      <c r="D1578" s="28"/>
      <c r="E1578" s="28"/>
      <c r="F1578" s="28"/>
      <c r="G1578" s="26" t="str">
        <f t="shared" si="192"/>
        <v/>
      </c>
      <c r="H1578" s="26" t="str">
        <f t="shared" si="199"/>
        <v/>
      </c>
      <c r="I1578" s="26" t="str">
        <f t="shared" si="193"/>
        <v/>
      </c>
      <c r="J1578" t="str">
        <f t="shared" si="194"/>
        <v/>
      </c>
      <c r="K1578" s="26" t="str">
        <f t="shared" si="195"/>
        <v/>
      </c>
      <c r="L1578" s="26" t="str">
        <f t="shared" si="196"/>
        <v/>
      </c>
      <c r="P1578" t="e">
        <f t="shared" si="197"/>
        <v>#N/A</v>
      </c>
      <c r="Q1578" t="e">
        <f t="shared" si="198"/>
        <v>#N/A</v>
      </c>
    </row>
    <row r="1579" spans="1:17">
      <c r="A1579" s="28"/>
      <c r="B1579" s="28"/>
      <c r="C1579" s="28"/>
      <c r="D1579" s="28"/>
      <c r="E1579" s="28"/>
      <c r="F1579" s="28"/>
      <c r="G1579" s="26" t="str">
        <f t="shared" si="192"/>
        <v/>
      </c>
      <c r="H1579" s="26" t="str">
        <f t="shared" si="199"/>
        <v/>
      </c>
      <c r="I1579" s="26" t="str">
        <f t="shared" si="193"/>
        <v/>
      </c>
      <c r="J1579" t="str">
        <f t="shared" si="194"/>
        <v/>
      </c>
      <c r="K1579" s="26" t="str">
        <f t="shared" si="195"/>
        <v/>
      </c>
      <c r="L1579" s="26" t="str">
        <f t="shared" si="196"/>
        <v/>
      </c>
      <c r="P1579" t="e">
        <f t="shared" si="197"/>
        <v>#N/A</v>
      </c>
      <c r="Q1579" t="e">
        <f t="shared" si="198"/>
        <v>#N/A</v>
      </c>
    </row>
    <row r="1580" spans="1:17">
      <c r="A1580" s="28"/>
      <c r="B1580" s="28"/>
      <c r="C1580" s="28"/>
      <c r="D1580" s="28"/>
      <c r="E1580" s="28"/>
      <c r="F1580" s="28"/>
      <c r="G1580" s="26" t="str">
        <f t="shared" si="192"/>
        <v/>
      </c>
      <c r="H1580" s="26" t="str">
        <f t="shared" si="199"/>
        <v/>
      </c>
      <c r="I1580" s="26" t="str">
        <f t="shared" si="193"/>
        <v/>
      </c>
      <c r="J1580" t="str">
        <f t="shared" si="194"/>
        <v/>
      </c>
      <c r="K1580" s="26" t="str">
        <f t="shared" si="195"/>
        <v/>
      </c>
      <c r="L1580" s="26" t="str">
        <f t="shared" si="196"/>
        <v/>
      </c>
      <c r="P1580" t="e">
        <f t="shared" si="197"/>
        <v>#N/A</v>
      </c>
      <c r="Q1580" t="e">
        <f t="shared" si="198"/>
        <v>#N/A</v>
      </c>
    </row>
    <row r="1581" spans="1:17">
      <c r="A1581" s="28"/>
      <c r="B1581" s="28"/>
      <c r="C1581" s="28"/>
      <c r="D1581" s="28"/>
      <c r="E1581" s="28"/>
      <c r="F1581" s="28"/>
      <c r="G1581" s="26" t="str">
        <f t="shared" si="192"/>
        <v/>
      </c>
      <c r="H1581" s="26" t="str">
        <f t="shared" si="199"/>
        <v/>
      </c>
      <c r="I1581" s="26" t="str">
        <f t="shared" si="193"/>
        <v/>
      </c>
      <c r="J1581" t="str">
        <f t="shared" si="194"/>
        <v/>
      </c>
      <c r="K1581" s="26" t="str">
        <f t="shared" si="195"/>
        <v/>
      </c>
      <c r="L1581" s="26" t="str">
        <f t="shared" si="196"/>
        <v/>
      </c>
      <c r="P1581" t="e">
        <f t="shared" si="197"/>
        <v>#N/A</v>
      </c>
      <c r="Q1581" t="e">
        <f t="shared" si="198"/>
        <v>#N/A</v>
      </c>
    </row>
    <row r="1582" spans="1:17">
      <c r="A1582" s="28"/>
      <c r="B1582" s="28"/>
      <c r="C1582" s="28"/>
      <c r="D1582" s="28"/>
      <c r="E1582" s="28"/>
      <c r="F1582" s="28"/>
      <c r="G1582" s="26" t="str">
        <f t="shared" si="192"/>
        <v/>
      </c>
      <c r="H1582" s="26" t="str">
        <f t="shared" si="199"/>
        <v/>
      </c>
      <c r="I1582" s="26" t="str">
        <f t="shared" si="193"/>
        <v/>
      </c>
      <c r="J1582" t="str">
        <f t="shared" si="194"/>
        <v/>
      </c>
      <c r="K1582" s="26" t="str">
        <f t="shared" si="195"/>
        <v/>
      </c>
      <c r="L1582" s="26" t="str">
        <f t="shared" si="196"/>
        <v/>
      </c>
      <c r="P1582" t="e">
        <f t="shared" si="197"/>
        <v>#N/A</v>
      </c>
      <c r="Q1582" t="e">
        <f t="shared" si="198"/>
        <v>#N/A</v>
      </c>
    </row>
    <row r="1583" spans="1:17">
      <c r="A1583" s="28"/>
      <c r="B1583" s="28"/>
      <c r="C1583" s="28"/>
      <c r="D1583" s="28"/>
      <c r="E1583" s="28"/>
      <c r="F1583" s="28"/>
      <c r="G1583" s="26" t="str">
        <f t="shared" si="192"/>
        <v/>
      </c>
      <c r="H1583" s="26" t="str">
        <f t="shared" si="199"/>
        <v/>
      </c>
      <c r="I1583" s="26" t="str">
        <f t="shared" si="193"/>
        <v/>
      </c>
      <c r="J1583" t="str">
        <f t="shared" si="194"/>
        <v/>
      </c>
      <c r="K1583" s="26" t="str">
        <f t="shared" si="195"/>
        <v/>
      </c>
      <c r="L1583" s="26" t="str">
        <f t="shared" si="196"/>
        <v/>
      </c>
      <c r="P1583" t="e">
        <f t="shared" si="197"/>
        <v>#N/A</v>
      </c>
      <c r="Q1583" t="e">
        <f t="shared" si="198"/>
        <v>#N/A</v>
      </c>
    </row>
    <row r="1584" spans="1:17">
      <c r="A1584" s="28"/>
      <c r="B1584" s="28"/>
      <c r="C1584" s="28"/>
      <c r="D1584" s="28"/>
      <c r="E1584" s="28"/>
      <c r="F1584" s="28"/>
      <c r="G1584" s="26" t="str">
        <f t="shared" si="192"/>
        <v/>
      </c>
      <c r="H1584" s="26" t="str">
        <f t="shared" si="199"/>
        <v/>
      </c>
      <c r="I1584" s="26" t="str">
        <f t="shared" si="193"/>
        <v/>
      </c>
      <c r="J1584" t="str">
        <f t="shared" si="194"/>
        <v/>
      </c>
      <c r="K1584" s="26" t="str">
        <f t="shared" si="195"/>
        <v/>
      </c>
      <c r="L1584" s="26" t="str">
        <f t="shared" si="196"/>
        <v/>
      </c>
      <c r="P1584" t="e">
        <f t="shared" si="197"/>
        <v>#N/A</v>
      </c>
      <c r="Q1584" t="e">
        <f t="shared" si="198"/>
        <v>#N/A</v>
      </c>
    </row>
    <row r="1585" spans="1:17">
      <c r="A1585" s="28"/>
      <c r="B1585" s="28"/>
      <c r="C1585" s="28"/>
      <c r="D1585" s="28"/>
      <c r="E1585" s="28"/>
      <c r="F1585" s="28"/>
      <c r="G1585" s="26" t="str">
        <f t="shared" si="192"/>
        <v/>
      </c>
      <c r="H1585" s="26" t="str">
        <f t="shared" si="199"/>
        <v/>
      </c>
      <c r="I1585" s="26" t="str">
        <f t="shared" si="193"/>
        <v/>
      </c>
      <c r="J1585" t="str">
        <f t="shared" si="194"/>
        <v/>
      </c>
      <c r="K1585" s="26" t="str">
        <f t="shared" si="195"/>
        <v/>
      </c>
      <c r="L1585" s="26" t="str">
        <f t="shared" si="196"/>
        <v/>
      </c>
      <c r="P1585" t="e">
        <f t="shared" si="197"/>
        <v>#N/A</v>
      </c>
      <c r="Q1585" t="e">
        <f t="shared" si="198"/>
        <v>#N/A</v>
      </c>
    </row>
    <row r="1586" spans="1:17">
      <c r="A1586" s="28"/>
      <c r="B1586" s="28"/>
      <c r="C1586" s="28"/>
      <c r="D1586" s="28"/>
      <c r="E1586" s="28"/>
      <c r="F1586" s="28"/>
      <c r="G1586" s="26" t="str">
        <f t="shared" si="192"/>
        <v/>
      </c>
      <c r="H1586" s="26" t="str">
        <f t="shared" si="199"/>
        <v/>
      </c>
      <c r="I1586" s="26" t="str">
        <f t="shared" si="193"/>
        <v/>
      </c>
      <c r="J1586" t="str">
        <f t="shared" si="194"/>
        <v/>
      </c>
      <c r="K1586" s="26" t="str">
        <f t="shared" si="195"/>
        <v/>
      </c>
      <c r="L1586" s="26" t="str">
        <f t="shared" si="196"/>
        <v/>
      </c>
      <c r="P1586" t="e">
        <f t="shared" si="197"/>
        <v>#N/A</v>
      </c>
      <c r="Q1586" t="e">
        <f t="shared" si="198"/>
        <v>#N/A</v>
      </c>
    </row>
    <row r="1587" spans="1:17">
      <c r="A1587" s="28"/>
      <c r="B1587" s="28"/>
      <c r="C1587" s="28"/>
      <c r="D1587" s="28"/>
      <c r="E1587" s="28"/>
      <c r="F1587" s="28"/>
      <c r="G1587" s="26" t="str">
        <f t="shared" si="192"/>
        <v/>
      </c>
      <c r="H1587" s="26" t="str">
        <f t="shared" si="199"/>
        <v/>
      </c>
      <c r="I1587" s="26" t="str">
        <f t="shared" si="193"/>
        <v/>
      </c>
      <c r="J1587" t="str">
        <f t="shared" si="194"/>
        <v/>
      </c>
      <c r="K1587" s="26" t="str">
        <f t="shared" si="195"/>
        <v/>
      </c>
      <c r="L1587" s="26" t="str">
        <f t="shared" si="196"/>
        <v/>
      </c>
      <c r="P1587" t="e">
        <f t="shared" si="197"/>
        <v>#N/A</v>
      </c>
      <c r="Q1587" t="e">
        <f t="shared" si="198"/>
        <v>#N/A</v>
      </c>
    </row>
    <row r="1588" spans="1:17">
      <c r="A1588" s="28"/>
      <c r="B1588" s="28"/>
      <c r="C1588" s="28"/>
      <c r="D1588" s="28"/>
      <c r="E1588" s="28"/>
      <c r="F1588" s="28"/>
      <c r="G1588" s="26" t="str">
        <f t="shared" si="192"/>
        <v/>
      </c>
      <c r="H1588" s="26" t="str">
        <f t="shared" si="199"/>
        <v/>
      </c>
      <c r="I1588" s="26" t="str">
        <f t="shared" si="193"/>
        <v/>
      </c>
      <c r="J1588" t="str">
        <f t="shared" si="194"/>
        <v/>
      </c>
      <c r="K1588" s="26" t="str">
        <f t="shared" si="195"/>
        <v/>
      </c>
      <c r="L1588" s="26" t="str">
        <f t="shared" si="196"/>
        <v/>
      </c>
      <c r="P1588" t="e">
        <f t="shared" si="197"/>
        <v>#N/A</v>
      </c>
      <c r="Q1588" t="e">
        <f t="shared" si="198"/>
        <v>#N/A</v>
      </c>
    </row>
    <row r="1589" spans="1:17">
      <c r="A1589" s="28"/>
      <c r="B1589" s="28"/>
      <c r="C1589" s="28"/>
      <c r="D1589" s="28"/>
      <c r="E1589" s="28"/>
      <c r="F1589" s="28"/>
      <c r="G1589" s="26" t="str">
        <f t="shared" si="192"/>
        <v/>
      </c>
      <c r="H1589" s="26" t="str">
        <f t="shared" si="199"/>
        <v/>
      </c>
      <c r="I1589" s="26" t="str">
        <f t="shared" si="193"/>
        <v/>
      </c>
      <c r="J1589" t="str">
        <f t="shared" si="194"/>
        <v/>
      </c>
      <c r="K1589" s="26" t="str">
        <f t="shared" si="195"/>
        <v/>
      </c>
      <c r="L1589" s="26" t="str">
        <f t="shared" si="196"/>
        <v/>
      </c>
      <c r="P1589" t="e">
        <f t="shared" si="197"/>
        <v>#N/A</v>
      </c>
      <c r="Q1589" t="e">
        <f t="shared" si="198"/>
        <v>#N/A</v>
      </c>
    </row>
    <row r="1590" spans="1:17">
      <c r="A1590" s="28"/>
      <c r="B1590" s="28"/>
      <c r="C1590" s="28"/>
      <c r="D1590" s="28"/>
      <c r="E1590" s="28"/>
      <c r="F1590" s="28"/>
      <c r="G1590" s="26" t="str">
        <f t="shared" si="192"/>
        <v/>
      </c>
      <c r="H1590" s="26" t="str">
        <f t="shared" si="199"/>
        <v/>
      </c>
      <c r="I1590" s="26" t="str">
        <f t="shared" si="193"/>
        <v/>
      </c>
      <c r="J1590" t="str">
        <f t="shared" si="194"/>
        <v/>
      </c>
      <c r="K1590" s="26" t="str">
        <f t="shared" si="195"/>
        <v/>
      </c>
      <c r="L1590" s="26" t="str">
        <f t="shared" si="196"/>
        <v/>
      </c>
      <c r="P1590" t="e">
        <f t="shared" si="197"/>
        <v>#N/A</v>
      </c>
      <c r="Q1590" t="e">
        <f t="shared" si="198"/>
        <v>#N/A</v>
      </c>
    </row>
    <row r="1591" spans="1:17">
      <c r="A1591" s="28"/>
      <c r="B1591" s="28"/>
      <c r="C1591" s="28"/>
      <c r="D1591" s="28"/>
      <c r="E1591" s="28"/>
      <c r="F1591" s="28"/>
      <c r="G1591" s="26" t="str">
        <f t="shared" si="192"/>
        <v/>
      </c>
      <c r="H1591" s="26" t="str">
        <f t="shared" si="199"/>
        <v/>
      </c>
      <c r="I1591" s="26" t="str">
        <f t="shared" si="193"/>
        <v/>
      </c>
      <c r="J1591" t="str">
        <f t="shared" si="194"/>
        <v/>
      </c>
      <c r="K1591" s="26" t="str">
        <f t="shared" si="195"/>
        <v/>
      </c>
      <c r="L1591" s="26" t="str">
        <f t="shared" si="196"/>
        <v/>
      </c>
      <c r="P1591" t="e">
        <f t="shared" si="197"/>
        <v>#N/A</v>
      </c>
      <c r="Q1591" t="e">
        <f t="shared" si="198"/>
        <v>#N/A</v>
      </c>
    </row>
    <row r="1592" spans="1:17">
      <c r="A1592" s="28"/>
      <c r="B1592" s="28"/>
      <c r="C1592" s="28"/>
      <c r="D1592" s="28"/>
      <c r="E1592" s="28"/>
      <c r="F1592" s="28"/>
      <c r="G1592" s="26" t="str">
        <f t="shared" si="192"/>
        <v/>
      </c>
      <c r="H1592" s="26" t="str">
        <f t="shared" si="199"/>
        <v/>
      </c>
      <c r="I1592" s="26" t="str">
        <f t="shared" si="193"/>
        <v/>
      </c>
      <c r="J1592" t="str">
        <f t="shared" si="194"/>
        <v/>
      </c>
      <c r="K1592" s="26" t="str">
        <f t="shared" si="195"/>
        <v/>
      </c>
      <c r="L1592" s="26" t="str">
        <f t="shared" si="196"/>
        <v/>
      </c>
      <c r="P1592" t="e">
        <f t="shared" si="197"/>
        <v>#N/A</v>
      </c>
      <c r="Q1592" t="e">
        <f t="shared" si="198"/>
        <v>#N/A</v>
      </c>
    </row>
    <row r="1593" spans="1:17">
      <c r="A1593" s="28"/>
      <c r="B1593" s="28"/>
      <c r="C1593" s="28"/>
      <c r="D1593" s="28"/>
      <c r="E1593" s="28"/>
      <c r="F1593" s="28"/>
      <c r="G1593" s="26" t="str">
        <f t="shared" si="192"/>
        <v/>
      </c>
      <c r="H1593" s="26" t="str">
        <f t="shared" si="199"/>
        <v/>
      </c>
      <c r="I1593" s="26" t="str">
        <f t="shared" si="193"/>
        <v/>
      </c>
      <c r="J1593" t="str">
        <f t="shared" si="194"/>
        <v/>
      </c>
      <c r="K1593" s="26" t="str">
        <f t="shared" si="195"/>
        <v/>
      </c>
      <c r="L1593" s="26" t="str">
        <f t="shared" si="196"/>
        <v/>
      </c>
      <c r="P1593" t="e">
        <f t="shared" si="197"/>
        <v>#N/A</v>
      </c>
      <c r="Q1593" t="e">
        <f t="shared" si="198"/>
        <v>#N/A</v>
      </c>
    </row>
    <row r="1594" spans="1:17">
      <c r="A1594" s="28"/>
      <c r="B1594" s="28"/>
      <c r="C1594" s="28"/>
      <c r="D1594" s="28"/>
      <c r="E1594" s="28"/>
      <c r="F1594" s="28"/>
      <c r="G1594" s="26" t="str">
        <f t="shared" si="192"/>
        <v/>
      </c>
      <c r="H1594" s="26" t="str">
        <f t="shared" si="199"/>
        <v/>
      </c>
      <c r="I1594" s="26" t="str">
        <f t="shared" si="193"/>
        <v/>
      </c>
      <c r="J1594" t="str">
        <f t="shared" si="194"/>
        <v/>
      </c>
      <c r="K1594" s="26" t="str">
        <f t="shared" si="195"/>
        <v/>
      </c>
      <c r="L1594" s="26" t="str">
        <f t="shared" si="196"/>
        <v/>
      </c>
      <c r="P1594" t="e">
        <f t="shared" si="197"/>
        <v>#N/A</v>
      </c>
      <c r="Q1594" t="e">
        <f t="shared" si="198"/>
        <v>#N/A</v>
      </c>
    </row>
    <row r="1595" spans="1:17">
      <c r="A1595" s="28"/>
      <c r="B1595" s="28"/>
      <c r="C1595" s="28"/>
      <c r="D1595" s="28"/>
      <c r="E1595" s="28"/>
      <c r="F1595" s="28"/>
      <c r="G1595" s="26" t="str">
        <f t="shared" si="192"/>
        <v/>
      </c>
      <c r="H1595" s="26" t="str">
        <f t="shared" si="199"/>
        <v/>
      </c>
      <c r="I1595" s="26" t="str">
        <f t="shared" si="193"/>
        <v/>
      </c>
      <c r="J1595" t="str">
        <f t="shared" si="194"/>
        <v/>
      </c>
      <c r="K1595" s="26" t="str">
        <f t="shared" si="195"/>
        <v/>
      </c>
      <c r="L1595" s="26" t="str">
        <f t="shared" si="196"/>
        <v/>
      </c>
      <c r="P1595" t="e">
        <f t="shared" si="197"/>
        <v>#N/A</v>
      </c>
      <c r="Q1595" t="e">
        <f t="shared" si="198"/>
        <v>#N/A</v>
      </c>
    </row>
    <row r="1596" spans="1:17">
      <c r="A1596" s="28"/>
      <c r="B1596" s="28"/>
      <c r="C1596" s="28"/>
      <c r="D1596" s="28"/>
      <c r="E1596" s="28"/>
      <c r="F1596" s="28"/>
      <c r="G1596" s="26" t="str">
        <f t="shared" si="192"/>
        <v/>
      </c>
      <c r="H1596" s="26" t="str">
        <f t="shared" si="199"/>
        <v/>
      </c>
      <c r="I1596" s="26" t="str">
        <f t="shared" si="193"/>
        <v/>
      </c>
      <c r="J1596" t="str">
        <f t="shared" si="194"/>
        <v/>
      </c>
      <c r="K1596" s="26" t="str">
        <f t="shared" si="195"/>
        <v/>
      </c>
      <c r="L1596" s="26" t="str">
        <f t="shared" si="196"/>
        <v/>
      </c>
      <c r="P1596" t="e">
        <f t="shared" si="197"/>
        <v>#N/A</v>
      </c>
      <c r="Q1596" t="e">
        <f t="shared" si="198"/>
        <v>#N/A</v>
      </c>
    </row>
    <row r="1597" spans="1:17">
      <c r="A1597" s="28"/>
      <c r="B1597" s="28"/>
      <c r="C1597" s="28"/>
      <c r="D1597" s="28"/>
      <c r="E1597" s="28"/>
      <c r="F1597" s="28"/>
      <c r="G1597" s="26" t="str">
        <f t="shared" si="192"/>
        <v/>
      </c>
      <c r="H1597" s="26" t="str">
        <f t="shared" si="199"/>
        <v/>
      </c>
      <c r="I1597" s="26" t="str">
        <f t="shared" si="193"/>
        <v/>
      </c>
      <c r="J1597" t="str">
        <f t="shared" si="194"/>
        <v/>
      </c>
      <c r="K1597" s="26" t="str">
        <f t="shared" si="195"/>
        <v/>
      </c>
      <c r="L1597" s="26" t="str">
        <f t="shared" si="196"/>
        <v/>
      </c>
      <c r="P1597" t="e">
        <f t="shared" si="197"/>
        <v>#N/A</v>
      </c>
      <c r="Q1597" t="e">
        <f t="shared" si="198"/>
        <v>#N/A</v>
      </c>
    </row>
    <row r="1598" spans="1:17">
      <c r="A1598" s="28"/>
      <c r="B1598" s="28"/>
      <c r="C1598" s="28"/>
      <c r="D1598" s="28"/>
      <c r="E1598" s="28"/>
      <c r="F1598" s="28"/>
      <c r="G1598" s="26" t="str">
        <f t="shared" si="192"/>
        <v/>
      </c>
      <c r="H1598" s="26" t="str">
        <f t="shared" si="199"/>
        <v/>
      </c>
      <c r="I1598" s="26" t="str">
        <f t="shared" si="193"/>
        <v/>
      </c>
      <c r="J1598" t="str">
        <f t="shared" si="194"/>
        <v/>
      </c>
      <c r="K1598" s="26" t="str">
        <f t="shared" si="195"/>
        <v/>
      </c>
      <c r="L1598" s="26" t="str">
        <f t="shared" si="196"/>
        <v/>
      </c>
      <c r="P1598" t="e">
        <f t="shared" si="197"/>
        <v>#N/A</v>
      </c>
      <c r="Q1598" t="e">
        <f t="shared" si="198"/>
        <v>#N/A</v>
      </c>
    </row>
    <row r="1599" spans="1:17">
      <c r="A1599" s="28"/>
      <c r="B1599" s="28"/>
      <c r="C1599" s="28"/>
      <c r="D1599" s="28"/>
      <c r="E1599" s="28"/>
      <c r="F1599" s="28"/>
      <c r="G1599" s="26" t="str">
        <f t="shared" si="192"/>
        <v/>
      </c>
      <c r="H1599" s="26" t="str">
        <f t="shared" si="199"/>
        <v/>
      </c>
      <c r="I1599" s="26" t="str">
        <f t="shared" si="193"/>
        <v/>
      </c>
      <c r="J1599" t="str">
        <f t="shared" si="194"/>
        <v/>
      </c>
      <c r="K1599" s="26" t="str">
        <f t="shared" si="195"/>
        <v/>
      </c>
      <c r="L1599" s="26" t="str">
        <f t="shared" si="196"/>
        <v/>
      </c>
      <c r="P1599" t="e">
        <f t="shared" si="197"/>
        <v>#N/A</v>
      </c>
      <c r="Q1599" t="e">
        <f t="shared" si="198"/>
        <v>#N/A</v>
      </c>
    </row>
    <row r="1600" spans="1:17">
      <c r="A1600" s="28"/>
      <c r="B1600" s="28"/>
      <c r="C1600" s="28"/>
      <c r="D1600" s="28"/>
      <c r="E1600" s="28"/>
      <c r="F1600" s="28"/>
      <c r="G1600" s="26" t="str">
        <f t="shared" si="192"/>
        <v/>
      </c>
      <c r="H1600" s="26" t="str">
        <f t="shared" si="199"/>
        <v/>
      </c>
      <c r="I1600" s="26" t="str">
        <f t="shared" si="193"/>
        <v/>
      </c>
      <c r="J1600" t="str">
        <f t="shared" si="194"/>
        <v/>
      </c>
      <c r="K1600" s="26" t="str">
        <f t="shared" si="195"/>
        <v/>
      </c>
      <c r="L1600" s="26" t="str">
        <f t="shared" si="196"/>
        <v/>
      </c>
      <c r="P1600" t="e">
        <f t="shared" si="197"/>
        <v>#N/A</v>
      </c>
      <c r="Q1600" t="e">
        <f t="shared" si="198"/>
        <v>#N/A</v>
      </c>
    </row>
    <row r="1601" spans="1:17">
      <c r="A1601" s="28"/>
      <c r="B1601" s="28"/>
      <c r="C1601" s="28"/>
      <c r="D1601" s="28"/>
      <c r="E1601" s="28"/>
      <c r="F1601" s="28"/>
      <c r="G1601" s="26" t="str">
        <f t="shared" si="192"/>
        <v/>
      </c>
      <c r="H1601" s="26" t="str">
        <f t="shared" si="199"/>
        <v/>
      </c>
      <c r="I1601" s="26" t="str">
        <f t="shared" si="193"/>
        <v/>
      </c>
      <c r="J1601" t="str">
        <f t="shared" si="194"/>
        <v/>
      </c>
      <c r="K1601" s="26" t="str">
        <f t="shared" si="195"/>
        <v/>
      </c>
      <c r="L1601" s="26" t="str">
        <f t="shared" si="196"/>
        <v/>
      </c>
      <c r="P1601" t="e">
        <f t="shared" si="197"/>
        <v>#N/A</v>
      </c>
      <c r="Q1601" t="e">
        <f t="shared" si="198"/>
        <v>#N/A</v>
      </c>
    </row>
    <row r="1602" spans="1:17">
      <c r="A1602" s="28"/>
      <c r="B1602" s="28"/>
      <c r="C1602" s="28"/>
      <c r="D1602" s="28"/>
      <c r="E1602" s="28"/>
      <c r="F1602" s="28"/>
      <c r="G1602" s="26" t="str">
        <f t="shared" ref="G1602:G1665" si="200">IF(B1602="","",243.04*(LN(C1602/100)+17.625*B1602/(243.04+B1602))/(17.625-LN(C1602/100)-17.625*B1602/(243.04+B1602)))</f>
        <v/>
      </c>
      <c r="H1602" s="26" t="str">
        <f t="shared" si="199"/>
        <v/>
      </c>
      <c r="I1602" s="26" t="str">
        <f t="shared" ref="I1602:I1665" si="201">IF(B1602="","",B1602-E1602)</f>
        <v/>
      </c>
      <c r="J1602" t="str">
        <f t="shared" ref="J1602:J1665" si="202">IF(H1602="","",IF(H1602&gt;0.6,"Heating",IF(H1602&lt;-0.2,"Cooling","Steady")))</f>
        <v/>
      </c>
      <c r="K1602" s="26" t="str">
        <f t="shared" ref="K1602:K1665" si="203">IF(J1602="Cooling",I1602,"")</f>
        <v/>
      </c>
      <c r="L1602" s="26" t="str">
        <f t="shared" ref="L1602:L1665" si="204">IF(J1602="Cooling",H1602,"")</f>
        <v/>
      </c>
      <c r="P1602" t="e">
        <f t="shared" ref="P1602:P1665" si="205">IF(K1602="",NA(),K1602)</f>
        <v>#N/A</v>
      </c>
      <c r="Q1602" t="e">
        <f t="shared" ref="Q1602:Q1665" si="206">IF(L1602="",NA(),L1602)</f>
        <v>#N/A</v>
      </c>
    </row>
    <row r="1603" spans="1:17">
      <c r="A1603" s="28"/>
      <c r="B1603" s="28"/>
      <c r="C1603" s="28"/>
      <c r="D1603" s="28"/>
      <c r="E1603" s="28"/>
      <c r="F1603" s="28"/>
      <c r="G1603" s="26" t="str">
        <f t="shared" si="200"/>
        <v/>
      </c>
      <c r="H1603" s="26" t="str">
        <f t="shared" si="199"/>
        <v/>
      </c>
      <c r="I1603" s="26" t="str">
        <f t="shared" si="201"/>
        <v/>
      </c>
      <c r="J1603" t="str">
        <f t="shared" si="202"/>
        <v/>
      </c>
      <c r="K1603" s="26" t="str">
        <f t="shared" si="203"/>
        <v/>
      </c>
      <c r="L1603" s="26" t="str">
        <f t="shared" si="204"/>
        <v/>
      </c>
      <c r="P1603" t="e">
        <f t="shared" si="205"/>
        <v>#N/A</v>
      </c>
      <c r="Q1603" t="e">
        <f t="shared" si="206"/>
        <v>#N/A</v>
      </c>
    </row>
    <row r="1604" spans="1:17">
      <c r="A1604" s="28"/>
      <c r="B1604" s="28"/>
      <c r="C1604" s="28"/>
      <c r="D1604" s="28"/>
      <c r="E1604" s="28"/>
      <c r="F1604" s="28"/>
      <c r="G1604" s="26" t="str">
        <f t="shared" si="200"/>
        <v/>
      </c>
      <c r="H1604" s="26" t="str">
        <f t="shared" ref="H1604:H1667" si="207">IFERROR(IF(OR(B1602="",B1606=""),"",(B1606-B1602)/4*60),"")</f>
        <v/>
      </c>
      <c r="I1604" s="26" t="str">
        <f t="shared" si="201"/>
        <v/>
      </c>
      <c r="J1604" t="str">
        <f t="shared" si="202"/>
        <v/>
      </c>
      <c r="K1604" s="26" t="str">
        <f t="shared" si="203"/>
        <v/>
      </c>
      <c r="L1604" s="26" t="str">
        <f t="shared" si="204"/>
        <v/>
      </c>
      <c r="P1604" t="e">
        <f t="shared" si="205"/>
        <v>#N/A</v>
      </c>
      <c r="Q1604" t="e">
        <f t="shared" si="206"/>
        <v>#N/A</v>
      </c>
    </row>
    <row r="1605" spans="1:17">
      <c r="A1605" s="28"/>
      <c r="B1605" s="28"/>
      <c r="C1605" s="28"/>
      <c r="D1605" s="28"/>
      <c r="E1605" s="28"/>
      <c r="F1605" s="28"/>
      <c r="G1605" s="26" t="str">
        <f t="shared" si="200"/>
        <v/>
      </c>
      <c r="H1605" s="26" t="str">
        <f t="shared" si="207"/>
        <v/>
      </c>
      <c r="I1605" s="26" t="str">
        <f t="shared" si="201"/>
        <v/>
      </c>
      <c r="J1605" t="str">
        <f t="shared" si="202"/>
        <v/>
      </c>
      <c r="K1605" s="26" t="str">
        <f t="shared" si="203"/>
        <v/>
      </c>
      <c r="L1605" s="26" t="str">
        <f t="shared" si="204"/>
        <v/>
      </c>
      <c r="P1605" t="e">
        <f t="shared" si="205"/>
        <v>#N/A</v>
      </c>
      <c r="Q1605" t="e">
        <f t="shared" si="206"/>
        <v>#N/A</v>
      </c>
    </row>
    <row r="1606" spans="1:17">
      <c r="A1606" s="28"/>
      <c r="B1606" s="28"/>
      <c r="C1606" s="28"/>
      <c r="D1606" s="28"/>
      <c r="E1606" s="28"/>
      <c r="F1606" s="28"/>
      <c r="G1606" s="26" t="str">
        <f t="shared" si="200"/>
        <v/>
      </c>
      <c r="H1606" s="26" t="str">
        <f t="shared" si="207"/>
        <v/>
      </c>
      <c r="I1606" s="26" t="str">
        <f t="shared" si="201"/>
        <v/>
      </c>
      <c r="J1606" t="str">
        <f t="shared" si="202"/>
        <v/>
      </c>
      <c r="K1606" s="26" t="str">
        <f t="shared" si="203"/>
        <v/>
      </c>
      <c r="L1606" s="26" t="str">
        <f t="shared" si="204"/>
        <v/>
      </c>
      <c r="P1606" t="e">
        <f t="shared" si="205"/>
        <v>#N/A</v>
      </c>
      <c r="Q1606" t="e">
        <f t="shared" si="206"/>
        <v>#N/A</v>
      </c>
    </row>
    <row r="1607" spans="1:17">
      <c r="A1607" s="28"/>
      <c r="B1607" s="28"/>
      <c r="C1607" s="28"/>
      <c r="D1607" s="28"/>
      <c r="E1607" s="28"/>
      <c r="F1607" s="28"/>
      <c r="G1607" s="26" t="str">
        <f t="shared" si="200"/>
        <v/>
      </c>
      <c r="H1607" s="26" t="str">
        <f t="shared" si="207"/>
        <v/>
      </c>
      <c r="I1607" s="26" t="str">
        <f t="shared" si="201"/>
        <v/>
      </c>
      <c r="J1607" t="str">
        <f t="shared" si="202"/>
        <v/>
      </c>
      <c r="K1607" s="26" t="str">
        <f t="shared" si="203"/>
        <v/>
      </c>
      <c r="L1607" s="26" t="str">
        <f t="shared" si="204"/>
        <v/>
      </c>
      <c r="P1607" t="e">
        <f t="shared" si="205"/>
        <v>#N/A</v>
      </c>
      <c r="Q1607" t="e">
        <f t="shared" si="206"/>
        <v>#N/A</v>
      </c>
    </row>
    <row r="1608" spans="1:17">
      <c r="A1608" s="28"/>
      <c r="B1608" s="28"/>
      <c r="C1608" s="28"/>
      <c r="D1608" s="28"/>
      <c r="E1608" s="28"/>
      <c r="F1608" s="28"/>
      <c r="G1608" s="26" t="str">
        <f t="shared" si="200"/>
        <v/>
      </c>
      <c r="H1608" s="26" t="str">
        <f t="shared" si="207"/>
        <v/>
      </c>
      <c r="I1608" s="26" t="str">
        <f t="shared" si="201"/>
        <v/>
      </c>
      <c r="J1608" t="str">
        <f t="shared" si="202"/>
        <v/>
      </c>
      <c r="K1608" s="26" t="str">
        <f t="shared" si="203"/>
        <v/>
      </c>
      <c r="L1608" s="26" t="str">
        <f t="shared" si="204"/>
        <v/>
      </c>
      <c r="P1608" t="e">
        <f t="shared" si="205"/>
        <v>#N/A</v>
      </c>
      <c r="Q1608" t="e">
        <f t="shared" si="206"/>
        <v>#N/A</v>
      </c>
    </row>
    <row r="1609" spans="1:17">
      <c r="A1609" s="28"/>
      <c r="B1609" s="28"/>
      <c r="C1609" s="28"/>
      <c r="D1609" s="28"/>
      <c r="E1609" s="28"/>
      <c r="F1609" s="28"/>
      <c r="G1609" s="26" t="str">
        <f t="shared" si="200"/>
        <v/>
      </c>
      <c r="H1609" s="26" t="str">
        <f t="shared" si="207"/>
        <v/>
      </c>
      <c r="I1609" s="26" t="str">
        <f t="shared" si="201"/>
        <v/>
      </c>
      <c r="J1609" t="str">
        <f t="shared" si="202"/>
        <v/>
      </c>
      <c r="K1609" s="26" t="str">
        <f t="shared" si="203"/>
        <v/>
      </c>
      <c r="L1609" s="26" t="str">
        <f t="shared" si="204"/>
        <v/>
      </c>
      <c r="P1609" t="e">
        <f t="shared" si="205"/>
        <v>#N/A</v>
      </c>
      <c r="Q1609" t="e">
        <f t="shared" si="206"/>
        <v>#N/A</v>
      </c>
    </row>
    <row r="1610" spans="1:17">
      <c r="A1610" s="28"/>
      <c r="B1610" s="28"/>
      <c r="C1610" s="28"/>
      <c r="D1610" s="28"/>
      <c r="E1610" s="28"/>
      <c r="F1610" s="28"/>
      <c r="G1610" s="26" t="str">
        <f t="shared" si="200"/>
        <v/>
      </c>
      <c r="H1610" s="26" t="str">
        <f t="shared" si="207"/>
        <v/>
      </c>
      <c r="I1610" s="26" t="str">
        <f t="shared" si="201"/>
        <v/>
      </c>
      <c r="J1610" t="str">
        <f t="shared" si="202"/>
        <v/>
      </c>
      <c r="K1610" s="26" t="str">
        <f t="shared" si="203"/>
        <v/>
      </c>
      <c r="L1610" s="26" t="str">
        <f t="shared" si="204"/>
        <v/>
      </c>
      <c r="P1610" t="e">
        <f t="shared" si="205"/>
        <v>#N/A</v>
      </c>
      <c r="Q1610" t="e">
        <f t="shared" si="206"/>
        <v>#N/A</v>
      </c>
    </row>
    <row r="1611" spans="1:17">
      <c r="A1611" s="28"/>
      <c r="B1611" s="28"/>
      <c r="C1611" s="28"/>
      <c r="D1611" s="28"/>
      <c r="E1611" s="28"/>
      <c r="F1611" s="28"/>
      <c r="G1611" s="26" t="str">
        <f t="shared" si="200"/>
        <v/>
      </c>
      <c r="H1611" s="26" t="str">
        <f t="shared" si="207"/>
        <v/>
      </c>
      <c r="I1611" s="26" t="str">
        <f t="shared" si="201"/>
        <v/>
      </c>
      <c r="J1611" t="str">
        <f t="shared" si="202"/>
        <v/>
      </c>
      <c r="K1611" s="26" t="str">
        <f t="shared" si="203"/>
        <v/>
      </c>
      <c r="L1611" s="26" t="str">
        <f t="shared" si="204"/>
        <v/>
      </c>
      <c r="P1611" t="e">
        <f t="shared" si="205"/>
        <v>#N/A</v>
      </c>
      <c r="Q1611" t="e">
        <f t="shared" si="206"/>
        <v>#N/A</v>
      </c>
    </row>
    <row r="1612" spans="1:17">
      <c r="A1612" s="28"/>
      <c r="B1612" s="28"/>
      <c r="C1612" s="28"/>
      <c r="D1612" s="28"/>
      <c r="E1612" s="28"/>
      <c r="F1612" s="28"/>
      <c r="G1612" s="26" t="str">
        <f t="shared" si="200"/>
        <v/>
      </c>
      <c r="H1612" s="26" t="str">
        <f t="shared" si="207"/>
        <v/>
      </c>
      <c r="I1612" s="26" t="str">
        <f t="shared" si="201"/>
        <v/>
      </c>
      <c r="J1612" t="str">
        <f t="shared" si="202"/>
        <v/>
      </c>
      <c r="K1612" s="26" t="str">
        <f t="shared" si="203"/>
        <v/>
      </c>
      <c r="L1612" s="26" t="str">
        <f t="shared" si="204"/>
        <v/>
      </c>
      <c r="P1612" t="e">
        <f t="shared" si="205"/>
        <v>#N/A</v>
      </c>
      <c r="Q1612" t="e">
        <f t="shared" si="206"/>
        <v>#N/A</v>
      </c>
    </row>
    <row r="1613" spans="1:17">
      <c r="A1613" s="28"/>
      <c r="B1613" s="28"/>
      <c r="C1613" s="28"/>
      <c r="D1613" s="28"/>
      <c r="E1613" s="28"/>
      <c r="F1613" s="28"/>
      <c r="G1613" s="26" t="str">
        <f t="shared" si="200"/>
        <v/>
      </c>
      <c r="H1613" s="26" t="str">
        <f t="shared" si="207"/>
        <v/>
      </c>
      <c r="I1613" s="26" t="str">
        <f t="shared" si="201"/>
        <v/>
      </c>
      <c r="J1613" t="str">
        <f t="shared" si="202"/>
        <v/>
      </c>
      <c r="K1613" s="26" t="str">
        <f t="shared" si="203"/>
        <v/>
      </c>
      <c r="L1613" s="26" t="str">
        <f t="shared" si="204"/>
        <v/>
      </c>
      <c r="P1613" t="e">
        <f t="shared" si="205"/>
        <v>#N/A</v>
      </c>
      <c r="Q1613" t="e">
        <f t="shared" si="206"/>
        <v>#N/A</v>
      </c>
    </row>
    <row r="1614" spans="1:17">
      <c r="A1614" s="28"/>
      <c r="B1614" s="28"/>
      <c r="C1614" s="28"/>
      <c r="D1614" s="28"/>
      <c r="E1614" s="28"/>
      <c r="F1614" s="28"/>
      <c r="G1614" s="26" t="str">
        <f t="shared" si="200"/>
        <v/>
      </c>
      <c r="H1614" s="26" t="str">
        <f t="shared" si="207"/>
        <v/>
      </c>
      <c r="I1614" s="26" t="str">
        <f t="shared" si="201"/>
        <v/>
      </c>
      <c r="J1614" t="str">
        <f t="shared" si="202"/>
        <v/>
      </c>
      <c r="K1614" s="26" t="str">
        <f t="shared" si="203"/>
        <v/>
      </c>
      <c r="L1614" s="26" t="str">
        <f t="shared" si="204"/>
        <v/>
      </c>
      <c r="P1614" t="e">
        <f t="shared" si="205"/>
        <v>#N/A</v>
      </c>
      <c r="Q1614" t="e">
        <f t="shared" si="206"/>
        <v>#N/A</v>
      </c>
    </row>
    <row r="1615" spans="1:17">
      <c r="A1615" s="28"/>
      <c r="B1615" s="28"/>
      <c r="C1615" s="28"/>
      <c r="D1615" s="28"/>
      <c r="E1615" s="28"/>
      <c r="F1615" s="28"/>
      <c r="G1615" s="26" t="str">
        <f t="shared" si="200"/>
        <v/>
      </c>
      <c r="H1615" s="26" t="str">
        <f t="shared" si="207"/>
        <v/>
      </c>
      <c r="I1615" s="26" t="str">
        <f t="shared" si="201"/>
        <v/>
      </c>
      <c r="J1615" t="str">
        <f t="shared" si="202"/>
        <v/>
      </c>
      <c r="K1615" s="26" t="str">
        <f t="shared" si="203"/>
        <v/>
      </c>
      <c r="L1615" s="26" t="str">
        <f t="shared" si="204"/>
        <v/>
      </c>
      <c r="P1615" t="e">
        <f t="shared" si="205"/>
        <v>#N/A</v>
      </c>
      <c r="Q1615" t="e">
        <f t="shared" si="206"/>
        <v>#N/A</v>
      </c>
    </row>
    <row r="1616" spans="1:17">
      <c r="A1616" s="28"/>
      <c r="B1616" s="28"/>
      <c r="C1616" s="28"/>
      <c r="D1616" s="28"/>
      <c r="E1616" s="28"/>
      <c r="F1616" s="28"/>
      <c r="G1616" s="26" t="str">
        <f t="shared" si="200"/>
        <v/>
      </c>
      <c r="H1616" s="26" t="str">
        <f t="shared" si="207"/>
        <v/>
      </c>
      <c r="I1616" s="26" t="str">
        <f t="shared" si="201"/>
        <v/>
      </c>
      <c r="J1616" t="str">
        <f t="shared" si="202"/>
        <v/>
      </c>
      <c r="K1616" s="26" t="str">
        <f t="shared" si="203"/>
        <v/>
      </c>
      <c r="L1616" s="26" t="str">
        <f t="shared" si="204"/>
        <v/>
      </c>
      <c r="P1616" t="e">
        <f t="shared" si="205"/>
        <v>#N/A</v>
      </c>
      <c r="Q1616" t="e">
        <f t="shared" si="206"/>
        <v>#N/A</v>
      </c>
    </row>
    <row r="1617" spans="1:17">
      <c r="A1617" s="28"/>
      <c r="B1617" s="28"/>
      <c r="C1617" s="28"/>
      <c r="D1617" s="28"/>
      <c r="E1617" s="28"/>
      <c r="F1617" s="28"/>
      <c r="G1617" s="26" t="str">
        <f t="shared" si="200"/>
        <v/>
      </c>
      <c r="H1617" s="26" t="str">
        <f t="shared" si="207"/>
        <v/>
      </c>
      <c r="I1617" s="26" t="str">
        <f t="shared" si="201"/>
        <v/>
      </c>
      <c r="J1617" t="str">
        <f t="shared" si="202"/>
        <v/>
      </c>
      <c r="K1617" s="26" t="str">
        <f t="shared" si="203"/>
        <v/>
      </c>
      <c r="L1617" s="26" t="str">
        <f t="shared" si="204"/>
        <v/>
      </c>
      <c r="P1617" t="e">
        <f t="shared" si="205"/>
        <v>#N/A</v>
      </c>
      <c r="Q1617" t="e">
        <f t="shared" si="206"/>
        <v>#N/A</v>
      </c>
    </row>
    <row r="1618" spans="1:17">
      <c r="A1618" s="28"/>
      <c r="B1618" s="28"/>
      <c r="C1618" s="28"/>
      <c r="D1618" s="28"/>
      <c r="E1618" s="28"/>
      <c r="F1618" s="28"/>
      <c r="G1618" s="26" t="str">
        <f t="shared" si="200"/>
        <v/>
      </c>
      <c r="H1618" s="26" t="str">
        <f t="shared" si="207"/>
        <v/>
      </c>
      <c r="I1618" s="26" t="str">
        <f t="shared" si="201"/>
        <v/>
      </c>
      <c r="J1618" t="str">
        <f t="shared" si="202"/>
        <v/>
      </c>
      <c r="K1618" s="26" t="str">
        <f t="shared" si="203"/>
        <v/>
      </c>
      <c r="L1618" s="26" t="str">
        <f t="shared" si="204"/>
        <v/>
      </c>
      <c r="P1618" t="e">
        <f t="shared" si="205"/>
        <v>#N/A</v>
      </c>
      <c r="Q1618" t="e">
        <f t="shared" si="206"/>
        <v>#N/A</v>
      </c>
    </row>
    <row r="1619" spans="1:17">
      <c r="A1619" s="28"/>
      <c r="B1619" s="28"/>
      <c r="C1619" s="28"/>
      <c r="D1619" s="28"/>
      <c r="E1619" s="28"/>
      <c r="F1619" s="28"/>
      <c r="G1619" s="26" t="str">
        <f t="shared" si="200"/>
        <v/>
      </c>
      <c r="H1619" s="26" t="str">
        <f t="shared" si="207"/>
        <v/>
      </c>
      <c r="I1619" s="26" t="str">
        <f t="shared" si="201"/>
        <v/>
      </c>
      <c r="J1619" t="str">
        <f t="shared" si="202"/>
        <v/>
      </c>
      <c r="K1619" s="26" t="str">
        <f t="shared" si="203"/>
        <v/>
      </c>
      <c r="L1619" s="26" t="str">
        <f t="shared" si="204"/>
        <v/>
      </c>
      <c r="P1619" t="e">
        <f t="shared" si="205"/>
        <v>#N/A</v>
      </c>
      <c r="Q1619" t="e">
        <f t="shared" si="206"/>
        <v>#N/A</v>
      </c>
    </row>
    <row r="1620" spans="1:17">
      <c r="A1620" s="28"/>
      <c r="B1620" s="28"/>
      <c r="C1620" s="28"/>
      <c r="D1620" s="28"/>
      <c r="E1620" s="28"/>
      <c r="F1620" s="28"/>
      <c r="G1620" s="26" t="str">
        <f t="shared" si="200"/>
        <v/>
      </c>
      <c r="H1620" s="26" t="str">
        <f t="shared" si="207"/>
        <v/>
      </c>
      <c r="I1620" s="26" t="str">
        <f t="shared" si="201"/>
        <v/>
      </c>
      <c r="J1620" t="str">
        <f t="shared" si="202"/>
        <v/>
      </c>
      <c r="K1620" s="26" t="str">
        <f t="shared" si="203"/>
        <v/>
      </c>
      <c r="L1620" s="26" t="str">
        <f t="shared" si="204"/>
        <v/>
      </c>
      <c r="P1620" t="e">
        <f t="shared" si="205"/>
        <v>#N/A</v>
      </c>
      <c r="Q1620" t="e">
        <f t="shared" si="206"/>
        <v>#N/A</v>
      </c>
    </row>
    <row r="1621" spans="1:17">
      <c r="A1621" s="28"/>
      <c r="B1621" s="28"/>
      <c r="C1621" s="28"/>
      <c r="D1621" s="28"/>
      <c r="E1621" s="28"/>
      <c r="F1621" s="28"/>
      <c r="G1621" s="26" t="str">
        <f t="shared" si="200"/>
        <v/>
      </c>
      <c r="H1621" s="26" t="str">
        <f t="shared" si="207"/>
        <v/>
      </c>
      <c r="I1621" s="26" t="str">
        <f t="shared" si="201"/>
        <v/>
      </c>
      <c r="J1621" t="str">
        <f t="shared" si="202"/>
        <v/>
      </c>
      <c r="K1621" s="26" t="str">
        <f t="shared" si="203"/>
        <v/>
      </c>
      <c r="L1621" s="26" t="str">
        <f t="shared" si="204"/>
        <v/>
      </c>
      <c r="P1621" t="e">
        <f t="shared" si="205"/>
        <v>#N/A</v>
      </c>
      <c r="Q1621" t="e">
        <f t="shared" si="206"/>
        <v>#N/A</v>
      </c>
    </row>
    <row r="1622" spans="1:17">
      <c r="A1622" s="28"/>
      <c r="B1622" s="28"/>
      <c r="C1622" s="28"/>
      <c r="D1622" s="28"/>
      <c r="E1622" s="28"/>
      <c r="F1622" s="28"/>
      <c r="G1622" s="26" t="str">
        <f t="shared" si="200"/>
        <v/>
      </c>
      <c r="H1622" s="26" t="str">
        <f t="shared" si="207"/>
        <v/>
      </c>
      <c r="I1622" s="26" t="str">
        <f t="shared" si="201"/>
        <v/>
      </c>
      <c r="J1622" t="str">
        <f t="shared" si="202"/>
        <v/>
      </c>
      <c r="K1622" s="26" t="str">
        <f t="shared" si="203"/>
        <v/>
      </c>
      <c r="L1622" s="26" t="str">
        <f t="shared" si="204"/>
        <v/>
      </c>
      <c r="P1622" t="e">
        <f t="shared" si="205"/>
        <v>#N/A</v>
      </c>
      <c r="Q1622" t="e">
        <f t="shared" si="206"/>
        <v>#N/A</v>
      </c>
    </row>
    <row r="1623" spans="1:17">
      <c r="A1623" s="28"/>
      <c r="B1623" s="28"/>
      <c r="C1623" s="28"/>
      <c r="D1623" s="28"/>
      <c r="E1623" s="28"/>
      <c r="F1623" s="28"/>
      <c r="G1623" s="26" t="str">
        <f t="shared" si="200"/>
        <v/>
      </c>
      <c r="H1623" s="26" t="str">
        <f t="shared" si="207"/>
        <v/>
      </c>
      <c r="I1623" s="26" t="str">
        <f t="shared" si="201"/>
        <v/>
      </c>
      <c r="J1623" t="str">
        <f t="shared" si="202"/>
        <v/>
      </c>
      <c r="K1623" s="26" t="str">
        <f t="shared" si="203"/>
        <v/>
      </c>
      <c r="L1623" s="26" t="str">
        <f t="shared" si="204"/>
        <v/>
      </c>
      <c r="P1623" t="e">
        <f t="shared" si="205"/>
        <v>#N/A</v>
      </c>
      <c r="Q1623" t="e">
        <f t="shared" si="206"/>
        <v>#N/A</v>
      </c>
    </row>
    <row r="1624" spans="1:17">
      <c r="A1624" s="28"/>
      <c r="B1624" s="28"/>
      <c r="C1624" s="28"/>
      <c r="D1624" s="28"/>
      <c r="E1624" s="28"/>
      <c r="F1624" s="28"/>
      <c r="G1624" s="26" t="str">
        <f t="shared" si="200"/>
        <v/>
      </c>
      <c r="H1624" s="26" t="str">
        <f t="shared" si="207"/>
        <v/>
      </c>
      <c r="I1624" s="26" t="str">
        <f t="shared" si="201"/>
        <v/>
      </c>
      <c r="J1624" t="str">
        <f t="shared" si="202"/>
        <v/>
      </c>
      <c r="K1624" s="26" t="str">
        <f t="shared" si="203"/>
        <v/>
      </c>
      <c r="L1624" s="26" t="str">
        <f t="shared" si="204"/>
        <v/>
      </c>
      <c r="P1624" t="e">
        <f t="shared" si="205"/>
        <v>#N/A</v>
      </c>
      <c r="Q1624" t="e">
        <f t="shared" si="206"/>
        <v>#N/A</v>
      </c>
    </row>
    <row r="1625" spans="1:17">
      <c r="A1625" s="28"/>
      <c r="B1625" s="28"/>
      <c r="C1625" s="28"/>
      <c r="D1625" s="28"/>
      <c r="E1625" s="28"/>
      <c r="F1625" s="28"/>
      <c r="G1625" s="26" t="str">
        <f t="shared" si="200"/>
        <v/>
      </c>
      <c r="H1625" s="26" t="str">
        <f t="shared" si="207"/>
        <v/>
      </c>
      <c r="I1625" s="26" t="str">
        <f t="shared" si="201"/>
        <v/>
      </c>
      <c r="J1625" t="str">
        <f t="shared" si="202"/>
        <v/>
      </c>
      <c r="K1625" s="26" t="str">
        <f t="shared" si="203"/>
        <v/>
      </c>
      <c r="L1625" s="26" t="str">
        <f t="shared" si="204"/>
        <v/>
      </c>
      <c r="P1625" t="e">
        <f t="shared" si="205"/>
        <v>#N/A</v>
      </c>
      <c r="Q1625" t="e">
        <f t="shared" si="206"/>
        <v>#N/A</v>
      </c>
    </row>
    <row r="1626" spans="1:17">
      <c r="A1626" s="28"/>
      <c r="B1626" s="28"/>
      <c r="C1626" s="28"/>
      <c r="D1626" s="28"/>
      <c r="E1626" s="28"/>
      <c r="F1626" s="28"/>
      <c r="G1626" s="26" t="str">
        <f t="shared" si="200"/>
        <v/>
      </c>
      <c r="H1626" s="26" t="str">
        <f t="shared" si="207"/>
        <v/>
      </c>
      <c r="I1626" s="26" t="str">
        <f t="shared" si="201"/>
        <v/>
      </c>
      <c r="J1626" t="str">
        <f t="shared" si="202"/>
        <v/>
      </c>
      <c r="K1626" s="26" t="str">
        <f t="shared" si="203"/>
        <v/>
      </c>
      <c r="L1626" s="26" t="str">
        <f t="shared" si="204"/>
        <v/>
      </c>
      <c r="P1626" t="e">
        <f t="shared" si="205"/>
        <v>#N/A</v>
      </c>
      <c r="Q1626" t="e">
        <f t="shared" si="206"/>
        <v>#N/A</v>
      </c>
    </row>
    <row r="1627" spans="1:17">
      <c r="A1627" s="28"/>
      <c r="B1627" s="28"/>
      <c r="C1627" s="28"/>
      <c r="D1627" s="28"/>
      <c r="E1627" s="28"/>
      <c r="F1627" s="28"/>
      <c r="G1627" s="26" t="str">
        <f t="shared" si="200"/>
        <v/>
      </c>
      <c r="H1627" s="26" t="str">
        <f t="shared" si="207"/>
        <v/>
      </c>
      <c r="I1627" s="26" t="str">
        <f t="shared" si="201"/>
        <v/>
      </c>
      <c r="J1627" t="str">
        <f t="shared" si="202"/>
        <v/>
      </c>
      <c r="K1627" s="26" t="str">
        <f t="shared" si="203"/>
        <v/>
      </c>
      <c r="L1627" s="26" t="str">
        <f t="shared" si="204"/>
        <v/>
      </c>
      <c r="P1627" t="e">
        <f t="shared" si="205"/>
        <v>#N/A</v>
      </c>
      <c r="Q1627" t="e">
        <f t="shared" si="206"/>
        <v>#N/A</v>
      </c>
    </row>
    <row r="1628" spans="1:17">
      <c r="A1628" s="28"/>
      <c r="B1628" s="28"/>
      <c r="C1628" s="28"/>
      <c r="D1628" s="28"/>
      <c r="E1628" s="28"/>
      <c r="F1628" s="28"/>
      <c r="G1628" s="26" t="str">
        <f t="shared" si="200"/>
        <v/>
      </c>
      <c r="H1628" s="26" t="str">
        <f t="shared" si="207"/>
        <v/>
      </c>
      <c r="I1628" s="26" t="str">
        <f t="shared" si="201"/>
        <v/>
      </c>
      <c r="J1628" t="str">
        <f t="shared" si="202"/>
        <v/>
      </c>
      <c r="K1628" s="26" t="str">
        <f t="shared" si="203"/>
        <v/>
      </c>
      <c r="L1628" s="26" t="str">
        <f t="shared" si="204"/>
        <v/>
      </c>
      <c r="P1628" t="e">
        <f t="shared" si="205"/>
        <v>#N/A</v>
      </c>
      <c r="Q1628" t="e">
        <f t="shared" si="206"/>
        <v>#N/A</v>
      </c>
    </row>
    <row r="1629" spans="1:17">
      <c r="A1629" s="28"/>
      <c r="B1629" s="28"/>
      <c r="C1629" s="28"/>
      <c r="D1629" s="28"/>
      <c r="E1629" s="28"/>
      <c r="F1629" s="28"/>
      <c r="G1629" s="26" t="str">
        <f t="shared" si="200"/>
        <v/>
      </c>
      <c r="H1629" s="26" t="str">
        <f t="shared" si="207"/>
        <v/>
      </c>
      <c r="I1629" s="26" t="str">
        <f t="shared" si="201"/>
        <v/>
      </c>
      <c r="J1629" t="str">
        <f t="shared" si="202"/>
        <v/>
      </c>
      <c r="K1629" s="26" t="str">
        <f t="shared" si="203"/>
        <v/>
      </c>
      <c r="L1629" s="26" t="str">
        <f t="shared" si="204"/>
        <v/>
      </c>
      <c r="P1629" t="e">
        <f t="shared" si="205"/>
        <v>#N/A</v>
      </c>
      <c r="Q1629" t="e">
        <f t="shared" si="206"/>
        <v>#N/A</v>
      </c>
    </row>
    <row r="1630" spans="1:17">
      <c r="A1630" s="28"/>
      <c r="B1630" s="28"/>
      <c r="C1630" s="28"/>
      <c r="D1630" s="28"/>
      <c r="E1630" s="28"/>
      <c r="F1630" s="28"/>
      <c r="G1630" s="26" t="str">
        <f t="shared" si="200"/>
        <v/>
      </c>
      <c r="H1630" s="26" t="str">
        <f t="shared" si="207"/>
        <v/>
      </c>
      <c r="I1630" s="26" t="str">
        <f t="shared" si="201"/>
        <v/>
      </c>
      <c r="J1630" t="str">
        <f t="shared" si="202"/>
        <v/>
      </c>
      <c r="K1630" s="26" t="str">
        <f t="shared" si="203"/>
        <v/>
      </c>
      <c r="L1630" s="26" t="str">
        <f t="shared" si="204"/>
        <v/>
      </c>
      <c r="P1630" t="e">
        <f t="shared" si="205"/>
        <v>#N/A</v>
      </c>
      <c r="Q1630" t="e">
        <f t="shared" si="206"/>
        <v>#N/A</v>
      </c>
    </row>
    <row r="1631" spans="1:17">
      <c r="A1631" s="28"/>
      <c r="B1631" s="28"/>
      <c r="C1631" s="28"/>
      <c r="D1631" s="28"/>
      <c r="E1631" s="28"/>
      <c r="F1631" s="28"/>
      <c r="G1631" s="26" t="str">
        <f t="shared" si="200"/>
        <v/>
      </c>
      <c r="H1631" s="26" t="str">
        <f t="shared" si="207"/>
        <v/>
      </c>
      <c r="I1631" s="26" t="str">
        <f t="shared" si="201"/>
        <v/>
      </c>
      <c r="J1631" t="str">
        <f t="shared" si="202"/>
        <v/>
      </c>
      <c r="K1631" s="26" t="str">
        <f t="shared" si="203"/>
        <v/>
      </c>
      <c r="L1631" s="26" t="str">
        <f t="shared" si="204"/>
        <v/>
      </c>
      <c r="P1631" t="e">
        <f t="shared" si="205"/>
        <v>#N/A</v>
      </c>
      <c r="Q1631" t="e">
        <f t="shared" si="206"/>
        <v>#N/A</v>
      </c>
    </row>
    <row r="1632" spans="1:17">
      <c r="A1632" s="28"/>
      <c r="B1632" s="28"/>
      <c r="C1632" s="28"/>
      <c r="D1632" s="28"/>
      <c r="E1632" s="28"/>
      <c r="F1632" s="28"/>
      <c r="G1632" s="26" t="str">
        <f t="shared" si="200"/>
        <v/>
      </c>
      <c r="H1632" s="26" t="str">
        <f t="shared" si="207"/>
        <v/>
      </c>
      <c r="I1632" s="26" t="str">
        <f t="shared" si="201"/>
        <v/>
      </c>
      <c r="J1632" t="str">
        <f t="shared" si="202"/>
        <v/>
      </c>
      <c r="K1632" s="26" t="str">
        <f t="shared" si="203"/>
        <v/>
      </c>
      <c r="L1632" s="26" t="str">
        <f t="shared" si="204"/>
        <v/>
      </c>
      <c r="P1632" t="e">
        <f t="shared" si="205"/>
        <v>#N/A</v>
      </c>
      <c r="Q1632" t="e">
        <f t="shared" si="206"/>
        <v>#N/A</v>
      </c>
    </row>
    <row r="1633" spans="1:17">
      <c r="A1633" s="28"/>
      <c r="B1633" s="28"/>
      <c r="C1633" s="28"/>
      <c r="D1633" s="28"/>
      <c r="E1633" s="28"/>
      <c r="F1633" s="28"/>
      <c r="G1633" s="26" t="str">
        <f t="shared" si="200"/>
        <v/>
      </c>
      <c r="H1633" s="26" t="str">
        <f t="shared" si="207"/>
        <v/>
      </c>
      <c r="I1633" s="26" t="str">
        <f t="shared" si="201"/>
        <v/>
      </c>
      <c r="J1633" t="str">
        <f t="shared" si="202"/>
        <v/>
      </c>
      <c r="K1633" s="26" t="str">
        <f t="shared" si="203"/>
        <v/>
      </c>
      <c r="L1633" s="26" t="str">
        <f t="shared" si="204"/>
        <v/>
      </c>
      <c r="P1633" t="e">
        <f t="shared" si="205"/>
        <v>#N/A</v>
      </c>
      <c r="Q1633" t="e">
        <f t="shared" si="206"/>
        <v>#N/A</v>
      </c>
    </row>
    <row r="1634" spans="1:17">
      <c r="A1634" s="28"/>
      <c r="B1634" s="28"/>
      <c r="C1634" s="28"/>
      <c r="D1634" s="28"/>
      <c r="E1634" s="28"/>
      <c r="F1634" s="28"/>
      <c r="G1634" s="26" t="str">
        <f t="shared" si="200"/>
        <v/>
      </c>
      <c r="H1634" s="26" t="str">
        <f t="shared" si="207"/>
        <v/>
      </c>
      <c r="I1634" s="26" t="str">
        <f t="shared" si="201"/>
        <v/>
      </c>
      <c r="J1634" t="str">
        <f t="shared" si="202"/>
        <v/>
      </c>
      <c r="K1634" s="26" t="str">
        <f t="shared" si="203"/>
        <v/>
      </c>
      <c r="L1634" s="26" t="str">
        <f t="shared" si="204"/>
        <v/>
      </c>
      <c r="P1634" t="e">
        <f t="shared" si="205"/>
        <v>#N/A</v>
      </c>
      <c r="Q1634" t="e">
        <f t="shared" si="206"/>
        <v>#N/A</v>
      </c>
    </row>
    <row r="1635" spans="1:17">
      <c r="A1635" s="28"/>
      <c r="B1635" s="28"/>
      <c r="C1635" s="28"/>
      <c r="D1635" s="28"/>
      <c r="E1635" s="28"/>
      <c r="F1635" s="28"/>
      <c r="G1635" s="26" t="str">
        <f t="shared" si="200"/>
        <v/>
      </c>
      <c r="H1635" s="26" t="str">
        <f t="shared" si="207"/>
        <v/>
      </c>
      <c r="I1635" s="26" t="str">
        <f t="shared" si="201"/>
        <v/>
      </c>
      <c r="J1635" t="str">
        <f t="shared" si="202"/>
        <v/>
      </c>
      <c r="K1635" s="26" t="str">
        <f t="shared" si="203"/>
        <v/>
      </c>
      <c r="L1635" s="26" t="str">
        <f t="shared" si="204"/>
        <v/>
      </c>
      <c r="P1635" t="e">
        <f t="shared" si="205"/>
        <v>#N/A</v>
      </c>
      <c r="Q1635" t="e">
        <f t="shared" si="206"/>
        <v>#N/A</v>
      </c>
    </row>
    <row r="1636" spans="1:17">
      <c r="A1636" s="28"/>
      <c r="B1636" s="28"/>
      <c r="C1636" s="28"/>
      <c r="D1636" s="28"/>
      <c r="E1636" s="28"/>
      <c r="F1636" s="28"/>
      <c r="G1636" s="26" t="str">
        <f t="shared" si="200"/>
        <v/>
      </c>
      <c r="H1636" s="26" t="str">
        <f t="shared" si="207"/>
        <v/>
      </c>
      <c r="I1636" s="26" t="str">
        <f t="shared" si="201"/>
        <v/>
      </c>
      <c r="J1636" t="str">
        <f t="shared" si="202"/>
        <v/>
      </c>
      <c r="K1636" s="26" t="str">
        <f t="shared" si="203"/>
        <v/>
      </c>
      <c r="L1636" s="26" t="str">
        <f t="shared" si="204"/>
        <v/>
      </c>
      <c r="P1636" t="e">
        <f t="shared" si="205"/>
        <v>#N/A</v>
      </c>
      <c r="Q1636" t="e">
        <f t="shared" si="206"/>
        <v>#N/A</v>
      </c>
    </row>
    <row r="1637" spans="1:17">
      <c r="A1637" s="28"/>
      <c r="B1637" s="28"/>
      <c r="C1637" s="28"/>
      <c r="D1637" s="28"/>
      <c r="E1637" s="28"/>
      <c r="F1637" s="28"/>
      <c r="G1637" s="26" t="str">
        <f t="shared" si="200"/>
        <v/>
      </c>
      <c r="H1637" s="26" t="str">
        <f t="shared" si="207"/>
        <v/>
      </c>
      <c r="I1637" s="26" t="str">
        <f t="shared" si="201"/>
        <v/>
      </c>
      <c r="J1637" t="str">
        <f t="shared" si="202"/>
        <v/>
      </c>
      <c r="K1637" s="26" t="str">
        <f t="shared" si="203"/>
        <v/>
      </c>
      <c r="L1637" s="26" t="str">
        <f t="shared" si="204"/>
        <v/>
      </c>
      <c r="P1637" t="e">
        <f t="shared" si="205"/>
        <v>#N/A</v>
      </c>
      <c r="Q1637" t="e">
        <f t="shared" si="206"/>
        <v>#N/A</v>
      </c>
    </row>
    <row r="1638" spans="1:17">
      <c r="A1638" s="28"/>
      <c r="B1638" s="28"/>
      <c r="C1638" s="28"/>
      <c r="D1638" s="28"/>
      <c r="E1638" s="28"/>
      <c r="F1638" s="28"/>
      <c r="G1638" s="26" t="str">
        <f t="shared" si="200"/>
        <v/>
      </c>
      <c r="H1638" s="26" t="str">
        <f t="shared" si="207"/>
        <v/>
      </c>
      <c r="I1638" s="26" t="str">
        <f t="shared" si="201"/>
        <v/>
      </c>
      <c r="J1638" t="str">
        <f t="shared" si="202"/>
        <v/>
      </c>
      <c r="K1638" s="26" t="str">
        <f t="shared" si="203"/>
        <v/>
      </c>
      <c r="L1638" s="26" t="str">
        <f t="shared" si="204"/>
        <v/>
      </c>
      <c r="P1638" t="e">
        <f t="shared" si="205"/>
        <v>#N/A</v>
      </c>
      <c r="Q1638" t="e">
        <f t="shared" si="206"/>
        <v>#N/A</v>
      </c>
    </row>
    <row r="1639" spans="1:17">
      <c r="A1639" s="28"/>
      <c r="B1639" s="28"/>
      <c r="C1639" s="28"/>
      <c r="D1639" s="28"/>
      <c r="E1639" s="28"/>
      <c r="F1639" s="28"/>
      <c r="G1639" s="26" t="str">
        <f t="shared" si="200"/>
        <v/>
      </c>
      <c r="H1639" s="26" t="str">
        <f t="shared" si="207"/>
        <v/>
      </c>
      <c r="I1639" s="26" t="str">
        <f t="shared" si="201"/>
        <v/>
      </c>
      <c r="J1639" t="str">
        <f t="shared" si="202"/>
        <v/>
      </c>
      <c r="K1639" s="26" t="str">
        <f t="shared" si="203"/>
        <v/>
      </c>
      <c r="L1639" s="26" t="str">
        <f t="shared" si="204"/>
        <v/>
      </c>
      <c r="P1639" t="e">
        <f t="shared" si="205"/>
        <v>#N/A</v>
      </c>
      <c r="Q1639" t="e">
        <f t="shared" si="206"/>
        <v>#N/A</v>
      </c>
    </row>
    <row r="1640" spans="1:17">
      <c r="A1640" s="28"/>
      <c r="B1640" s="28"/>
      <c r="C1640" s="28"/>
      <c r="D1640" s="28"/>
      <c r="E1640" s="28"/>
      <c r="F1640" s="28"/>
      <c r="G1640" s="26" t="str">
        <f t="shared" si="200"/>
        <v/>
      </c>
      <c r="H1640" s="26" t="str">
        <f t="shared" si="207"/>
        <v/>
      </c>
      <c r="I1640" s="26" t="str">
        <f t="shared" si="201"/>
        <v/>
      </c>
      <c r="J1640" t="str">
        <f t="shared" si="202"/>
        <v/>
      </c>
      <c r="K1640" s="26" t="str">
        <f t="shared" si="203"/>
        <v/>
      </c>
      <c r="L1640" s="26" t="str">
        <f t="shared" si="204"/>
        <v/>
      </c>
      <c r="P1640" t="e">
        <f t="shared" si="205"/>
        <v>#N/A</v>
      </c>
      <c r="Q1640" t="e">
        <f t="shared" si="206"/>
        <v>#N/A</v>
      </c>
    </row>
    <row r="1641" spans="1:17">
      <c r="A1641" s="28"/>
      <c r="B1641" s="28"/>
      <c r="C1641" s="28"/>
      <c r="D1641" s="28"/>
      <c r="E1641" s="28"/>
      <c r="F1641" s="28"/>
      <c r="G1641" s="26" t="str">
        <f t="shared" si="200"/>
        <v/>
      </c>
      <c r="H1641" s="26" t="str">
        <f t="shared" si="207"/>
        <v/>
      </c>
      <c r="I1641" s="26" t="str">
        <f t="shared" si="201"/>
        <v/>
      </c>
      <c r="J1641" t="str">
        <f t="shared" si="202"/>
        <v/>
      </c>
      <c r="K1641" s="26" t="str">
        <f t="shared" si="203"/>
        <v/>
      </c>
      <c r="L1641" s="26" t="str">
        <f t="shared" si="204"/>
        <v/>
      </c>
      <c r="P1641" t="e">
        <f t="shared" si="205"/>
        <v>#N/A</v>
      </c>
      <c r="Q1641" t="e">
        <f t="shared" si="206"/>
        <v>#N/A</v>
      </c>
    </row>
    <row r="1642" spans="1:17">
      <c r="A1642" s="28"/>
      <c r="B1642" s="28"/>
      <c r="C1642" s="28"/>
      <c r="D1642" s="28"/>
      <c r="E1642" s="28"/>
      <c r="F1642" s="28"/>
      <c r="G1642" s="26" t="str">
        <f t="shared" si="200"/>
        <v/>
      </c>
      <c r="H1642" s="26" t="str">
        <f t="shared" si="207"/>
        <v/>
      </c>
      <c r="I1642" s="26" t="str">
        <f t="shared" si="201"/>
        <v/>
      </c>
      <c r="J1642" t="str">
        <f t="shared" si="202"/>
        <v/>
      </c>
      <c r="K1642" s="26" t="str">
        <f t="shared" si="203"/>
        <v/>
      </c>
      <c r="L1642" s="26" t="str">
        <f t="shared" si="204"/>
        <v/>
      </c>
      <c r="P1642" t="e">
        <f t="shared" si="205"/>
        <v>#N/A</v>
      </c>
      <c r="Q1642" t="e">
        <f t="shared" si="206"/>
        <v>#N/A</v>
      </c>
    </row>
    <row r="1643" spans="1:17">
      <c r="A1643" s="28"/>
      <c r="B1643" s="28"/>
      <c r="C1643" s="28"/>
      <c r="D1643" s="28"/>
      <c r="E1643" s="28"/>
      <c r="F1643" s="28"/>
      <c r="G1643" s="26" t="str">
        <f t="shared" si="200"/>
        <v/>
      </c>
      <c r="H1643" s="26" t="str">
        <f t="shared" si="207"/>
        <v/>
      </c>
      <c r="I1643" s="26" t="str">
        <f t="shared" si="201"/>
        <v/>
      </c>
      <c r="J1643" t="str">
        <f t="shared" si="202"/>
        <v/>
      </c>
      <c r="K1643" s="26" t="str">
        <f t="shared" si="203"/>
        <v/>
      </c>
      <c r="L1643" s="26" t="str">
        <f t="shared" si="204"/>
        <v/>
      </c>
      <c r="P1643" t="e">
        <f t="shared" si="205"/>
        <v>#N/A</v>
      </c>
      <c r="Q1643" t="e">
        <f t="shared" si="206"/>
        <v>#N/A</v>
      </c>
    </row>
    <row r="1644" spans="1:17">
      <c r="A1644" s="28"/>
      <c r="B1644" s="28"/>
      <c r="C1644" s="28"/>
      <c r="D1644" s="28"/>
      <c r="E1644" s="28"/>
      <c r="F1644" s="28"/>
      <c r="G1644" s="26" t="str">
        <f t="shared" si="200"/>
        <v/>
      </c>
      <c r="H1644" s="26" t="str">
        <f t="shared" si="207"/>
        <v/>
      </c>
      <c r="I1644" s="26" t="str">
        <f t="shared" si="201"/>
        <v/>
      </c>
      <c r="J1644" t="str">
        <f t="shared" si="202"/>
        <v/>
      </c>
      <c r="K1644" s="26" t="str">
        <f t="shared" si="203"/>
        <v/>
      </c>
      <c r="L1644" s="26" t="str">
        <f t="shared" si="204"/>
        <v/>
      </c>
      <c r="P1644" t="e">
        <f t="shared" si="205"/>
        <v>#N/A</v>
      </c>
      <c r="Q1644" t="e">
        <f t="shared" si="206"/>
        <v>#N/A</v>
      </c>
    </row>
    <row r="1645" spans="1:17">
      <c r="A1645" s="28"/>
      <c r="B1645" s="28"/>
      <c r="C1645" s="28"/>
      <c r="D1645" s="28"/>
      <c r="E1645" s="28"/>
      <c r="F1645" s="28"/>
      <c r="G1645" s="26" t="str">
        <f t="shared" si="200"/>
        <v/>
      </c>
      <c r="H1645" s="26" t="str">
        <f t="shared" si="207"/>
        <v/>
      </c>
      <c r="I1645" s="26" t="str">
        <f t="shared" si="201"/>
        <v/>
      </c>
      <c r="J1645" t="str">
        <f t="shared" si="202"/>
        <v/>
      </c>
      <c r="K1645" s="26" t="str">
        <f t="shared" si="203"/>
        <v/>
      </c>
      <c r="L1645" s="26" t="str">
        <f t="shared" si="204"/>
        <v/>
      </c>
      <c r="P1645" t="e">
        <f t="shared" si="205"/>
        <v>#N/A</v>
      </c>
      <c r="Q1645" t="e">
        <f t="shared" si="206"/>
        <v>#N/A</v>
      </c>
    </row>
    <row r="1646" spans="1:17">
      <c r="A1646" s="28"/>
      <c r="B1646" s="28"/>
      <c r="C1646" s="28"/>
      <c r="D1646" s="28"/>
      <c r="E1646" s="28"/>
      <c r="F1646" s="28"/>
      <c r="G1646" s="26" t="str">
        <f t="shared" si="200"/>
        <v/>
      </c>
      <c r="H1646" s="26" t="str">
        <f t="shared" si="207"/>
        <v/>
      </c>
      <c r="I1646" s="26" t="str">
        <f t="shared" si="201"/>
        <v/>
      </c>
      <c r="J1646" t="str">
        <f t="shared" si="202"/>
        <v/>
      </c>
      <c r="K1646" s="26" t="str">
        <f t="shared" si="203"/>
        <v/>
      </c>
      <c r="L1646" s="26" t="str">
        <f t="shared" si="204"/>
        <v/>
      </c>
      <c r="P1646" t="e">
        <f t="shared" si="205"/>
        <v>#N/A</v>
      </c>
      <c r="Q1646" t="e">
        <f t="shared" si="206"/>
        <v>#N/A</v>
      </c>
    </row>
    <row r="1647" spans="1:17">
      <c r="A1647" s="28"/>
      <c r="B1647" s="28"/>
      <c r="C1647" s="28"/>
      <c r="D1647" s="28"/>
      <c r="E1647" s="28"/>
      <c r="F1647" s="28"/>
      <c r="G1647" s="26" t="str">
        <f t="shared" si="200"/>
        <v/>
      </c>
      <c r="H1647" s="26" t="str">
        <f t="shared" si="207"/>
        <v/>
      </c>
      <c r="I1647" s="26" t="str">
        <f t="shared" si="201"/>
        <v/>
      </c>
      <c r="J1647" t="str">
        <f t="shared" si="202"/>
        <v/>
      </c>
      <c r="K1647" s="26" t="str">
        <f t="shared" si="203"/>
        <v/>
      </c>
      <c r="L1647" s="26" t="str">
        <f t="shared" si="204"/>
        <v/>
      </c>
      <c r="P1647" t="e">
        <f t="shared" si="205"/>
        <v>#N/A</v>
      </c>
      <c r="Q1647" t="e">
        <f t="shared" si="206"/>
        <v>#N/A</v>
      </c>
    </row>
    <row r="1648" spans="1:17">
      <c r="A1648" s="28"/>
      <c r="B1648" s="28"/>
      <c r="C1648" s="28"/>
      <c r="D1648" s="28"/>
      <c r="E1648" s="28"/>
      <c r="F1648" s="28"/>
      <c r="G1648" s="26" t="str">
        <f t="shared" si="200"/>
        <v/>
      </c>
      <c r="H1648" s="26" t="str">
        <f t="shared" si="207"/>
        <v/>
      </c>
      <c r="I1648" s="26" t="str">
        <f t="shared" si="201"/>
        <v/>
      </c>
      <c r="J1648" t="str">
        <f t="shared" si="202"/>
        <v/>
      </c>
      <c r="K1648" s="26" t="str">
        <f t="shared" si="203"/>
        <v/>
      </c>
      <c r="L1648" s="26" t="str">
        <f t="shared" si="204"/>
        <v/>
      </c>
      <c r="P1648" t="e">
        <f t="shared" si="205"/>
        <v>#N/A</v>
      </c>
      <c r="Q1648" t="e">
        <f t="shared" si="206"/>
        <v>#N/A</v>
      </c>
    </row>
    <row r="1649" spans="1:17">
      <c r="A1649" s="28"/>
      <c r="B1649" s="28"/>
      <c r="C1649" s="28"/>
      <c r="D1649" s="28"/>
      <c r="E1649" s="28"/>
      <c r="F1649" s="28"/>
      <c r="G1649" s="26" t="str">
        <f t="shared" si="200"/>
        <v/>
      </c>
      <c r="H1649" s="26" t="str">
        <f t="shared" si="207"/>
        <v/>
      </c>
      <c r="I1649" s="26" t="str">
        <f t="shared" si="201"/>
        <v/>
      </c>
      <c r="J1649" t="str">
        <f t="shared" si="202"/>
        <v/>
      </c>
      <c r="K1649" s="26" t="str">
        <f t="shared" si="203"/>
        <v/>
      </c>
      <c r="L1649" s="26" t="str">
        <f t="shared" si="204"/>
        <v/>
      </c>
      <c r="P1649" t="e">
        <f t="shared" si="205"/>
        <v>#N/A</v>
      </c>
      <c r="Q1649" t="e">
        <f t="shared" si="206"/>
        <v>#N/A</v>
      </c>
    </row>
    <row r="1650" spans="1:17">
      <c r="A1650" s="28"/>
      <c r="B1650" s="28"/>
      <c r="C1650" s="28"/>
      <c r="D1650" s="28"/>
      <c r="E1650" s="28"/>
      <c r="F1650" s="28"/>
      <c r="G1650" s="26" t="str">
        <f t="shared" si="200"/>
        <v/>
      </c>
      <c r="H1650" s="26" t="str">
        <f t="shared" si="207"/>
        <v/>
      </c>
      <c r="I1650" s="26" t="str">
        <f t="shared" si="201"/>
        <v/>
      </c>
      <c r="J1650" t="str">
        <f t="shared" si="202"/>
        <v/>
      </c>
      <c r="K1650" s="26" t="str">
        <f t="shared" si="203"/>
        <v/>
      </c>
      <c r="L1650" s="26" t="str">
        <f t="shared" si="204"/>
        <v/>
      </c>
      <c r="P1650" t="e">
        <f t="shared" si="205"/>
        <v>#N/A</v>
      </c>
      <c r="Q1650" t="e">
        <f t="shared" si="206"/>
        <v>#N/A</v>
      </c>
    </row>
    <row r="1651" spans="1:17">
      <c r="A1651" s="28"/>
      <c r="B1651" s="28"/>
      <c r="C1651" s="28"/>
      <c r="D1651" s="28"/>
      <c r="E1651" s="28"/>
      <c r="F1651" s="28"/>
      <c r="G1651" s="26" t="str">
        <f t="shared" si="200"/>
        <v/>
      </c>
      <c r="H1651" s="26" t="str">
        <f t="shared" si="207"/>
        <v/>
      </c>
      <c r="I1651" s="26" t="str">
        <f t="shared" si="201"/>
        <v/>
      </c>
      <c r="J1651" t="str">
        <f t="shared" si="202"/>
        <v/>
      </c>
      <c r="K1651" s="26" t="str">
        <f t="shared" si="203"/>
        <v/>
      </c>
      <c r="L1651" s="26" t="str">
        <f t="shared" si="204"/>
        <v/>
      </c>
      <c r="P1651" t="e">
        <f t="shared" si="205"/>
        <v>#N/A</v>
      </c>
      <c r="Q1651" t="e">
        <f t="shared" si="206"/>
        <v>#N/A</v>
      </c>
    </row>
    <row r="1652" spans="1:17">
      <c r="A1652" s="28"/>
      <c r="B1652" s="28"/>
      <c r="C1652" s="28"/>
      <c r="D1652" s="28"/>
      <c r="E1652" s="28"/>
      <c r="F1652" s="28"/>
      <c r="G1652" s="26" t="str">
        <f t="shared" si="200"/>
        <v/>
      </c>
      <c r="H1652" s="26" t="str">
        <f t="shared" si="207"/>
        <v/>
      </c>
      <c r="I1652" s="26" t="str">
        <f t="shared" si="201"/>
        <v/>
      </c>
      <c r="J1652" t="str">
        <f t="shared" si="202"/>
        <v/>
      </c>
      <c r="K1652" s="26" t="str">
        <f t="shared" si="203"/>
        <v/>
      </c>
      <c r="L1652" s="26" t="str">
        <f t="shared" si="204"/>
        <v/>
      </c>
      <c r="P1652" t="e">
        <f t="shared" si="205"/>
        <v>#N/A</v>
      </c>
      <c r="Q1652" t="e">
        <f t="shared" si="206"/>
        <v>#N/A</v>
      </c>
    </row>
    <row r="1653" spans="1:17">
      <c r="A1653" s="28"/>
      <c r="B1653" s="28"/>
      <c r="C1653" s="28"/>
      <c r="D1653" s="28"/>
      <c r="E1653" s="28"/>
      <c r="F1653" s="28"/>
      <c r="G1653" s="26" t="str">
        <f t="shared" si="200"/>
        <v/>
      </c>
      <c r="H1653" s="26" t="str">
        <f t="shared" si="207"/>
        <v/>
      </c>
      <c r="I1653" s="26" t="str">
        <f t="shared" si="201"/>
        <v/>
      </c>
      <c r="J1653" t="str">
        <f t="shared" si="202"/>
        <v/>
      </c>
      <c r="K1653" s="26" t="str">
        <f t="shared" si="203"/>
        <v/>
      </c>
      <c r="L1653" s="26" t="str">
        <f t="shared" si="204"/>
        <v/>
      </c>
      <c r="P1653" t="e">
        <f t="shared" si="205"/>
        <v>#N/A</v>
      </c>
      <c r="Q1653" t="e">
        <f t="shared" si="206"/>
        <v>#N/A</v>
      </c>
    </row>
    <row r="1654" spans="1:17">
      <c r="A1654" s="28"/>
      <c r="B1654" s="28"/>
      <c r="C1654" s="28"/>
      <c r="D1654" s="28"/>
      <c r="E1654" s="28"/>
      <c r="F1654" s="28"/>
      <c r="G1654" s="26" t="str">
        <f t="shared" si="200"/>
        <v/>
      </c>
      <c r="H1654" s="26" t="str">
        <f t="shared" si="207"/>
        <v/>
      </c>
      <c r="I1654" s="26" t="str">
        <f t="shared" si="201"/>
        <v/>
      </c>
      <c r="J1654" t="str">
        <f t="shared" si="202"/>
        <v/>
      </c>
      <c r="K1654" s="26" t="str">
        <f t="shared" si="203"/>
        <v/>
      </c>
      <c r="L1654" s="26" t="str">
        <f t="shared" si="204"/>
        <v/>
      </c>
      <c r="P1654" t="e">
        <f t="shared" si="205"/>
        <v>#N/A</v>
      </c>
      <c r="Q1654" t="e">
        <f t="shared" si="206"/>
        <v>#N/A</v>
      </c>
    </row>
    <row r="1655" spans="1:17">
      <c r="A1655" s="28"/>
      <c r="B1655" s="28"/>
      <c r="C1655" s="28"/>
      <c r="D1655" s="28"/>
      <c r="E1655" s="28"/>
      <c r="F1655" s="28"/>
      <c r="G1655" s="26" t="str">
        <f t="shared" si="200"/>
        <v/>
      </c>
      <c r="H1655" s="26" t="str">
        <f t="shared" si="207"/>
        <v/>
      </c>
      <c r="I1655" s="26" t="str">
        <f t="shared" si="201"/>
        <v/>
      </c>
      <c r="J1655" t="str">
        <f t="shared" si="202"/>
        <v/>
      </c>
      <c r="K1655" s="26" t="str">
        <f t="shared" si="203"/>
        <v/>
      </c>
      <c r="L1655" s="26" t="str">
        <f t="shared" si="204"/>
        <v/>
      </c>
      <c r="P1655" t="e">
        <f t="shared" si="205"/>
        <v>#N/A</v>
      </c>
      <c r="Q1655" t="e">
        <f t="shared" si="206"/>
        <v>#N/A</v>
      </c>
    </row>
    <row r="1656" spans="1:17">
      <c r="A1656" s="28"/>
      <c r="B1656" s="28"/>
      <c r="C1656" s="28"/>
      <c r="D1656" s="28"/>
      <c r="E1656" s="28"/>
      <c r="F1656" s="28"/>
      <c r="G1656" s="26" t="str">
        <f t="shared" si="200"/>
        <v/>
      </c>
      <c r="H1656" s="26" t="str">
        <f t="shared" si="207"/>
        <v/>
      </c>
      <c r="I1656" s="26" t="str">
        <f t="shared" si="201"/>
        <v/>
      </c>
      <c r="J1656" t="str">
        <f t="shared" si="202"/>
        <v/>
      </c>
      <c r="K1656" s="26" t="str">
        <f t="shared" si="203"/>
        <v/>
      </c>
      <c r="L1656" s="26" t="str">
        <f t="shared" si="204"/>
        <v/>
      </c>
      <c r="P1656" t="e">
        <f t="shared" si="205"/>
        <v>#N/A</v>
      </c>
      <c r="Q1656" t="e">
        <f t="shared" si="206"/>
        <v>#N/A</v>
      </c>
    </row>
    <row r="1657" spans="1:17">
      <c r="A1657" s="28"/>
      <c r="B1657" s="28"/>
      <c r="C1657" s="28"/>
      <c r="D1657" s="28"/>
      <c r="E1657" s="28"/>
      <c r="F1657" s="28"/>
      <c r="G1657" s="26" t="str">
        <f t="shared" si="200"/>
        <v/>
      </c>
      <c r="H1657" s="26" t="str">
        <f t="shared" si="207"/>
        <v/>
      </c>
      <c r="I1657" s="26" t="str">
        <f t="shared" si="201"/>
        <v/>
      </c>
      <c r="J1657" t="str">
        <f t="shared" si="202"/>
        <v/>
      </c>
      <c r="K1657" s="26" t="str">
        <f t="shared" si="203"/>
        <v/>
      </c>
      <c r="L1657" s="26" t="str">
        <f t="shared" si="204"/>
        <v/>
      </c>
      <c r="P1657" t="e">
        <f t="shared" si="205"/>
        <v>#N/A</v>
      </c>
      <c r="Q1657" t="e">
        <f t="shared" si="206"/>
        <v>#N/A</v>
      </c>
    </row>
    <row r="1658" spans="1:17">
      <c r="A1658" s="28"/>
      <c r="B1658" s="28"/>
      <c r="C1658" s="28"/>
      <c r="D1658" s="28"/>
      <c r="E1658" s="28"/>
      <c r="F1658" s="28"/>
      <c r="G1658" s="26" t="str">
        <f t="shared" si="200"/>
        <v/>
      </c>
      <c r="H1658" s="26" t="str">
        <f t="shared" si="207"/>
        <v/>
      </c>
      <c r="I1658" s="26" t="str">
        <f t="shared" si="201"/>
        <v/>
      </c>
      <c r="J1658" t="str">
        <f t="shared" si="202"/>
        <v/>
      </c>
      <c r="K1658" s="26" t="str">
        <f t="shared" si="203"/>
        <v/>
      </c>
      <c r="L1658" s="26" t="str">
        <f t="shared" si="204"/>
        <v/>
      </c>
      <c r="P1658" t="e">
        <f t="shared" si="205"/>
        <v>#N/A</v>
      </c>
      <c r="Q1658" t="e">
        <f t="shared" si="206"/>
        <v>#N/A</v>
      </c>
    </row>
    <row r="1659" spans="1:17">
      <c r="A1659" s="28"/>
      <c r="B1659" s="28"/>
      <c r="C1659" s="28"/>
      <c r="D1659" s="28"/>
      <c r="E1659" s="28"/>
      <c r="F1659" s="28"/>
      <c r="G1659" s="26" t="str">
        <f t="shared" si="200"/>
        <v/>
      </c>
      <c r="H1659" s="26" t="str">
        <f t="shared" si="207"/>
        <v/>
      </c>
      <c r="I1659" s="26" t="str">
        <f t="shared" si="201"/>
        <v/>
      </c>
      <c r="J1659" t="str">
        <f t="shared" si="202"/>
        <v/>
      </c>
      <c r="K1659" s="26" t="str">
        <f t="shared" si="203"/>
        <v/>
      </c>
      <c r="L1659" s="26" t="str">
        <f t="shared" si="204"/>
        <v/>
      </c>
      <c r="P1659" t="e">
        <f t="shared" si="205"/>
        <v>#N/A</v>
      </c>
      <c r="Q1659" t="e">
        <f t="shared" si="206"/>
        <v>#N/A</v>
      </c>
    </row>
    <row r="1660" spans="1:17">
      <c r="A1660" s="28"/>
      <c r="B1660" s="28"/>
      <c r="C1660" s="28"/>
      <c r="D1660" s="28"/>
      <c r="E1660" s="28"/>
      <c r="F1660" s="28"/>
      <c r="G1660" s="26" t="str">
        <f t="shared" si="200"/>
        <v/>
      </c>
      <c r="H1660" s="26" t="str">
        <f t="shared" si="207"/>
        <v/>
      </c>
      <c r="I1660" s="26" t="str">
        <f t="shared" si="201"/>
        <v/>
      </c>
      <c r="J1660" t="str">
        <f t="shared" si="202"/>
        <v/>
      </c>
      <c r="K1660" s="26" t="str">
        <f t="shared" si="203"/>
        <v/>
      </c>
      <c r="L1660" s="26" t="str">
        <f t="shared" si="204"/>
        <v/>
      </c>
      <c r="P1660" t="e">
        <f t="shared" si="205"/>
        <v>#N/A</v>
      </c>
      <c r="Q1660" t="e">
        <f t="shared" si="206"/>
        <v>#N/A</v>
      </c>
    </row>
    <row r="1661" spans="1:17">
      <c r="A1661" s="28"/>
      <c r="B1661" s="28"/>
      <c r="C1661" s="28"/>
      <c r="D1661" s="28"/>
      <c r="E1661" s="28"/>
      <c r="F1661" s="28"/>
      <c r="G1661" s="26" t="str">
        <f t="shared" si="200"/>
        <v/>
      </c>
      <c r="H1661" s="26" t="str">
        <f t="shared" si="207"/>
        <v/>
      </c>
      <c r="I1661" s="26" t="str">
        <f t="shared" si="201"/>
        <v/>
      </c>
      <c r="J1661" t="str">
        <f t="shared" si="202"/>
        <v/>
      </c>
      <c r="K1661" s="26" t="str">
        <f t="shared" si="203"/>
        <v/>
      </c>
      <c r="L1661" s="26" t="str">
        <f t="shared" si="204"/>
        <v/>
      </c>
      <c r="P1661" t="e">
        <f t="shared" si="205"/>
        <v>#N/A</v>
      </c>
      <c r="Q1661" t="e">
        <f t="shared" si="206"/>
        <v>#N/A</v>
      </c>
    </row>
    <row r="1662" spans="1:17">
      <c r="A1662" s="28"/>
      <c r="B1662" s="28"/>
      <c r="C1662" s="28"/>
      <c r="D1662" s="28"/>
      <c r="E1662" s="28"/>
      <c r="F1662" s="28"/>
      <c r="G1662" s="26" t="str">
        <f t="shared" si="200"/>
        <v/>
      </c>
      <c r="H1662" s="26" t="str">
        <f t="shared" si="207"/>
        <v/>
      </c>
      <c r="I1662" s="26" t="str">
        <f t="shared" si="201"/>
        <v/>
      </c>
      <c r="J1662" t="str">
        <f t="shared" si="202"/>
        <v/>
      </c>
      <c r="K1662" s="26" t="str">
        <f t="shared" si="203"/>
        <v/>
      </c>
      <c r="L1662" s="26" t="str">
        <f t="shared" si="204"/>
        <v/>
      </c>
      <c r="P1662" t="e">
        <f t="shared" si="205"/>
        <v>#N/A</v>
      </c>
      <c r="Q1662" t="e">
        <f t="shared" si="206"/>
        <v>#N/A</v>
      </c>
    </row>
    <row r="1663" spans="1:17">
      <c r="A1663" s="28"/>
      <c r="B1663" s="28"/>
      <c r="C1663" s="28"/>
      <c r="D1663" s="28"/>
      <c r="E1663" s="28"/>
      <c r="F1663" s="28"/>
      <c r="G1663" s="26" t="str">
        <f t="shared" si="200"/>
        <v/>
      </c>
      <c r="H1663" s="26" t="str">
        <f t="shared" si="207"/>
        <v/>
      </c>
      <c r="I1663" s="26" t="str">
        <f t="shared" si="201"/>
        <v/>
      </c>
      <c r="J1663" t="str">
        <f t="shared" si="202"/>
        <v/>
      </c>
      <c r="K1663" s="26" t="str">
        <f t="shared" si="203"/>
        <v/>
      </c>
      <c r="L1663" s="26" t="str">
        <f t="shared" si="204"/>
        <v/>
      </c>
      <c r="P1663" t="e">
        <f t="shared" si="205"/>
        <v>#N/A</v>
      </c>
      <c r="Q1663" t="e">
        <f t="shared" si="206"/>
        <v>#N/A</v>
      </c>
    </row>
    <row r="1664" spans="1:17">
      <c r="A1664" s="28"/>
      <c r="B1664" s="28"/>
      <c r="C1664" s="28"/>
      <c r="D1664" s="28"/>
      <c r="E1664" s="28"/>
      <c r="F1664" s="28"/>
      <c r="G1664" s="26" t="str">
        <f t="shared" si="200"/>
        <v/>
      </c>
      <c r="H1664" s="26" t="str">
        <f t="shared" si="207"/>
        <v/>
      </c>
      <c r="I1664" s="26" t="str">
        <f t="shared" si="201"/>
        <v/>
      </c>
      <c r="J1664" t="str">
        <f t="shared" si="202"/>
        <v/>
      </c>
      <c r="K1664" s="26" t="str">
        <f t="shared" si="203"/>
        <v/>
      </c>
      <c r="L1664" s="26" t="str">
        <f t="shared" si="204"/>
        <v/>
      </c>
      <c r="P1664" t="e">
        <f t="shared" si="205"/>
        <v>#N/A</v>
      </c>
      <c r="Q1664" t="e">
        <f t="shared" si="206"/>
        <v>#N/A</v>
      </c>
    </row>
    <row r="1665" spans="1:17">
      <c r="A1665" s="28"/>
      <c r="B1665" s="28"/>
      <c r="C1665" s="28"/>
      <c r="D1665" s="28"/>
      <c r="E1665" s="28"/>
      <c r="F1665" s="28"/>
      <c r="G1665" s="26" t="str">
        <f t="shared" si="200"/>
        <v/>
      </c>
      <c r="H1665" s="26" t="str">
        <f t="shared" si="207"/>
        <v/>
      </c>
      <c r="I1665" s="26" t="str">
        <f t="shared" si="201"/>
        <v/>
      </c>
      <c r="J1665" t="str">
        <f t="shared" si="202"/>
        <v/>
      </c>
      <c r="K1665" s="26" t="str">
        <f t="shared" si="203"/>
        <v/>
      </c>
      <c r="L1665" s="26" t="str">
        <f t="shared" si="204"/>
        <v/>
      </c>
      <c r="P1665" t="e">
        <f t="shared" si="205"/>
        <v>#N/A</v>
      </c>
      <c r="Q1665" t="e">
        <f t="shared" si="206"/>
        <v>#N/A</v>
      </c>
    </row>
    <row r="1666" spans="1:17">
      <c r="A1666" s="28"/>
      <c r="B1666" s="28"/>
      <c r="C1666" s="28"/>
      <c r="D1666" s="28"/>
      <c r="E1666" s="28"/>
      <c r="F1666" s="28"/>
      <c r="G1666" s="26" t="str">
        <f t="shared" ref="G1666:G1729" si="208">IF(B1666="","",243.04*(LN(C1666/100)+17.625*B1666/(243.04+B1666))/(17.625-LN(C1666/100)-17.625*B1666/(243.04+B1666)))</f>
        <v/>
      </c>
      <c r="H1666" s="26" t="str">
        <f t="shared" si="207"/>
        <v/>
      </c>
      <c r="I1666" s="26" t="str">
        <f t="shared" ref="I1666:I1729" si="209">IF(B1666="","",B1666-E1666)</f>
        <v/>
      </c>
      <c r="J1666" t="str">
        <f t="shared" ref="J1666:J1729" si="210">IF(H1666="","",IF(H1666&gt;0.6,"Heating",IF(H1666&lt;-0.2,"Cooling","Steady")))</f>
        <v/>
      </c>
      <c r="K1666" s="26" t="str">
        <f t="shared" ref="K1666:K1729" si="211">IF(J1666="Cooling",I1666,"")</f>
        <v/>
      </c>
      <c r="L1666" s="26" t="str">
        <f t="shared" ref="L1666:L1729" si="212">IF(J1666="Cooling",H1666,"")</f>
        <v/>
      </c>
      <c r="P1666" t="e">
        <f t="shared" ref="P1666:P1729" si="213">IF(K1666="",NA(),K1666)</f>
        <v>#N/A</v>
      </c>
      <c r="Q1666" t="e">
        <f t="shared" ref="Q1666:Q1729" si="214">IF(L1666="",NA(),L1666)</f>
        <v>#N/A</v>
      </c>
    </row>
    <row r="1667" spans="1:17">
      <c r="A1667" s="28"/>
      <c r="B1667" s="28"/>
      <c r="C1667" s="28"/>
      <c r="D1667" s="28"/>
      <c r="E1667" s="28"/>
      <c r="F1667" s="28"/>
      <c r="G1667" s="26" t="str">
        <f t="shared" si="208"/>
        <v/>
      </c>
      <c r="H1667" s="26" t="str">
        <f t="shared" si="207"/>
        <v/>
      </c>
      <c r="I1667" s="26" t="str">
        <f t="shared" si="209"/>
        <v/>
      </c>
      <c r="J1667" t="str">
        <f t="shared" si="210"/>
        <v/>
      </c>
      <c r="K1667" s="26" t="str">
        <f t="shared" si="211"/>
        <v/>
      </c>
      <c r="L1667" s="26" t="str">
        <f t="shared" si="212"/>
        <v/>
      </c>
      <c r="P1667" t="e">
        <f t="shared" si="213"/>
        <v>#N/A</v>
      </c>
      <c r="Q1667" t="e">
        <f t="shared" si="214"/>
        <v>#N/A</v>
      </c>
    </row>
    <row r="1668" spans="1:17">
      <c r="A1668" s="28"/>
      <c r="B1668" s="28"/>
      <c r="C1668" s="28"/>
      <c r="D1668" s="28"/>
      <c r="E1668" s="28"/>
      <c r="F1668" s="28"/>
      <c r="G1668" s="26" t="str">
        <f t="shared" si="208"/>
        <v/>
      </c>
      <c r="H1668" s="26" t="str">
        <f t="shared" ref="H1668:H1731" si="215">IFERROR(IF(OR(B1666="",B1670=""),"",(B1670-B1666)/4*60),"")</f>
        <v/>
      </c>
      <c r="I1668" s="26" t="str">
        <f t="shared" si="209"/>
        <v/>
      </c>
      <c r="J1668" t="str">
        <f t="shared" si="210"/>
        <v/>
      </c>
      <c r="K1668" s="26" t="str">
        <f t="shared" si="211"/>
        <v/>
      </c>
      <c r="L1668" s="26" t="str">
        <f t="shared" si="212"/>
        <v/>
      </c>
      <c r="P1668" t="e">
        <f t="shared" si="213"/>
        <v>#N/A</v>
      </c>
      <c r="Q1668" t="e">
        <f t="shared" si="214"/>
        <v>#N/A</v>
      </c>
    </row>
    <row r="1669" spans="1:17">
      <c r="A1669" s="28"/>
      <c r="B1669" s="28"/>
      <c r="C1669" s="28"/>
      <c r="D1669" s="28"/>
      <c r="E1669" s="28"/>
      <c r="F1669" s="28"/>
      <c r="G1669" s="26" t="str">
        <f t="shared" si="208"/>
        <v/>
      </c>
      <c r="H1669" s="26" t="str">
        <f t="shared" si="215"/>
        <v/>
      </c>
      <c r="I1669" s="26" t="str">
        <f t="shared" si="209"/>
        <v/>
      </c>
      <c r="J1669" t="str">
        <f t="shared" si="210"/>
        <v/>
      </c>
      <c r="K1669" s="26" t="str">
        <f t="shared" si="211"/>
        <v/>
      </c>
      <c r="L1669" s="26" t="str">
        <f t="shared" si="212"/>
        <v/>
      </c>
      <c r="P1669" t="e">
        <f t="shared" si="213"/>
        <v>#N/A</v>
      </c>
      <c r="Q1669" t="e">
        <f t="shared" si="214"/>
        <v>#N/A</v>
      </c>
    </row>
    <row r="1670" spans="1:17">
      <c r="A1670" s="28"/>
      <c r="B1670" s="28"/>
      <c r="C1670" s="28"/>
      <c r="D1670" s="28"/>
      <c r="E1670" s="28"/>
      <c r="F1670" s="28"/>
      <c r="G1670" s="26" t="str">
        <f t="shared" si="208"/>
        <v/>
      </c>
      <c r="H1670" s="26" t="str">
        <f t="shared" si="215"/>
        <v/>
      </c>
      <c r="I1670" s="26" t="str">
        <f t="shared" si="209"/>
        <v/>
      </c>
      <c r="J1670" t="str">
        <f t="shared" si="210"/>
        <v/>
      </c>
      <c r="K1670" s="26" t="str">
        <f t="shared" si="211"/>
        <v/>
      </c>
      <c r="L1670" s="26" t="str">
        <f t="shared" si="212"/>
        <v/>
      </c>
      <c r="P1670" t="e">
        <f t="shared" si="213"/>
        <v>#N/A</v>
      </c>
      <c r="Q1670" t="e">
        <f t="shared" si="214"/>
        <v>#N/A</v>
      </c>
    </row>
    <row r="1671" spans="1:17">
      <c r="A1671" s="28"/>
      <c r="B1671" s="28"/>
      <c r="C1671" s="28"/>
      <c r="D1671" s="28"/>
      <c r="E1671" s="28"/>
      <c r="F1671" s="28"/>
      <c r="G1671" s="26" t="str">
        <f t="shared" si="208"/>
        <v/>
      </c>
      <c r="H1671" s="26" t="str">
        <f t="shared" si="215"/>
        <v/>
      </c>
      <c r="I1671" s="26" t="str">
        <f t="shared" si="209"/>
        <v/>
      </c>
      <c r="J1671" t="str">
        <f t="shared" si="210"/>
        <v/>
      </c>
      <c r="K1671" s="26" t="str">
        <f t="shared" si="211"/>
        <v/>
      </c>
      <c r="L1671" s="26" t="str">
        <f t="shared" si="212"/>
        <v/>
      </c>
      <c r="P1671" t="e">
        <f t="shared" si="213"/>
        <v>#N/A</v>
      </c>
      <c r="Q1671" t="e">
        <f t="shared" si="214"/>
        <v>#N/A</v>
      </c>
    </row>
    <row r="1672" spans="1:17">
      <c r="A1672" s="28"/>
      <c r="B1672" s="28"/>
      <c r="C1672" s="28"/>
      <c r="D1672" s="28"/>
      <c r="E1672" s="28"/>
      <c r="F1672" s="28"/>
      <c r="G1672" s="26" t="str">
        <f t="shared" si="208"/>
        <v/>
      </c>
      <c r="H1672" s="26" t="str">
        <f t="shared" si="215"/>
        <v/>
      </c>
      <c r="I1672" s="26" t="str">
        <f t="shared" si="209"/>
        <v/>
      </c>
      <c r="J1672" t="str">
        <f t="shared" si="210"/>
        <v/>
      </c>
      <c r="K1672" s="26" t="str">
        <f t="shared" si="211"/>
        <v/>
      </c>
      <c r="L1672" s="26" t="str">
        <f t="shared" si="212"/>
        <v/>
      </c>
      <c r="P1672" t="e">
        <f t="shared" si="213"/>
        <v>#N/A</v>
      </c>
      <c r="Q1672" t="e">
        <f t="shared" si="214"/>
        <v>#N/A</v>
      </c>
    </row>
    <row r="1673" spans="1:17">
      <c r="A1673" s="28"/>
      <c r="B1673" s="28"/>
      <c r="C1673" s="28"/>
      <c r="D1673" s="28"/>
      <c r="E1673" s="28"/>
      <c r="F1673" s="28"/>
      <c r="G1673" s="26" t="str">
        <f t="shared" si="208"/>
        <v/>
      </c>
      <c r="H1673" s="26" t="str">
        <f t="shared" si="215"/>
        <v/>
      </c>
      <c r="I1673" s="26" t="str">
        <f t="shared" si="209"/>
        <v/>
      </c>
      <c r="J1673" t="str">
        <f t="shared" si="210"/>
        <v/>
      </c>
      <c r="K1673" s="26" t="str">
        <f t="shared" si="211"/>
        <v/>
      </c>
      <c r="L1673" s="26" t="str">
        <f t="shared" si="212"/>
        <v/>
      </c>
      <c r="P1673" t="e">
        <f t="shared" si="213"/>
        <v>#N/A</v>
      </c>
      <c r="Q1673" t="e">
        <f t="shared" si="214"/>
        <v>#N/A</v>
      </c>
    </row>
    <row r="1674" spans="1:17">
      <c r="A1674" s="28"/>
      <c r="B1674" s="28"/>
      <c r="C1674" s="28"/>
      <c r="D1674" s="28"/>
      <c r="E1674" s="28"/>
      <c r="F1674" s="28"/>
      <c r="G1674" s="26" t="str">
        <f t="shared" si="208"/>
        <v/>
      </c>
      <c r="H1674" s="26" t="str">
        <f t="shared" si="215"/>
        <v/>
      </c>
      <c r="I1674" s="26" t="str">
        <f t="shared" si="209"/>
        <v/>
      </c>
      <c r="J1674" t="str">
        <f t="shared" si="210"/>
        <v/>
      </c>
      <c r="K1674" s="26" t="str">
        <f t="shared" si="211"/>
        <v/>
      </c>
      <c r="L1674" s="26" t="str">
        <f t="shared" si="212"/>
        <v/>
      </c>
      <c r="P1674" t="e">
        <f t="shared" si="213"/>
        <v>#N/A</v>
      </c>
      <c r="Q1674" t="e">
        <f t="shared" si="214"/>
        <v>#N/A</v>
      </c>
    </row>
    <row r="1675" spans="1:17">
      <c r="A1675" s="28"/>
      <c r="B1675" s="28"/>
      <c r="C1675" s="28"/>
      <c r="D1675" s="28"/>
      <c r="E1675" s="28"/>
      <c r="F1675" s="28"/>
      <c r="G1675" s="26" t="str">
        <f t="shared" si="208"/>
        <v/>
      </c>
      <c r="H1675" s="26" t="str">
        <f t="shared" si="215"/>
        <v/>
      </c>
      <c r="I1675" s="26" t="str">
        <f t="shared" si="209"/>
        <v/>
      </c>
      <c r="J1675" t="str">
        <f t="shared" si="210"/>
        <v/>
      </c>
      <c r="K1675" s="26" t="str">
        <f t="shared" si="211"/>
        <v/>
      </c>
      <c r="L1675" s="26" t="str">
        <f t="shared" si="212"/>
        <v/>
      </c>
      <c r="P1675" t="e">
        <f t="shared" si="213"/>
        <v>#N/A</v>
      </c>
      <c r="Q1675" t="e">
        <f t="shared" si="214"/>
        <v>#N/A</v>
      </c>
    </row>
    <row r="1676" spans="1:17">
      <c r="A1676" s="28"/>
      <c r="B1676" s="28"/>
      <c r="C1676" s="28"/>
      <c r="D1676" s="28"/>
      <c r="E1676" s="28"/>
      <c r="F1676" s="28"/>
      <c r="G1676" s="26" t="str">
        <f t="shared" si="208"/>
        <v/>
      </c>
      <c r="H1676" s="26" t="str">
        <f t="shared" si="215"/>
        <v/>
      </c>
      <c r="I1676" s="26" t="str">
        <f t="shared" si="209"/>
        <v/>
      </c>
      <c r="J1676" t="str">
        <f t="shared" si="210"/>
        <v/>
      </c>
      <c r="K1676" s="26" t="str">
        <f t="shared" si="211"/>
        <v/>
      </c>
      <c r="L1676" s="26" t="str">
        <f t="shared" si="212"/>
        <v/>
      </c>
      <c r="P1676" t="e">
        <f t="shared" si="213"/>
        <v>#N/A</v>
      </c>
      <c r="Q1676" t="e">
        <f t="shared" si="214"/>
        <v>#N/A</v>
      </c>
    </row>
    <row r="1677" spans="1:17">
      <c r="A1677" s="28"/>
      <c r="B1677" s="28"/>
      <c r="C1677" s="28"/>
      <c r="D1677" s="28"/>
      <c r="E1677" s="28"/>
      <c r="F1677" s="28"/>
      <c r="G1677" s="26" t="str">
        <f t="shared" si="208"/>
        <v/>
      </c>
      <c r="H1677" s="26" t="str">
        <f t="shared" si="215"/>
        <v/>
      </c>
      <c r="I1677" s="26" t="str">
        <f t="shared" si="209"/>
        <v/>
      </c>
      <c r="J1677" t="str">
        <f t="shared" si="210"/>
        <v/>
      </c>
      <c r="K1677" s="26" t="str">
        <f t="shared" si="211"/>
        <v/>
      </c>
      <c r="L1677" s="26" t="str">
        <f t="shared" si="212"/>
        <v/>
      </c>
      <c r="P1677" t="e">
        <f t="shared" si="213"/>
        <v>#N/A</v>
      </c>
      <c r="Q1677" t="e">
        <f t="shared" si="214"/>
        <v>#N/A</v>
      </c>
    </row>
    <row r="1678" spans="1:17">
      <c r="A1678" s="28"/>
      <c r="B1678" s="28"/>
      <c r="C1678" s="28"/>
      <c r="D1678" s="28"/>
      <c r="E1678" s="28"/>
      <c r="F1678" s="28"/>
      <c r="G1678" s="26" t="str">
        <f t="shared" si="208"/>
        <v/>
      </c>
      <c r="H1678" s="26" t="str">
        <f t="shared" si="215"/>
        <v/>
      </c>
      <c r="I1678" s="26" t="str">
        <f t="shared" si="209"/>
        <v/>
      </c>
      <c r="J1678" t="str">
        <f t="shared" si="210"/>
        <v/>
      </c>
      <c r="K1678" s="26" t="str">
        <f t="shared" si="211"/>
        <v/>
      </c>
      <c r="L1678" s="26" t="str">
        <f t="shared" si="212"/>
        <v/>
      </c>
      <c r="P1678" t="e">
        <f t="shared" si="213"/>
        <v>#N/A</v>
      </c>
      <c r="Q1678" t="e">
        <f t="shared" si="214"/>
        <v>#N/A</v>
      </c>
    </row>
    <row r="1679" spans="1:17">
      <c r="A1679" s="28"/>
      <c r="B1679" s="28"/>
      <c r="C1679" s="28"/>
      <c r="D1679" s="28"/>
      <c r="E1679" s="28"/>
      <c r="F1679" s="28"/>
      <c r="G1679" s="26" t="str">
        <f t="shared" si="208"/>
        <v/>
      </c>
      <c r="H1679" s="26" t="str">
        <f t="shared" si="215"/>
        <v/>
      </c>
      <c r="I1679" s="26" t="str">
        <f t="shared" si="209"/>
        <v/>
      </c>
      <c r="J1679" t="str">
        <f t="shared" si="210"/>
        <v/>
      </c>
      <c r="K1679" s="26" t="str">
        <f t="shared" si="211"/>
        <v/>
      </c>
      <c r="L1679" s="26" t="str">
        <f t="shared" si="212"/>
        <v/>
      </c>
      <c r="P1679" t="e">
        <f t="shared" si="213"/>
        <v>#N/A</v>
      </c>
      <c r="Q1679" t="e">
        <f t="shared" si="214"/>
        <v>#N/A</v>
      </c>
    </row>
    <row r="1680" spans="1:17">
      <c r="A1680" s="28"/>
      <c r="B1680" s="28"/>
      <c r="C1680" s="28"/>
      <c r="D1680" s="28"/>
      <c r="E1680" s="28"/>
      <c r="F1680" s="28"/>
      <c r="G1680" s="26" t="str">
        <f t="shared" si="208"/>
        <v/>
      </c>
      <c r="H1680" s="26" t="str">
        <f t="shared" si="215"/>
        <v/>
      </c>
      <c r="I1680" s="26" t="str">
        <f t="shared" si="209"/>
        <v/>
      </c>
      <c r="J1680" t="str">
        <f t="shared" si="210"/>
        <v/>
      </c>
      <c r="K1680" s="26" t="str">
        <f t="shared" si="211"/>
        <v/>
      </c>
      <c r="L1680" s="26" t="str">
        <f t="shared" si="212"/>
        <v/>
      </c>
      <c r="P1680" t="e">
        <f t="shared" si="213"/>
        <v>#N/A</v>
      </c>
      <c r="Q1680" t="e">
        <f t="shared" si="214"/>
        <v>#N/A</v>
      </c>
    </row>
    <row r="1681" spans="1:17">
      <c r="A1681" s="28"/>
      <c r="B1681" s="28"/>
      <c r="C1681" s="28"/>
      <c r="D1681" s="28"/>
      <c r="E1681" s="28"/>
      <c r="F1681" s="28"/>
      <c r="G1681" s="26" t="str">
        <f t="shared" si="208"/>
        <v/>
      </c>
      <c r="H1681" s="26" t="str">
        <f t="shared" si="215"/>
        <v/>
      </c>
      <c r="I1681" s="26" t="str">
        <f t="shared" si="209"/>
        <v/>
      </c>
      <c r="J1681" t="str">
        <f t="shared" si="210"/>
        <v/>
      </c>
      <c r="K1681" s="26" t="str">
        <f t="shared" si="211"/>
        <v/>
      </c>
      <c r="L1681" s="26" t="str">
        <f t="shared" si="212"/>
        <v/>
      </c>
      <c r="P1681" t="e">
        <f t="shared" si="213"/>
        <v>#N/A</v>
      </c>
      <c r="Q1681" t="e">
        <f t="shared" si="214"/>
        <v>#N/A</v>
      </c>
    </row>
    <row r="1682" spans="1:17">
      <c r="A1682" s="28"/>
      <c r="B1682" s="28"/>
      <c r="C1682" s="28"/>
      <c r="D1682" s="28"/>
      <c r="E1682" s="28"/>
      <c r="F1682" s="28"/>
      <c r="G1682" s="26" t="str">
        <f t="shared" si="208"/>
        <v/>
      </c>
      <c r="H1682" s="26" t="str">
        <f t="shared" si="215"/>
        <v/>
      </c>
      <c r="I1682" s="26" t="str">
        <f t="shared" si="209"/>
        <v/>
      </c>
      <c r="J1682" t="str">
        <f t="shared" si="210"/>
        <v/>
      </c>
      <c r="K1682" s="26" t="str">
        <f t="shared" si="211"/>
        <v/>
      </c>
      <c r="L1682" s="26" t="str">
        <f t="shared" si="212"/>
        <v/>
      </c>
      <c r="P1682" t="e">
        <f t="shared" si="213"/>
        <v>#N/A</v>
      </c>
      <c r="Q1682" t="e">
        <f t="shared" si="214"/>
        <v>#N/A</v>
      </c>
    </row>
    <row r="1683" spans="1:17">
      <c r="A1683" s="28"/>
      <c r="B1683" s="28"/>
      <c r="C1683" s="28"/>
      <c r="D1683" s="28"/>
      <c r="E1683" s="28"/>
      <c r="F1683" s="28"/>
      <c r="G1683" s="26" t="str">
        <f t="shared" si="208"/>
        <v/>
      </c>
      <c r="H1683" s="26" t="str">
        <f t="shared" si="215"/>
        <v/>
      </c>
      <c r="I1683" s="26" t="str">
        <f t="shared" si="209"/>
        <v/>
      </c>
      <c r="J1683" t="str">
        <f t="shared" si="210"/>
        <v/>
      </c>
      <c r="K1683" s="26" t="str">
        <f t="shared" si="211"/>
        <v/>
      </c>
      <c r="L1683" s="26" t="str">
        <f t="shared" si="212"/>
        <v/>
      </c>
      <c r="P1683" t="e">
        <f t="shared" si="213"/>
        <v>#N/A</v>
      </c>
      <c r="Q1683" t="e">
        <f t="shared" si="214"/>
        <v>#N/A</v>
      </c>
    </row>
    <row r="1684" spans="1:17">
      <c r="A1684" s="28"/>
      <c r="B1684" s="28"/>
      <c r="C1684" s="28"/>
      <c r="D1684" s="28"/>
      <c r="E1684" s="28"/>
      <c r="F1684" s="28"/>
      <c r="G1684" s="26" t="str">
        <f t="shared" si="208"/>
        <v/>
      </c>
      <c r="H1684" s="26" t="str">
        <f t="shared" si="215"/>
        <v/>
      </c>
      <c r="I1684" s="26" t="str">
        <f t="shared" si="209"/>
        <v/>
      </c>
      <c r="J1684" t="str">
        <f t="shared" si="210"/>
        <v/>
      </c>
      <c r="K1684" s="26" t="str">
        <f t="shared" si="211"/>
        <v/>
      </c>
      <c r="L1684" s="26" t="str">
        <f t="shared" si="212"/>
        <v/>
      </c>
      <c r="P1684" t="e">
        <f t="shared" si="213"/>
        <v>#N/A</v>
      </c>
      <c r="Q1684" t="e">
        <f t="shared" si="214"/>
        <v>#N/A</v>
      </c>
    </row>
    <row r="1685" spans="1:17">
      <c r="A1685" s="28"/>
      <c r="B1685" s="28"/>
      <c r="C1685" s="28"/>
      <c r="D1685" s="28"/>
      <c r="E1685" s="28"/>
      <c r="F1685" s="28"/>
      <c r="G1685" s="26" t="str">
        <f t="shared" si="208"/>
        <v/>
      </c>
      <c r="H1685" s="26" t="str">
        <f t="shared" si="215"/>
        <v/>
      </c>
      <c r="I1685" s="26" t="str">
        <f t="shared" si="209"/>
        <v/>
      </c>
      <c r="J1685" t="str">
        <f t="shared" si="210"/>
        <v/>
      </c>
      <c r="K1685" s="26" t="str">
        <f t="shared" si="211"/>
        <v/>
      </c>
      <c r="L1685" s="26" t="str">
        <f t="shared" si="212"/>
        <v/>
      </c>
      <c r="P1685" t="e">
        <f t="shared" si="213"/>
        <v>#N/A</v>
      </c>
      <c r="Q1685" t="e">
        <f t="shared" si="214"/>
        <v>#N/A</v>
      </c>
    </row>
    <row r="1686" spans="1:17">
      <c r="A1686" s="28"/>
      <c r="B1686" s="28"/>
      <c r="C1686" s="28"/>
      <c r="D1686" s="28"/>
      <c r="E1686" s="28"/>
      <c r="F1686" s="28"/>
      <c r="G1686" s="26" t="str">
        <f t="shared" si="208"/>
        <v/>
      </c>
      <c r="H1686" s="26" t="str">
        <f t="shared" si="215"/>
        <v/>
      </c>
      <c r="I1686" s="26" t="str">
        <f t="shared" si="209"/>
        <v/>
      </c>
      <c r="J1686" t="str">
        <f t="shared" si="210"/>
        <v/>
      </c>
      <c r="K1686" s="26" t="str">
        <f t="shared" si="211"/>
        <v/>
      </c>
      <c r="L1686" s="26" t="str">
        <f t="shared" si="212"/>
        <v/>
      </c>
      <c r="P1686" t="e">
        <f t="shared" si="213"/>
        <v>#N/A</v>
      </c>
      <c r="Q1686" t="e">
        <f t="shared" si="214"/>
        <v>#N/A</v>
      </c>
    </row>
    <row r="1687" spans="1:17">
      <c r="A1687" s="28"/>
      <c r="B1687" s="28"/>
      <c r="C1687" s="28"/>
      <c r="D1687" s="28"/>
      <c r="E1687" s="28"/>
      <c r="F1687" s="28"/>
      <c r="G1687" s="26" t="str">
        <f t="shared" si="208"/>
        <v/>
      </c>
      <c r="H1687" s="26" t="str">
        <f t="shared" si="215"/>
        <v/>
      </c>
      <c r="I1687" s="26" t="str">
        <f t="shared" si="209"/>
        <v/>
      </c>
      <c r="J1687" t="str">
        <f t="shared" si="210"/>
        <v/>
      </c>
      <c r="K1687" s="26" t="str">
        <f t="shared" si="211"/>
        <v/>
      </c>
      <c r="L1687" s="26" t="str">
        <f t="shared" si="212"/>
        <v/>
      </c>
      <c r="P1687" t="e">
        <f t="shared" si="213"/>
        <v>#N/A</v>
      </c>
      <c r="Q1687" t="e">
        <f t="shared" si="214"/>
        <v>#N/A</v>
      </c>
    </row>
    <row r="1688" spans="1:17">
      <c r="A1688" s="28"/>
      <c r="B1688" s="28"/>
      <c r="C1688" s="28"/>
      <c r="D1688" s="28"/>
      <c r="E1688" s="28"/>
      <c r="F1688" s="28"/>
      <c r="G1688" s="26" t="str">
        <f t="shared" si="208"/>
        <v/>
      </c>
      <c r="H1688" s="26" t="str">
        <f t="shared" si="215"/>
        <v/>
      </c>
      <c r="I1688" s="26" t="str">
        <f t="shared" si="209"/>
        <v/>
      </c>
      <c r="J1688" t="str">
        <f t="shared" si="210"/>
        <v/>
      </c>
      <c r="K1688" s="26" t="str">
        <f t="shared" si="211"/>
        <v/>
      </c>
      <c r="L1688" s="26" t="str">
        <f t="shared" si="212"/>
        <v/>
      </c>
      <c r="P1688" t="e">
        <f t="shared" si="213"/>
        <v>#N/A</v>
      </c>
      <c r="Q1688" t="e">
        <f t="shared" si="214"/>
        <v>#N/A</v>
      </c>
    </row>
    <row r="1689" spans="1:17">
      <c r="A1689" s="28"/>
      <c r="B1689" s="28"/>
      <c r="C1689" s="28"/>
      <c r="D1689" s="28"/>
      <c r="E1689" s="28"/>
      <c r="F1689" s="28"/>
      <c r="G1689" s="26" t="str">
        <f t="shared" si="208"/>
        <v/>
      </c>
      <c r="H1689" s="26" t="str">
        <f t="shared" si="215"/>
        <v/>
      </c>
      <c r="I1689" s="26" t="str">
        <f t="shared" si="209"/>
        <v/>
      </c>
      <c r="J1689" t="str">
        <f t="shared" si="210"/>
        <v/>
      </c>
      <c r="K1689" s="26" t="str">
        <f t="shared" si="211"/>
        <v/>
      </c>
      <c r="L1689" s="26" t="str">
        <f t="shared" si="212"/>
        <v/>
      </c>
      <c r="P1689" t="e">
        <f t="shared" si="213"/>
        <v>#N/A</v>
      </c>
      <c r="Q1689" t="e">
        <f t="shared" si="214"/>
        <v>#N/A</v>
      </c>
    </row>
    <row r="1690" spans="1:17">
      <c r="A1690" s="28"/>
      <c r="B1690" s="28"/>
      <c r="C1690" s="28"/>
      <c r="D1690" s="28"/>
      <c r="E1690" s="28"/>
      <c r="F1690" s="28"/>
      <c r="G1690" s="26" t="str">
        <f t="shared" si="208"/>
        <v/>
      </c>
      <c r="H1690" s="26" t="str">
        <f t="shared" si="215"/>
        <v/>
      </c>
      <c r="I1690" s="26" t="str">
        <f t="shared" si="209"/>
        <v/>
      </c>
      <c r="J1690" t="str">
        <f t="shared" si="210"/>
        <v/>
      </c>
      <c r="K1690" s="26" t="str">
        <f t="shared" si="211"/>
        <v/>
      </c>
      <c r="L1690" s="26" t="str">
        <f t="shared" si="212"/>
        <v/>
      </c>
      <c r="P1690" t="e">
        <f t="shared" si="213"/>
        <v>#N/A</v>
      </c>
      <c r="Q1690" t="e">
        <f t="shared" si="214"/>
        <v>#N/A</v>
      </c>
    </row>
    <row r="1691" spans="1:17">
      <c r="A1691" s="28"/>
      <c r="B1691" s="28"/>
      <c r="C1691" s="28"/>
      <c r="D1691" s="28"/>
      <c r="E1691" s="28"/>
      <c r="F1691" s="28"/>
      <c r="G1691" s="26" t="str">
        <f t="shared" si="208"/>
        <v/>
      </c>
      <c r="H1691" s="26" t="str">
        <f t="shared" si="215"/>
        <v/>
      </c>
      <c r="I1691" s="26" t="str">
        <f t="shared" si="209"/>
        <v/>
      </c>
      <c r="J1691" t="str">
        <f t="shared" si="210"/>
        <v/>
      </c>
      <c r="K1691" s="26" t="str">
        <f t="shared" si="211"/>
        <v/>
      </c>
      <c r="L1691" s="26" t="str">
        <f t="shared" si="212"/>
        <v/>
      </c>
      <c r="P1691" t="e">
        <f t="shared" si="213"/>
        <v>#N/A</v>
      </c>
      <c r="Q1691" t="e">
        <f t="shared" si="214"/>
        <v>#N/A</v>
      </c>
    </row>
    <row r="1692" spans="1:17">
      <c r="A1692" s="28"/>
      <c r="B1692" s="28"/>
      <c r="C1692" s="28"/>
      <c r="D1692" s="28"/>
      <c r="E1692" s="28"/>
      <c r="F1692" s="28"/>
      <c r="G1692" s="26" t="str">
        <f t="shared" si="208"/>
        <v/>
      </c>
      <c r="H1692" s="26" t="str">
        <f t="shared" si="215"/>
        <v/>
      </c>
      <c r="I1692" s="26" t="str">
        <f t="shared" si="209"/>
        <v/>
      </c>
      <c r="J1692" t="str">
        <f t="shared" si="210"/>
        <v/>
      </c>
      <c r="K1692" s="26" t="str">
        <f t="shared" si="211"/>
        <v/>
      </c>
      <c r="L1692" s="26" t="str">
        <f t="shared" si="212"/>
        <v/>
      </c>
      <c r="P1692" t="e">
        <f t="shared" si="213"/>
        <v>#N/A</v>
      </c>
      <c r="Q1692" t="e">
        <f t="shared" si="214"/>
        <v>#N/A</v>
      </c>
    </row>
    <row r="1693" spans="1:17">
      <c r="A1693" s="28"/>
      <c r="B1693" s="28"/>
      <c r="C1693" s="28"/>
      <c r="D1693" s="28"/>
      <c r="E1693" s="28"/>
      <c r="F1693" s="28"/>
      <c r="G1693" s="26" t="str">
        <f t="shared" si="208"/>
        <v/>
      </c>
      <c r="H1693" s="26" t="str">
        <f t="shared" si="215"/>
        <v/>
      </c>
      <c r="I1693" s="26" t="str">
        <f t="shared" si="209"/>
        <v/>
      </c>
      <c r="J1693" t="str">
        <f t="shared" si="210"/>
        <v/>
      </c>
      <c r="K1693" s="26" t="str">
        <f t="shared" si="211"/>
        <v/>
      </c>
      <c r="L1693" s="26" t="str">
        <f t="shared" si="212"/>
        <v/>
      </c>
      <c r="P1693" t="e">
        <f t="shared" si="213"/>
        <v>#N/A</v>
      </c>
      <c r="Q1693" t="e">
        <f t="shared" si="214"/>
        <v>#N/A</v>
      </c>
    </row>
    <row r="1694" spans="1:17">
      <c r="A1694" s="28"/>
      <c r="B1694" s="28"/>
      <c r="C1694" s="28"/>
      <c r="D1694" s="28"/>
      <c r="E1694" s="28"/>
      <c r="F1694" s="28"/>
      <c r="G1694" s="26" t="str">
        <f t="shared" si="208"/>
        <v/>
      </c>
      <c r="H1694" s="26" t="str">
        <f t="shared" si="215"/>
        <v/>
      </c>
      <c r="I1694" s="26" t="str">
        <f t="shared" si="209"/>
        <v/>
      </c>
      <c r="J1694" t="str">
        <f t="shared" si="210"/>
        <v/>
      </c>
      <c r="K1694" s="26" t="str">
        <f t="shared" si="211"/>
        <v/>
      </c>
      <c r="L1694" s="26" t="str">
        <f t="shared" si="212"/>
        <v/>
      </c>
      <c r="P1694" t="e">
        <f t="shared" si="213"/>
        <v>#N/A</v>
      </c>
      <c r="Q1694" t="e">
        <f t="shared" si="214"/>
        <v>#N/A</v>
      </c>
    </row>
    <row r="1695" spans="1:17">
      <c r="A1695" s="28"/>
      <c r="B1695" s="28"/>
      <c r="C1695" s="28"/>
      <c r="D1695" s="28"/>
      <c r="E1695" s="28"/>
      <c r="F1695" s="28"/>
      <c r="G1695" s="26" t="str">
        <f t="shared" si="208"/>
        <v/>
      </c>
      <c r="H1695" s="26" t="str">
        <f t="shared" si="215"/>
        <v/>
      </c>
      <c r="I1695" s="26" t="str">
        <f t="shared" si="209"/>
        <v/>
      </c>
      <c r="J1695" t="str">
        <f t="shared" si="210"/>
        <v/>
      </c>
      <c r="K1695" s="26" t="str">
        <f t="shared" si="211"/>
        <v/>
      </c>
      <c r="L1695" s="26" t="str">
        <f t="shared" si="212"/>
        <v/>
      </c>
      <c r="P1695" t="e">
        <f t="shared" si="213"/>
        <v>#N/A</v>
      </c>
      <c r="Q1695" t="e">
        <f t="shared" si="214"/>
        <v>#N/A</v>
      </c>
    </row>
    <row r="1696" spans="1:17">
      <c r="A1696" s="28"/>
      <c r="B1696" s="28"/>
      <c r="C1696" s="28"/>
      <c r="D1696" s="28"/>
      <c r="E1696" s="28"/>
      <c r="F1696" s="28"/>
      <c r="G1696" s="26" t="str">
        <f t="shared" si="208"/>
        <v/>
      </c>
      <c r="H1696" s="26" t="str">
        <f t="shared" si="215"/>
        <v/>
      </c>
      <c r="I1696" s="26" t="str">
        <f t="shared" si="209"/>
        <v/>
      </c>
      <c r="J1696" t="str">
        <f t="shared" si="210"/>
        <v/>
      </c>
      <c r="K1696" s="26" t="str">
        <f t="shared" si="211"/>
        <v/>
      </c>
      <c r="L1696" s="26" t="str">
        <f t="shared" si="212"/>
        <v/>
      </c>
      <c r="P1696" t="e">
        <f t="shared" si="213"/>
        <v>#N/A</v>
      </c>
      <c r="Q1696" t="e">
        <f t="shared" si="214"/>
        <v>#N/A</v>
      </c>
    </row>
    <row r="1697" spans="1:17">
      <c r="A1697" s="28"/>
      <c r="B1697" s="28"/>
      <c r="C1697" s="28"/>
      <c r="D1697" s="28"/>
      <c r="E1697" s="28"/>
      <c r="F1697" s="28"/>
      <c r="G1697" s="26" t="str">
        <f t="shared" si="208"/>
        <v/>
      </c>
      <c r="H1697" s="26" t="str">
        <f t="shared" si="215"/>
        <v/>
      </c>
      <c r="I1697" s="26" t="str">
        <f t="shared" si="209"/>
        <v/>
      </c>
      <c r="J1697" t="str">
        <f t="shared" si="210"/>
        <v/>
      </c>
      <c r="K1697" s="26" t="str">
        <f t="shared" si="211"/>
        <v/>
      </c>
      <c r="L1697" s="26" t="str">
        <f t="shared" si="212"/>
        <v/>
      </c>
      <c r="P1697" t="e">
        <f t="shared" si="213"/>
        <v>#N/A</v>
      </c>
      <c r="Q1697" t="e">
        <f t="shared" si="214"/>
        <v>#N/A</v>
      </c>
    </row>
    <row r="1698" spans="1:17">
      <c r="A1698" s="28"/>
      <c r="B1698" s="28"/>
      <c r="C1698" s="28"/>
      <c r="D1698" s="28"/>
      <c r="E1698" s="28"/>
      <c r="F1698" s="28"/>
      <c r="G1698" s="26" t="str">
        <f t="shared" si="208"/>
        <v/>
      </c>
      <c r="H1698" s="26" t="str">
        <f t="shared" si="215"/>
        <v/>
      </c>
      <c r="I1698" s="26" t="str">
        <f t="shared" si="209"/>
        <v/>
      </c>
      <c r="J1698" t="str">
        <f t="shared" si="210"/>
        <v/>
      </c>
      <c r="K1698" s="26" t="str">
        <f t="shared" si="211"/>
        <v/>
      </c>
      <c r="L1698" s="26" t="str">
        <f t="shared" si="212"/>
        <v/>
      </c>
      <c r="P1698" t="e">
        <f t="shared" si="213"/>
        <v>#N/A</v>
      </c>
      <c r="Q1698" t="e">
        <f t="shared" si="214"/>
        <v>#N/A</v>
      </c>
    </row>
    <row r="1699" spans="1:17">
      <c r="A1699" s="28"/>
      <c r="B1699" s="28"/>
      <c r="C1699" s="28"/>
      <c r="D1699" s="28"/>
      <c r="E1699" s="28"/>
      <c r="F1699" s="28"/>
      <c r="G1699" s="26" t="str">
        <f t="shared" si="208"/>
        <v/>
      </c>
      <c r="H1699" s="26" t="str">
        <f t="shared" si="215"/>
        <v/>
      </c>
      <c r="I1699" s="26" t="str">
        <f t="shared" si="209"/>
        <v/>
      </c>
      <c r="J1699" t="str">
        <f t="shared" si="210"/>
        <v/>
      </c>
      <c r="K1699" s="26" t="str">
        <f t="shared" si="211"/>
        <v/>
      </c>
      <c r="L1699" s="26" t="str">
        <f t="shared" si="212"/>
        <v/>
      </c>
      <c r="P1699" t="e">
        <f t="shared" si="213"/>
        <v>#N/A</v>
      </c>
      <c r="Q1699" t="e">
        <f t="shared" si="214"/>
        <v>#N/A</v>
      </c>
    </row>
    <row r="1700" spans="1:17">
      <c r="A1700" s="28"/>
      <c r="B1700" s="28"/>
      <c r="C1700" s="28"/>
      <c r="D1700" s="28"/>
      <c r="E1700" s="28"/>
      <c r="F1700" s="28"/>
      <c r="G1700" s="26" t="str">
        <f t="shared" si="208"/>
        <v/>
      </c>
      <c r="H1700" s="26" t="str">
        <f t="shared" si="215"/>
        <v/>
      </c>
      <c r="I1700" s="26" t="str">
        <f t="shared" si="209"/>
        <v/>
      </c>
      <c r="J1700" t="str">
        <f t="shared" si="210"/>
        <v/>
      </c>
      <c r="K1700" s="26" t="str">
        <f t="shared" si="211"/>
        <v/>
      </c>
      <c r="L1700" s="26" t="str">
        <f t="shared" si="212"/>
        <v/>
      </c>
      <c r="P1700" t="e">
        <f t="shared" si="213"/>
        <v>#N/A</v>
      </c>
      <c r="Q1700" t="e">
        <f t="shared" si="214"/>
        <v>#N/A</v>
      </c>
    </row>
    <row r="1701" spans="1:17">
      <c r="A1701" s="28"/>
      <c r="B1701" s="28"/>
      <c r="C1701" s="28"/>
      <c r="D1701" s="28"/>
      <c r="E1701" s="28"/>
      <c r="F1701" s="28"/>
      <c r="G1701" s="26" t="str">
        <f t="shared" si="208"/>
        <v/>
      </c>
      <c r="H1701" s="26" t="str">
        <f t="shared" si="215"/>
        <v/>
      </c>
      <c r="I1701" s="26" t="str">
        <f t="shared" si="209"/>
        <v/>
      </c>
      <c r="J1701" t="str">
        <f t="shared" si="210"/>
        <v/>
      </c>
      <c r="K1701" s="26" t="str">
        <f t="shared" si="211"/>
        <v/>
      </c>
      <c r="L1701" s="26" t="str">
        <f t="shared" si="212"/>
        <v/>
      </c>
      <c r="P1701" t="e">
        <f t="shared" si="213"/>
        <v>#N/A</v>
      </c>
      <c r="Q1701" t="e">
        <f t="shared" si="214"/>
        <v>#N/A</v>
      </c>
    </row>
    <row r="1702" spans="1:17">
      <c r="A1702" s="28"/>
      <c r="B1702" s="28"/>
      <c r="C1702" s="28"/>
      <c r="D1702" s="28"/>
      <c r="E1702" s="28"/>
      <c r="F1702" s="28"/>
      <c r="G1702" s="26" t="str">
        <f t="shared" si="208"/>
        <v/>
      </c>
      <c r="H1702" s="26" t="str">
        <f t="shared" si="215"/>
        <v/>
      </c>
      <c r="I1702" s="26" t="str">
        <f t="shared" si="209"/>
        <v/>
      </c>
      <c r="J1702" t="str">
        <f t="shared" si="210"/>
        <v/>
      </c>
      <c r="K1702" s="26" t="str">
        <f t="shared" si="211"/>
        <v/>
      </c>
      <c r="L1702" s="26" t="str">
        <f t="shared" si="212"/>
        <v/>
      </c>
      <c r="P1702" t="e">
        <f t="shared" si="213"/>
        <v>#N/A</v>
      </c>
      <c r="Q1702" t="e">
        <f t="shared" si="214"/>
        <v>#N/A</v>
      </c>
    </row>
    <row r="1703" spans="1:17">
      <c r="A1703" s="28"/>
      <c r="B1703" s="28"/>
      <c r="C1703" s="28"/>
      <c r="D1703" s="28"/>
      <c r="E1703" s="28"/>
      <c r="F1703" s="28"/>
      <c r="G1703" s="26" t="str">
        <f t="shared" si="208"/>
        <v/>
      </c>
      <c r="H1703" s="26" t="str">
        <f t="shared" si="215"/>
        <v/>
      </c>
      <c r="I1703" s="26" t="str">
        <f t="shared" si="209"/>
        <v/>
      </c>
      <c r="J1703" t="str">
        <f t="shared" si="210"/>
        <v/>
      </c>
      <c r="K1703" s="26" t="str">
        <f t="shared" si="211"/>
        <v/>
      </c>
      <c r="L1703" s="26" t="str">
        <f t="shared" si="212"/>
        <v/>
      </c>
      <c r="P1703" t="e">
        <f t="shared" si="213"/>
        <v>#N/A</v>
      </c>
      <c r="Q1703" t="e">
        <f t="shared" si="214"/>
        <v>#N/A</v>
      </c>
    </row>
    <row r="1704" spans="1:17">
      <c r="A1704" s="28"/>
      <c r="B1704" s="28"/>
      <c r="C1704" s="28"/>
      <c r="D1704" s="28"/>
      <c r="E1704" s="28"/>
      <c r="F1704" s="28"/>
      <c r="G1704" s="26" t="str">
        <f t="shared" si="208"/>
        <v/>
      </c>
      <c r="H1704" s="26" t="str">
        <f t="shared" si="215"/>
        <v/>
      </c>
      <c r="I1704" s="26" t="str">
        <f t="shared" si="209"/>
        <v/>
      </c>
      <c r="J1704" t="str">
        <f t="shared" si="210"/>
        <v/>
      </c>
      <c r="K1704" s="26" t="str">
        <f t="shared" si="211"/>
        <v/>
      </c>
      <c r="L1704" s="26" t="str">
        <f t="shared" si="212"/>
        <v/>
      </c>
      <c r="P1704" t="e">
        <f t="shared" si="213"/>
        <v>#N/A</v>
      </c>
      <c r="Q1704" t="e">
        <f t="shared" si="214"/>
        <v>#N/A</v>
      </c>
    </row>
    <row r="1705" spans="1:17">
      <c r="A1705" s="28"/>
      <c r="B1705" s="28"/>
      <c r="C1705" s="28"/>
      <c r="D1705" s="28"/>
      <c r="E1705" s="28"/>
      <c r="F1705" s="28"/>
      <c r="G1705" s="26" t="str">
        <f t="shared" si="208"/>
        <v/>
      </c>
      <c r="H1705" s="26" t="str">
        <f t="shared" si="215"/>
        <v/>
      </c>
      <c r="I1705" s="26" t="str">
        <f t="shared" si="209"/>
        <v/>
      </c>
      <c r="J1705" t="str">
        <f t="shared" si="210"/>
        <v/>
      </c>
      <c r="K1705" s="26" t="str">
        <f t="shared" si="211"/>
        <v/>
      </c>
      <c r="L1705" s="26" t="str">
        <f t="shared" si="212"/>
        <v/>
      </c>
      <c r="P1705" t="e">
        <f t="shared" si="213"/>
        <v>#N/A</v>
      </c>
      <c r="Q1705" t="e">
        <f t="shared" si="214"/>
        <v>#N/A</v>
      </c>
    </row>
    <row r="1706" spans="1:17">
      <c r="A1706" s="28"/>
      <c r="B1706" s="28"/>
      <c r="C1706" s="28"/>
      <c r="D1706" s="28"/>
      <c r="E1706" s="28"/>
      <c r="F1706" s="28"/>
      <c r="G1706" s="26" t="str">
        <f t="shared" si="208"/>
        <v/>
      </c>
      <c r="H1706" s="26" t="str">
        <f t="shared" si="215"/>
        <v/>
      </c>
      <c r="I1706" s="26" t="str">
        <f t="shared" si="209"/>
        <v/>
      </c>
      <c r="J1706" t="str">
        <f t="shared" si="210"/>
        <v/>
      </c>
      <c r="K1706" s="26" t="str">
        <f t="shared" si="211"/>
        <v/>
      </c>
      <c r="L1706" s="26" t="str">
        <f t="shared" si="212"/>
        <v/>
      </c>
      <c r="P1706" t="e">
        <f t="shared" si="213"/>
        <v>#N/A</v>
      </c>
      <c r="Q1706" t="e">
        <f t="shared" si="214"/>
        <v>#N/A</v>
      </c>
    </row>
    <row r="1707" spans="1:17">
      <c r="A1707" s="28"/>
      <c r="B1707" s="28"/>
      <c r="C1707" s="28"/>
      <c r="D1707" s="28"/>
      <c r="E1707" s="28"/>
      <c r="F1707" s="28"/>
      <c r="G1707" s="26" t="str">
        <f t="shared" si="208"/>
        <v/>
      </c>
      <c r="H1707" s="26" t="str">
        <f t="shared" si="215"/>
        <v/>
      </c>
      <c r="I1707" s="26" t="str">
        <f t="shared" si="209"/>
        <v/>
      </c>
      <c r="J1707" t="str">
        <f t="shared" si="210"/>
        <v/>
      </c>
      <c r="K1707" s="26" t="str">
        <f t="shared" si="211"/>
        <v/>
      </c>
      <c r="L1707" s="26" t="str">
        <f t="shared" si="212"/>
        <v/>
      </c>
      <c r="P1707" t="e">
        <f t="shared" si="213"/>
        <v>#N/A</v>
      </c>
      <c r="Q1707" t="e">
        <f t="shared" si="214"/>
        <v>#N/A</v>
      </c>
    </row>
    <row r="1708" spans="1:17">
      <c r="A1708" s="28"/>
      <c r="B1708" s="28"/>
      <c r="C1708" s="28"/>
      <c r="D1708" s="28"/>
      <c r="E1708" s="28"/>
      <c r="F1708" s="28"/>
      <c r="G1708" s="26" t="str">
        <f t="shared" si="208"/>
        <v/>
      </c>
      <c r="H1708" s="26" t="str">
        <f t="shared" si="215"/>
        <v/>
      </c>
      <c r="I1708" s="26" t="str">
        <f t="shared" si="209"/>
        <v/>
      </c>
      <c r="J1708" t="str">
        <f t="shared" si="210"/>
        <v/>
      </c>
      <c r="K1708" s="26" t="str">
        <f t="shared" si="211"/>
        <v/>
      </c>
      <c r="L1708" s="26" t="str">
        <f t="shared" si="212"/>
        <v/>
      </c>
      <c r="P1708" t="e">
        <f t="shared" si="213"/>
        <v>#N/A</v>
      </c>
      <c r="Q1708" t="e">
        <f t="shared" si="214"/>
        <v>#N/A</v>
      </c>
    </row>
    <row r="1709" spans="1:17">
      <c r="A1709" s="28"/>
      <c r="B1709" s="28"/>
      <c r="C1709" s="28"/>
      <c r="D1709" s="28"/>
      <c r="E1709" s="28"/>
      <c r="F1709" s="28"/>
      <c r="G1709" s="26" t="str">
        <f t="shared" si="208"/>
        <v/>
      </c>
      <c r="H1709" s="26" t="str">
        <f t="shared" si="215"/>
        <v/>
      </c>
      <c r="I1709" s="26" t="str">
        <f t="shared" si="209"/>
        <v/>
      </c>
      <c r="J1709" t="str">
        <f t="shared" si="210"/>
        <v/>
      </c>
      <c r="K1709" s="26" t="str">
        <f t="shared" si="211"/>
        <v/>
      </c>
      <c r="L1709" s="26" t="str">
        <f t="shared" si="212"/>
        <v/>
      </c>
      <c r="P1709" t="e">
        <f t="shared" si="213"/>
        <v>#N/A</v>
      </c>
      <c r="Q1709" t="e">
        <f t="shared" si="214"/>
        <v>#N/A</v>
      </c>
    </row>
    <row r="1710" spans="1:17">
      <c r="A1710" s="28"/>
      <c r="B1710" s="28"/>
      <c r="C1710" s="28"/>
      <c r="D1710" s="28"/>
      <c r="E1710" s="28"/>
      <c r="F1710" s="28"/>
      <c r="G1710" s="26" t="str">
        <f t="shared" si="208"/>
        <v/>
      </c>
      <c r="H1710" s="26" t="str">
        <f t="shared" si="215"/>
        <v/>
      </c>
      <c r="I1710" s="26" t="str">
        <f t="shared" si="209"/>
        <v/>
      </c>
      <c r="J1710" t="str">
        <f t="shared" si="210"/>
        <v/>
      </c>
      <c r="K1710" s="26" t="str">
        <f t="shared" si="211"/>
        <v/>
      </c>
      <c r="L1710" s="26" t="str">
        <f t="shared" si="212"/>
        <v/>
      </c>
      <c r="P1710" t="e">
        <f t="shared" si="213"/>
        <v>#N/A</v>
      </c>
      <c r="Q1710" t="e">
        <f t="shared" si="214"/>
        <v>#N/A</v>
      </c>
    </row>
    <row r="1711" spans="1:17">
      <c r="A1711" s="28"/>
      <c r="B1711" s="28"/>
      <c r="C1711" s="28"/>
      <c r="D1711" s="28"/>
      <c r="E1711" s="28"/>
      <c r="F1711" s="28"/>
      <c r="G1711" s="26" t="str">
        <f t="shared" si="208"/>
        <v/>
      </c>
      <c r="H1711" s="26" t="str">
        <f t="shared" si="215"/>
        <v/>
      </c>
      <c r="I1711" s="26" t="str">
        <f t="shared" si="209"/>
        <v/>
      </c>
      <c r="J1711" t="str">
        <f t="shared" si="210"/>
        <v/>
      </c>
      <c r="K1711" s="26" t="str">
        <f t="shared" si="211"/>
        <v/>
      </c>
      <c r="L1711" s="26" t="str">
        <f t="shared" si="212"/>
        <v/>
      </c>
      <c r="P1711" t="e">
        <f t="shared" si="213"/>
        <v>#N/A</v>
      </c>
      <c r="Q1711" t="e">
        <f t="shared" si="214"/>
        <v>#N/A</v>
      </c>
    </row>
    <row r="1712" spans="1:17">
      <c r="A1712" s="28"/>
      <c r="B1712" s="28"/>
      <c r="C1712" s="28"/>
      <c r="D1712" s="28"/>
      <c r="E1712" s="28"/>
      <c r="F1712" s="28"/>
      <c r="G1712" s="26" t="str">
        <f t="shared" si="208"/>
        <v/>
      </c>
      <c r="H1712" s="26" t="str">
        <f t="shared" si="215"/>
        <v/>
      </c>
      <c r="I1712" s="26" t="str">
        <f t="shared" si="209"/>
        <v/>
      </c>
      <c r="J1712" t="str">
        <f t="shared" si="210"/>
        <v/>
      </c>
      <c r="K1712" s="26" t="str">
        <f t="shared" si="211"/>
        <v/>
      </c>
      <c r="L1712" s="26" t="str">
        <f t="shared" si="212"/>
        <v/>
      </c>
      <c r="P1712" t="e">
        <f t="shared" si="213"/>
        <v>#N/A</v>
      </c>
      <c r="Q1712" t="e">
        <f t="shared" si="214"/>
        <v>#N/A</v>
      </c>
    </row>
    <row r="1713" spans="1:17">
      <c r="A1713" s="28"/>
      <c r="B1713" s="28"/>
      <c r="C1713" s="28"/>
      <c r="D1713" s="28"/>
      <c r="E1713" s="28"/>
      <c r="F1713" s="28"/>
      <c r="G1713" s="26" t="str">
        <f t="shared" si="208"/>
        <v/>
      </c>
      <c r="H1713" s="26" t="str">
        <f t="shared" si="215"/>
        <v/>
      </c>
      <c r="I1713" s="26" t="str">
        <f t="shared" si="209"/>
        <v/>
      </c>
      <c r="J1713" t="str">
        <f t="shared" si="210"/>
        <v/>
      </c>
      <c r="K1713" s="26" t="str">
        <f t="shared" si="211"/>
        <v/>
      </c>
      <c r="L1713" s="26" t="str">
        <f t="shared" si="212"/>
        <v/>
      </c>
      <c r="P1713" t="e">
        <f t="shared" si="213"/>
        <v>#N/A</v>
      </c>
      <c r="Q1713" t="e">
        <f t="shared" si="214"/>
        <v>#N/A</v>
      </c>
    </row>
    <row r="1714" spans="1:17">
      <c r="A1714" s="28"/>
      <c r="B1714" s="28"/>
      <c r="C1714" s="28"/>
      <c r="D1714" s="28"/>
      <c r="E1714" s="28"/>
      <c r="F1714" s="28"/>
      <c r="G1714" s="26" t="str">
        <f t="shared" si="208"/>
        <v/>
      </c>
      <c r="H1714" s="26" t="str">
        <f t="shared" si="215"/>
        <v/>
      </c>
      <c r="I1714" s="26" t="str">
        <f t="shared" si="209"/>
        <v/>
      </c>
      <c r="J1714" t="str">
        <f t="shared" si="210"/>
        <v/>
      </c>
      <c r="K1714" s="26" t="str">
        <f t="shared" si="211"/>
        <v/>
      </c>
      <c r="L1714" s="26" t="str">
        <f t="shared" si="212"/>
        <v/>
      </c>
      <c r="P1714" t="e">
        <f t="shared" si="213"/>
        <v>#N/A</v>
      </c>
      <c r="Q1714" t="e">
        <f t="shared" si="214"/>
        <v>#N/A</v>
      </c>
    </row>
    <row r="1715" spans="1:17">
      <c r="A1715" s="28"/>
      <c r="B1715" s="28"/>
      <c r="C1715" s="28"/>
      <c r="D1715" s="28"/>
      <c r="E1715" s="28"/>
      <c r="F1715" s="28"/>
      <c r="G1715" s="26" t="str">
        <f t="shared" si="208"/>
        <v/>
      </c>
      <c r="H1715" s="26" t="str">
        <f t="shared" si="215"/>
        <v/>
      </c>
      <c r="I1715" s="26" t="str">
        <f t="shared" si="209"/>
        <v/>
      </c>
      <c r="J1715" t="str">
        <f t="shared" si="210"/>
        <v/>
      </c>
      <c r="K1715" s="26" t="str">
        <f t="shared" si="211"/>
        <v/>
      </c>
      <c r="L1715" s="26" t="str">
        <f t="shared" si="212"/>
        <v/>
      </c>
      <c r="P1715" t="e">
        <f t="shared" si="213"/>
        <v>#N/A</v>
      </c>
      <c r="Q1715" t="e">
        <f t="shared" si="214"/>
        <v>#N/A</v>
      </c>
    </row>
    <row r="1716" spans="1:17">
      <c r="A1716" s="28"/>
      <c r="B1716" s="28"/>
      <c r="C1716" s="28"/>
      <c r="D1716" s="28"/>
      <c r="E1716" s="28"/>
      <c r="F1716" s="28"/>
      <c r="G1716" s="26" t="str">
        <f t="shared" si="208"/>
        <v/>
      </c>
      <c r="H1716" s="26" t="str">
        <f t="shared" si="215"/>
        <v/>
      </c>
      <c r="I1716" s="26" t="str">
        <f t="shared" si="209"/>
        <v/>
      </c>
      <c r="J1716" t="str">
        <f t="shared" si="210"/>
        <v/>
      </c>
      <c r="K1716" s="26" t="str">
        <f t="shared" si="211"/>
        <v/>
      </c>
      <c r="L1716" s="26" t="str">
        <f t="shared" si="212"/>
        <v/>
      </c>
      <c r="P1716" t="e">
        <f t="shared" si="213"/>
        <v>#N/A</v>
      </c>
      <c r="Q1716" t="e">
        <f t="shared" si="214"/>
        <v>#N/A</v>
      </c>
    </row>
    <row r="1717" spans="1:17">
      <c r="A1717" s="28"/>
      <c r="B1717" s="28"/>
      <c r="C1717" s="28"/>
      <c r="D1717" s="28"/>
      <c r="E1717" s="28"/>
      <c r="F1717" s="28"/>
      <c r="G1717" s="26" t="str">
        <f t="shared" si="208"/>
        <v/>
      </c>
      <c r="H1717" s="26" t="str">
        <f t="shared" si="215"/>
        <v/>
      </c>
      <c r="I1717" s="26" t="str">
        <f t="shared" si="209"/>
        <v/>
      </c>
      <c r="J1717" t="str">
        <f t="shared" si="210"/>
        <v/>
      </c>
      <c r="K1717" s="26" t="str">
        <f t="shared" si="211"/>
        <v/>
      </c>
      <c r="L1717" s="26" t="str">
        <f t="shared" si="212"/>
        <v/>
      </c>
      <c r="P1717" t="e">
        <f t="shared" si="213"/>
        <v>#N/A</v>
      </c>
      <c r="Q1717" t="e">
        <f t="shared" si="214"/>
        <v>#N/A</v>
      </c>
    </row>
    <row r="1718" spans="1:17">
      <c r="A1718" s="28"/>
      <c r="B1718" s="28"/>
      <c r="C1718" s="28"/>
      <c r="D1718" s="28"/>
      <c r="E1718" s="28"/>
      <c r="F1718" s="28"/>
      <c r="G1718" s="26" t="str">
        <f t="shared" si="208"/>
        <v/>
      </c>
      <c r="H1718" s="26" t="str">
        <f t="shared" si="215"/>
        <v/>
      </c>
      <c r="I1718" s="26" t="str">
        <f t="shared" si="209"/>
        <v/>
      </c>
      <c r="J1718" t="str">
        <f t="shared" si="210"/>
        <v/>
      </c>
      <c r="K1718" s="26" t="str">
        <f t="shared" si="211"/>
        <v/>
      </c>
      <c r="L1718" s="26" t="str">
        <f t="shared" si="212"/>
        <v/>
      </c>
      <c r="P1718" t="e">
        <f t="shared" si="213"/>
        <v>#N/A</v>
      </c>
      <c r="Q1718" t="e">
        <f t="shared" si="214"/>
        <v>#N/A</v>
      </c>
    </row>
    <row r="1719" spans="1:17">
      <c r="A1719" s="28"/>
      <c r="B1719" s="28"/>
      <c r="C1719" s="28"/>
      <c r="D1719" s="28"/>
      <c r="E1719" s="28"/>
      <c r="F1719" s="28"/>
      <c r="G1719" s="26" t="str">
        <f t="shared" si="208"/>
        <v/>
      </c>
      <c r="H1719" s="26" t="str">
        <f t="shared" si="215"/>
        <v/>
      </c>
      <c r="I1719" s="26" t="str">
        <f t="shared" si="209"/>
        <v/>
      </c>
      <c r="J1719" t="str">
        <f t="shared" si="210"/>
        <v/>
      </c>
      <c r="K1719" s="26" t="str">
        <f t="shared" si="211"/>
        <v/>
      </c>
      <c r="L1719" s="26" t="str">
        <f t="shared" si="212"/>
        <v/>
      </c>
      <c r="P1719" t="e">
        <f t="shared" si="213"/>
        <v>#N/A</v>
      </c>
      <c r="Q1719" t="e">
        <f t="shared" si="214"/>
        <v>#N/A</v>
      </c>
    </row>
    <row r="1720" spans="1:17">
      <c r="A1720" s="28"/>
      <c r="B1720" s="28"/>
      <c r="C1720" s="28"/>
      <c r="D1720" s="28"/>
      <c r="E1720" s="28"/>
      <c r="F1720" s="28"/>
      <c r="G1720" s="26" t="str">
        <f t="shared" si="208"/>
        <v/>
      </c>
      <c r="H1720" s="26" t="str">
        <f t="shared" si="215"/>
        <v/>
      </c>
      <c r="I1720" s="26" t="str">
        <f t="shared" si="209"/>
        <v/>
      </c>
      <c r="J1720" t="str">
        <f t="shared" si="210"/>
        <v/>
      </c>
      <c r="K1720" s="26" t="str">
        <f t="shared" si="211"/>
        <v/>
      </c>
      <c r="L1720" s="26" t="str">
        <f t="shared" si="212"/>
        <v/>
      </c>
      <c r="P1720" t="e">
        <f t="shared" si="213"/>
        <v>#N/A</v>
      </c>
      <c r="Q1720" t="e">
        <f t="shared" si="214"/>
        <v>#N/A</v>
      </c>
    </row>
    <row r="1721" spans="1:17">
      <c r="A1721" s="28"/>
      <c r="B1721" s="28"/>
      <c r="C1721" s="28"/>
      <c r="D1721" s="28"/>
      <c r="E1721" s="28"/>
      <c r="F1721" s="28"/>
      <c r="G1721" s="26" t="str">
        <f t="shared" si="208"/>
        <v/>
      </c>
      <c r="H1721" s="26" t="str">
        <f t="shared" si="215"/>
        <v/>
      </c>
      <c r="I1721" s="26" t="str">
        <f t="shared" si="209"/>
        <v/>
      </c>
      <c r="J1721" t="str">
        <f t="shared" si="210"/>
        <v/>
      </c>
      <c r="K1721" s="26" t="str">
        <f t="shared" si="211"/>
        <v/>
      </c>
      <c r="L1721" s="26" t="str">
        <f t="shared" si="212"/>
        <v/>
      </c>
      <c r="P1721" t="e">
        <f t="shared" si="213"/>
        <v>#N/A</v>
      </c>
      <c r="Q1721" t="e">
        <f t="shared" si="214"/>
        <v>#N/A</v>
      </c>
    </row>
    <row r="1722" spans="1:17">
      <c r="A1722" s="28"/>
      <c r="B1722" s="28"/>
      <c r="C1722" s="28"/>
      <c r="D1722" s="28"/>
      <c r="E1722" s="28"/>
      <c r="F1722" s="28"/>
      <c r="G1722" s="26" t="str">
        <f t="shared" si="208"/>
        <v/>
      </c>
      <c r="H1722" s="26" t="str">
        <f t="shared" si="215"/>
        <v/>
      </c>
      <c r="I1722" s="26" t="str">
        <f t="shared" si="209"/>
        <v/>
      </c>
      <c r="J1722" t="str">
        <f t="shared" si="210"/>
        <v/>
      </c>
      <c r="K1722" s="26" t="str">
        <f t="shared" si="211"/>
        <v/>
      </c>
      <c r="L1722" s="26" t="str">
        <f t="shared" si="212"/>
        <v/>
      </c>
      <c r="P1722" t="e">
        <f t="shared" si="213"/>
        <v>#N/A</v>
      </c>
      <c r="Q1722" t="e">
        <f t="shared" si="214"/>
        <v>#N/A</v>
      </c>
    </row>
    <row r="1723" spans="1:17">
      <c r="A1723" s="28"/>
      <c r="B1723" s="28"/>
      <c r="C1723" s="28"/>
      <c r="D1723" s="28"/>
      <c r="E1723" s="28"/>
      <c r="F1723" s="28"/>
      <c r="G1723" s="26" t="str">
        <f t="shared" si="208"/>
        <v/>
      </c>
      <c r="H1723" s="26" t="str">
        <f t="shared" si="215"/>
        <v/>
      </c>
      <c r="I1723" s="26" t="str">
        <f t="shared" si="209"/>
        <v/>
      </c>
      <c r="J1723" t="str">
        <f t="shared" si="210"/>
        <v/>
      </c>
      <c r="K1723" s="26" t="str">
        <f t="shared" si="211"/>
        <v/>
      </c>
      <c r="L1723" s="26" t="str">
        <f t="shared" si="212"/>
        <v/>
      </c>
      <c r="P1723" t="e">
        <f t="shared" si="213"/>
        <v>#N/A</v>
      </c>
      <c r="Q1723" t="e">
        <f t="shared" si="214"/>
        <v>#N/A</v>
      </c>
    </row>
    <row r="1724" spans="1:17">
      <c r="A1724" s="28"/>
      <c r="B1724" s="28"/>
      <c r="C1724" s="28"/>
      <c r="D1724" s="28"/>
      <c r="E1724" s="28"/>
      <c r="F1724" s="28"/>
      <c r="G1724" s="26" t="str">
        <f t="shared" si="208"/>
        <v/>
      </c>
      <c r="H1724" s="26" t="str">
        <f t="shared" si="215"/>
        <v/>
      </c>
      <c r="I1724" s="26" t="str">
        <f t="shared" si="209"/>
        <v/>
      </c>
      <c r="J1724" t="str">
        <f t="shared" si="210"/>
        <v/>
      </c>
      <c r="K1724" s="26" t="str">
        <f t="shared" si="211"/>
        <v/>
      </c>
      <c r="L1724" s="26" t="str">
        <f t="shared" si="212"/>
        <v/>
      </c>
      <c r="P1724" t="e">
        <f t="shared" si="213"/>
        <v>#N/A</v>
      </c>
      <c r="Q1724" t="e">
        <f t="shared" si="214"/>
        <v>#N/A</v>
      </c>
    </row>
    <row r="1725" spans="1:17">
      <c r="A1725" s="28"/>
      <c r="B1725" s="28"/>
      <c r="C1725" s="28"/>
      <c r="D1725" s="28"/>
      <c r="E1725" s="28"/>
      <c r="F1725" s="28"/>
      <c r="G1725" s="26" t="str">
        <f t="shared" si="208"/>
        <v/>
      </c>
      <c r="H1725" s="26" t="str">
        <f t="shared" si="215"/>
        <v/>
      </c>
      <c r="I1725" s="26" t="str">
        <f t="shared" si="209"/>
        <v/>
      </c>
      <c r="J1725" t="str">
        <f t="shared" si="210"/>
        <v/>
      </c>
      <c r="K1725" s="26" t="str">
        <f t="shared" si="211"/>
        <v/>
      </c>
      <c r="L1725" s="26" t="str">
        <f t="shared" si="212"/>
        <v/>
      </c>
      <c r="P1725" t="e">
        <f t="shared" si="213"/>
        <v>#N/A</v>
      </c>
      <c r="Q1725" t="e">
        <f t="shared" si="214"/>
        <v>#N/A</v>
      </c>
    </row>
    <row r="1726" spans="1:17">
      <c r="A1726" s="28"/>
      <c r="B1726" s="28"/>
      <c r="C1726" s="28"/>
      <c r="D1726" s="28"/>
      <c r="E1726" s="28"/>
      <c r="F1726" s="28"/>
      <c r="G1726" s="26" t="str">
        <f t="shared" si="208"/>
        <v/>
      </c>
      <c r="H1726" s="26" t="str">
        <f t="shared" si="215"/>
        <v/>
      </c>
      <c r="I1726" s="26" t="str">
        <f t="shared" si="209"/>
        <v/>
      </c>
      <c r="J1726" t="str">
        <f t="shared" si="210"/>
        <v/>
      </c>
      <c r="K1726" s="26" t="str">
        <f t="shared" si="211"/>
        <v/>
      </c>
      <c r="L1726" s="26" t="str">
        <f t="shared" si="212"/>
        <v/>
      </c>
      <c r="P1726" t="e">
        <f t="shared" si="213"/>
        <v>#N/A</v>
      </c>
      <c r="Q1726" t="e">
        <f t="shared" si="214"/>
        <v>#N/A</v>
      </c>
    </row>
    <row r="1727" spans="1:17">
      <c r="A1727" s="28"/>
      <c r="B1727" s="28"/>
      <c r="C1727" s="28"/>
      <c r="D1727" s="28"/>
      <c r="E1727" s="28"/>
      <c r="F1727" s="28"/>
      <c r="G1727" s="26" t="str">
        <f t="shared" si="208"/>
        <v/>
      </c>
      <c r="H1727" s="26" t="str">
        <f t="shared" si="215"/>
        <v/>
      </c>
      <c r="I1727" s="26" t="str">
        <f t="shared" si="209"/>
        <v/>
      </c>
      <c r="J1727" t="str">
        <f t="shared" si="210"/>
        <v/>
      </c>
      <c r="K1727" s="26" t="str">
        <f t="shared" si="211"/>
        <v/>
      </c>
      <c r="L1727" s="26" t="str">
        <f t="shared" si="212"/>
        <v/>
      </c>
      <c r="P1727" t="e">
        <f t="shared" si="213"/>
        <v>#N/A</v>
      </c>
      <c r="Q1727" t="e">
        <f t="shared" si="214"/>
        <v>#N/A</v>
      </c>
    </row>
    <row r="1728" spans="1:17">
      <c r="A1728" s="28"/>
      <c r="B1728" s="28"/>
      <c r="C1728" s="28"/>
      <c r="D1728" s="28"/>
      <c r="E1728" s="28"/>
      <c r="F1728" s="28"/>
      <c r="G1728" s="26" t="str">
        <f t="shared" si="208"/>
        <v/>
      </c>
      <c r="H1728" s="26" t="str">
        <f t="shared" si="215"/>
        <v/>
      </c>
      <c r="I1728" s="26" t="str">
        <f t="shared" si="209"/>
        <v/>
      </c>
      <c r="J1728" t="str">
        <f t="shared" si="210"/>
        <v/>
      </c>
      <c r="K1728" s="26" t="str">
        <f t="shared" si="211"/>
        <v/>
      </c>
      <c r="L1728" s="26" t="str">
        <f t="shared" si="212"/>
        <v/>
      </c>
      <c r="P1728" t="e">
        <f t="shared" si="213"/>
        <v>#N/A</v>
      </c>
      <c r="Q1728" t="e">
        <f t="shared" si="214"/>
        <v>#N/A</v>
      </c>
    </row>
    <row r="1729" spans="1:17">
      <c r="A1729" s="28"/>
      <c r="B1729" s="28"/>
      <c r="C1729" s="28"/>
      <c r="D1729" s="28"/>
      <c r="E1729" s="28"/>
      <c r="F1729" s="28"/>
      <c r="G1729" s="26" t="str">
        <f t="shared" si="208"/>
        <v/>
      </c>
      <c r="H1729" s="26" t="str">
        <f t="shared" si="215"/>
        <v/>
      </c>
      <c r="I1729" s="26" t="str">
        <f t="shared" si="209"/>
        <v/>
      </c>
      <c r="J1729" t="str">
        <f t="shared" si="210"/>
        <v/>
      </c>
      <c r="K1729" s="26" t="str">
        <f t="shared" si="211"/>
        <v/>
      </c>
      <c r="L1729" s="26" t="str">
        <f t="shared" si="212"/>
        <v/>
      </c>
      <c r="P1729" t="e">
        <f t="shared" si="213"/>
        <v>#N/A</v>
      </c>
      <c r="Q1729" t="e">
        <f t="shared" si="214"/>
        <v>#N/A</v>
      </c>
    </row>
    <row r="1730" spans="1:17">
      <c r="A1730" s="28"/>
      <c r="B1730" s="28"/>
      <c r="C1730" s="28"/>
      <c r="D1730" s="28"/>
      <c r="E1730" s="28"/>
      <c r="F1730" s="28"/>
      <c r="G1730" s="26" t="str">
        <f t="shared" ref="G1730:G1793" si="216">IF(B1730="","",243.04*(LN(C1730/100)+17.625*B1730/(243.04+B1730))/(17.625-LN(C1730/100)-17.625*B1730/(243.04+B1730)))</f>
        <v/>
      </c>
      <c r="H1730" s="26" t="str">
        <f t="shared" si="215"/>
        <v/>
      </c>
      <c r="I1730" s="26" t="str">
        <f t="shared" ref="I1730:I1793" si="217">IF(B1730="","",B1730-E1730)</f>
        <v/>
      </c>
      <c r="J1730" t="str">
        <f t="shared" ref="J1730:J1793" si="218">IF(H1730="","",IF(H1730&gt;0.6,"Heating",IF(H1730&lt;-0.2,"Cooling","Steady")))</f>
        <v/>
      </c>
      <c r="K1730" s="26" t="str">
        <f t="shared" ref="K1730:K1793" si="219">IF(J1730="Cooling",I1730,"")</f>
        <v/>
      </c>
      <c r="L1730" s="26" t="str">
        <f t="shared" ref="L1730:L1793" si="220">IF(J1730="Cooling",H1730,"")</f>
        <v/>
      </c>
      <c r="P1730" t="e">
        <f t="shared" ref="P1730:P1793" si="221">IF(K1730="",NA(),K1730)</f>
        <v>#N/A</v>
      </c>
      <c r="Q1730" t="e">
        <f t="shared" ref="Q1730:Q1793" si="222">IF(L1730="",NA(),L1730)</f>
        <v>#N/A</v>
      </c>
    </row>
    <row r="1731" spans="1:17">
      <c r="A1731" s="28"/>
      <c r="B1731" s="28"/>
      <c r="C1731" s="28"/>
      <c r="D1731" s="28"/>
      <c r="E1731" s="28"/>
      <c r="F1731" s="28"/>
      <c r="G1731" s="26" t="str">
        <f t="shared" si="216"/>
        <v/>
      </c>
      <c r="H1731" s="26" t="str">
        <f t="shared" si="215"/>
        <v/>
      </c>
      <c r="I1731" s="26" t="str">
        <f t="shared" si="217"/>
        <v/>
      </c>
      <c r="J1731" t="str">
        <f t="shared" si="218"/>
        <v/>
      </c>
      <c r="K1731" s="26" t="str">
        <f t="shared" si="219"/>
        <v/>
      </c>
      <c r="L1731" s="26" t="str">
        <f t="shared" si="220"/>
        <v/>
      </c>
      <c r="P1731" t="e">
        <f t="shared" si="221"/>
        <v>#N/A</v>
      </c>
      <c r="Q1731" t="e">
        <f t="shared" si="222"/>
        <v>#N/A</v>
      </c>
    </row>
    <row r="1732" spans="1:17">
      <c r="A1732" s="28"/>
      <c r="B1732" s="28"/>
      <c r="C1732" s="28"/>
      <c r="D1732" s="28"/>
      <c r="E1732" s="28"/>
      <c r="F1732" s="28"/>
      <c r="G1732" s="26" t="str">
        <f t="shared" si="216"/>
        <v/>
      </c>
      <c r="H1732" s="26" t="str">
        <f t="shared" ref="H1732:H1795" si="223">IFERROR(IF(OR(B1730="",B1734=""),"",(B1734-B1730)/4*60),"")</f>
        <v/>
      </c>
      <c r="I1732" s="26" t="str">
        <f t="shared" si="217"/>
        <v/>
      </c>
      <c r="J1732" t="str">
        <f t="shared" si="218"/>
        <v/>
      </c>
      <c r="K1732" s="26" t="str">
        <f t="shared" si="219"/>
        <v/>
      </c>
      <c r="L1732" s="26" t="str">
        <f t="shared" si="220"/>
        <v/>
      </c>
      <c r="P1732" t="e">
        <f t="shared" si="221"/>
        <v>#N/A</v>
      </c>
      <c r="Q1732" t="e">
        <f t="shared" si="222"/>
        <v>#N/A</v>
      </c>
    </row>
    <row r="1733" spans="1:17">
      <c r="A1733" s="28"/>
      <c r="B1733" s="28"/>
      <c r="C1733" s="28"/>
      <c r="D1733" s="28"/>
      <c r="E1733" s="28"/>
      <c r="F1733" s="28"/>
      <c r="G1733" s="26" t="str">
        <f t="shared" si="216"/>
        <v/>
      </c>
      <c r="H1733" s="26" t="str">
        <f t="shared" si="223"/>
        <v/>
      </c>
      <c r="I1733" s="26" t="str">
        <f t="shared" si="217"/>
        <v/>
      </c>
      <c r="J1733" t="str">
        <f t="shared" si="218"/>
        <v/>
      </c>
      <c r="K1733" s="26" t="str">
        <f t="shared" si="219"/>
        <v/>
      </c>
      <c r="L1733" s="26" t="str">
        <f t="shared" si="220"/>
        <v/>
      </c>
      <c r="P1733" t="e">
        <f t="shared" si="221"/>
        <v>#N/A</v>
      </c>
      <c r="Q1733" t="e">
        <f t="shared" si="222"/>
        <v>#N/A</v>
      </c>
    </row>
    <row r="1734" spans="1:17">
      <c r="A1734" s="28"/>
      <c r="B1734" s="28"/>
      <c r="C1734" s="28"/>
      <c r="D1734" s="28"/>
      <c r="E1734" s="28"/>
      <c r="F1734" s="28"/>
      <c r="G1734" s="26" t="str">
        <f t="shared" si="216"/>
        <v/>
      </c>
      <c r="H1734" s="26" t="str">
        <f t="shared" si="223"/>
        <v/>
      </c>
      <c r="I1734" s="26" t="str">
        <f t="shared" si="217"/>
        <v/>
      </c>
      <c r="J1734" t="str">
        <f t="shared" si="218"/>
        <v/>
      </c>
      <c r="K1734" s="26" t="str">
        <f t="shared" si="219"/>
        <v/>
      </c>
      <c r="L1734" s="26" t="str">
        <f t="shared" si="220"/>
        <v/>
      </c>
      <c r="P1734" t="e">
        <f t="shared" si="221"/>
        <v>#N/A</v>
      </c>
      <c r="Q1734" t="e">
        <f t="shared" si="222"/>
        <v>#N/A</v>
      </c>
    </row>
    <row r="1735" spans="1:17">
      <c r="A1735" s="28"/>
      <c r="B1735" s="28"/>
      <c r="C1735" s="28"/>
      <c r="D1735" s="28"/>
      <c r="E1735" s="28"/>
      <c r="F1735" s="28"/>
      <c r="G1735" s="26" t="str">
        <f t="shared" si="216"/>
        <v/>
      </c>
      <c r="H1735" s="26" t="str">
        <f t="shared" si="223"/>
        <v/>
      </c>
      <c r="I1735" s="26" t="str">
        <f t="shared" si="217"/>
        <v/>
      </c>
      <c r="J1735" t="str">
        <f t="shared" si="218"/>
        <v/>
      </c>
      <c r="K1735" s="26" t="str">
        <f t="shared" si="219"/>
        <v/>
      </c>
      <c r="L1735" s="26" t="str">
        <f t="shared" si="220"/>
        <v/>
      </c>
      <c r="P1735" t="e">
        <f t="shared" si="221"/>
        <v>#N/A</v>
      </c>
      <c r="Q1735" t="e">
        <f t="shared" si="222"/>
        <v>#N/A</v>
      </c>
    </row>
    <row r="1736" spans="1:17">
      <c r="A1736" s="28"/>
      <c r="B1736" s="28"/>
      <c r="C1736" s="28"/>
      <c r="D1736" s="28"/>
      <c r="E1736" s="28"/>
      <c r="F1736" s="28"/>
      <c r="G1736" s="26" t="str">
        <f t="shared" si="216"/>
        <v/>
      </c>
      <c r="H1736" s="26" t="str">
        <f t="shared" si="223"/>
        <v/>
      </c>
      <c r="I1736" s="26" t="str">
        <f t="shared" si="217"/>
        <v/>
      </c>
      <c r="J1736" t="str">
        <f t="shared" si="218"/>
        <v/>
      </c>
      <c r="K1736" s="26" t="str">
        <f t="shared" si="219"/>
        <v/>
      </c>
      <c r="L1736" s="26" t="str">
        <f t="shared" si="220"/>
        <v/>
      </c>
      <c r="P1736" t="e">
        <f t="shared" si="221"/>
        <v>#N/A</v>
      </c>
      <c r="Q1736" t="e">
        <f t="shared" si="222"/>
        <v>#N/A</v>
      </c>
    </row>
    <row r="1737" spans="1:17">
      <c r="A1737" s="28"/>
      <c r="B1737" s="28"/>
      <c r="C1737" s="28"/>
      <c r="D1737" s="28"/>
      <c r="E1737" s="28"/>
      <c r="F1737" s="28"/>
      <c r="G1737" s="26" t="str">
        <f t="shared" si="216"/>
        <v/>
      </c>
      <c r="H1737" s="26" t="str">
        <f t="shared" si="223"/>
        <v/>
      </c>
      <c r="I1737" s="26" t="str">
        <f t="shared" si="217"/>
        <v/>
      </c>
      <c r="J1737" t="str">
        <f t="shared" si="218"/>
        <v/>
      </c>
      <c r="K1737" s="26" t="str">
        <f t="shared" si="219"/>
        <v/>
      </c>
      <c r="L1737" s="26" t="str">
        <f t="shared" si="220"/>
        <v/>
      </c>
      <c r="P1737" t="e">
        <f t="shared" si="221"/>
        <v>#N/A</v>
      </c>
      <c r="Q1737" t="e">
        <f t="shared" si="222"/>
        <v>#N/A</v>
      </c>
    </row>
    <row r="1738" spans="1:17">
      <c r="A1738" s="28"/>
      <c r="B1738" s="28"/>
      <c r="C1738" s="28"/>
      <c r="D1738" s="28"/>
      <c r="E1738" s="28"/>
      <c r="F1738" s="28"/>
      <c r="G1738" s="26" t="str">
        <f t="shared" si="216"/>
        <v/>
      </c>
      <c r="H1738" s="26" t="str">
        <f t="shared" si="223"/>
        <v/>
      </c>
      <c r="I1738" s="26" t="str">
        <f t="shared" si="217"/>
        <v/>
      </c>
      <c r="J1738" t="str">
        <f t="shared" si="218"/>
        <v/>
      </c>
      <c r="K1738" s="26" t="str">
        <f t="shared" si="219"/>
        <v/>
      </c>
      <c r="L1738" s="26" t="str">
        <f t="shared" si="220"/>
        <v/>
      </c>
      <c r="P1738" t="e">
        <f t="shared" si="221"/>
        <v>#N/A</v>
      </c>
      <c r="Q1738" t="e">
        <f t="shared" si="222"/>
        <v>#N/A</v>
      </c>
    </row>
    <row r="1739" spans="1:17">
      <c r="A1739" s="28"/>
      <c r="B1739" s="28"/>
      <c r="C1739" s="28"/>
      <c r="D1739" s="28"/>
      <c r="E1739" s="28"/>
      <c r="F1739" s="28"/>
      <c r="G1739" s="26" t="str">
        <f t="shared" si="216"/>
        <v/>
      </c>
      <c r="H1739" s="26" t="str">
        <f t="shared" si="223"/>
        <v/>
      </c>
      <c r="I1739" s="26" t="str">
        <f t="shared" si="217"/>
        <v/>
      </c>
      <c r="J1739" t="str">
        <f t="shared" si="218"/>
        <v/>
      </c>
      <c r="K1739" s="26" t="str">
        <f t="shared" si="219"/>
        <v/>
      </c>
      <c r="L1739" s="26" t="str">
        <f t="shared" si="220"/>
        <v/>
      </c>
      <c r="P1739" t="e">
        <f t="shared" si="221"/>
        <v>#N/A</v>
      </c>
      <c r="Q1739" t="e">
        <f t="shared" si="222"/>
        <v>#N/A</v>
      </c>
    </row>
    <row r="1740" spans="1:17">
      <c r="A1740" s="28"/>
      <c r="B1740" s="28"/>
      <c r="C1740" s="28"/>
      <c r="D1740" s="28"/>
      <c r="E1740" s="28"/>
      <c r="F1740" s="28"/>
      <c r="G1740" s="26" t="str">
        <f t="shared" si="216"/>
        <v/>
      </c>
      <c r="H1740" s="26" t="str">
        <f t="shared" si="223"/>
        <v/>
      </c>
      <c r="I1740" s="26" t="str">
        <f t="shared" si="217"/>
        <v/>
      </c>
      <c r="J1740" t="str">
        <f t="shared" si="218"/>
        <v/>
      </c>
      <c r="K1740" s="26" t="str">
        <f t="shared" si="219"/>
        <v/>
      </c>
      <c r="L1740" s="26" t="str">
        <f t="shared" si="220"/>
        <v/>
      </c>
      <c r="P1740" t="e">
        <f t="shared" si="221"/>
        <v>#N/A</v>
      </c>
      <c r="Q1740" t="e">
        <f t="shared" si="222"/>
        <v>#N/A</v>
      </c>
    </row>
    <row r="1741" spans="1:17">
      <c r="A1741" s="28"/>
      <c r="B1741" s="28"/>
      <c r="C1741" s="28"/>
      <c r="D1741" s="28"/>
      <c r="E1741" s="28"/>
      <c r="F1741" s="28"/>
      <c r="G1741" s="26" t="str">
        <f t="shared" si="216"/>
        <v/>
      </c>
      <c r="H1741" s="26" t="str">
        <f t="shared" si="223"/>
        <v/>
      </c>
      <c r="I1741" s="26" t="str">
        <f t="shared" si="217"/>
        <v/>
      </c>
      <c r="J1741" t="str">
        <f t="shared" si="218"/>
        <v/>
      </c>
      <c r="K1741" s="26" t="str">
        <f t="shared" si="219"/>
        <v/>
      </c>
      <c r="L1741" s="26" t="str">
        <f t="shared" si="220"/>
        <v/>
      </c>
      <c r="P1741" t="e">
        <f t="shared" si="221"/>
        <v>#N/A</v>
      </c>
      <c r="Q1741" t="e">
        <f t="shared" si="222"/>
        <v>#N/A</v>
      </c>
    </row>
    <row r="1742" spans="1:17">
      <c r="A1742" s="28"/>
      <c r="B1742" s="28"/>
      <c r="C1742" s="28"/>
      <c r="D1742" s="28"/>
      <c r="E1742" s="28"/>
      <c r="F1742" s="28"/>
      <c r="G1742" s="26" t="str">
        <f t="shared" si="216"/>
        <v/>
      </c>
      <c r="H1742" s="26" t="str">
        <f t="shared" si="223"/>
        <v/>
      </c>
      <c r="I1742" s="26" t="str">
        <f t="shared" si="217"/>
        <v/>
      </c>
      <c r="J1742" t="str">
        <f t="shared" si="218"/>
        <v/>
      </c>
      <c r="K1742" s="26" t="str">
        <f t="shared" si="219"/>
        <v/>
      </c>
      <c r="L1742" s="26" t="str">
        <f t="shared" si="220"/>
        <v/>
      </c>
      <c r="P1742" t="e">
        <f t="shared" si="221"/>
        <v>#N/A</v>
      </c>
      <c r="Q1742" t="e">
        <f t="shared" si="222"/>
        <v>#N/A</v>
      </c>
    </row>
    <row r="1743" spans="1:17">
      <c r="A1743" s="28"/>
      <c r="B1743" s="28"/>
      <c r="C1743" s="28"/>
      <c r="D1743" s="28"/>
      <c r="E1743" s="28"/>
      <c r="F1743" s="28"/>
      <c r="G1743" s="26" t="str">
        <f t="shared" si="216"/>
        <v/>
      </c>
      <c r="H1743" s="26" t="str">
        <f t="shared" si="223"/>
        <v/>
      </c>
      <c r="I1743" s="26" t="str">
        <f t="shared" si="217"/>
        <v/>
      </c>
      <c r="J1743" t="str">
        <f t="shared" si="218"/>
        <v/>
      </c>
      <c r="K1743" s="26" t="str">
        <f t="shared" si="219"/>
        <v/>
      </c>
      <c r="L1743" s="26" t="str">
        <f t="shared" si="220"/>
        <v/>
      </c>
      <c r="P1743" t="e">
        <f t="shared" si="221"/>
        <v>#N/A</v>
      </c>
      <c r="Q1743" t="e">
        <f t="shared" si="222"/>
        <v>#N/A</v>
      </c>
    </row>
    <row r="1744" spans="1:17">
      <c r="A1744" s="28"/>
      <c r="B1744" s="28"/>
      <c r="C1744" s="28"/>
      <c r="D1744" s="28"/>
      <c r="E1744" s="28"/>
      <c r="F1744" s="28"/>
      <c r="G1744" s="26" t="str">
        <f t="shared" si="216"/>
        <v/>
      </c>
      <c r="H1744" s="26" t="str">
        <f t="shared" si="223"/>
        <v/>
      </c>
      <c r="I1744" s="26" t="str">
        <f t="shared" si="217"/>
        <v/>
      </c>
      <c r="J1744" t="str">
        <f t="shared" si="218"/>
        <v/>
      </c>
      <c r="K1744" s="26" t="str">
        <f t="shared" si="219"/>
        <v/>
      </c>
      <c r="L1744" s="26" t="str">
        <f t="shared" si="220"/>
        <v/>
      </c>
      <c r="P1744" t="e">
        <f t="shared" si="221"/>
        <v>#N/A</v>
      </c>
      <c r="Q1744" t="e">
        <f t="shared" si="222"/>
        <v>#N/A</v>
      </c>
    </row>
    <row r="1745" spans="1:17">
      <c r="A1745" s="28"/>
      <c r="B1745" s="28"/>
      <c r="C1745" s="28"/>
      <c r="D1745" s="28"/>
      <c r="E1745" s="28"/>
      <c r="F1745" s="28"/>
      <c r="G1745" s="26" t="str">
        <f t="shared" si="216"/>
        <v/>
      </c>
      <c r="H1745" s="26" t="str">
        <f t="shared" si="223"/>
        <v/>
      </c>
      <c r="I1745" s="26" t="str">
        <f t="shared" si="217"/>
        <v/>
      </c>
      <c r="J1745" t="str">
        <f t="shared" si="218"/>
        <v/>
      </c>
      <c r="K1745" s="26" t="str">
        <f t="shared" si="219"/>
        <v/>
      </c>
      <c r="L1745" s="26" t="str">
        <f t="shared" si="220"/>
        <v/>
      </c>
      <c r="P1745" t="e">
        <f t="shared" si="221"/>
        <v>#N/A</v>
      </c>
      <c r="Q1745" t="e">
        <f t="shared" si="222"/>
        <v>#N/A</v>
      </c>
    </row>
    <row r="1746" spans="1:17">
      <c r="A1746" s="28"/>
      <c r="B1746" s="28"/>
      <c r="C1746" s="28"/>
      <c r="D1746" s="28"/>
      <c r="E1746" s="28"/>
      <c r="F1746" s="28"/>
      <c r="G1746" s="26" t="str">
        <f t="shared" si="216"/>
        <v/>
      </c>
      <c r="H1746" s="26" t="str">
        <f t="shared" si="223"/>
        <v/>
      </c>
      <c r="I1746" s="26" t="str">
        <f t="shared" si="217"/>
        <v/>
      </c>
      <c r="J1746" t="str">
        <f t="shared" si="218"/>
        <v/>
      </c>
      <c r="K1746" s="26" t="str">
        <f t="shared" si="219"/>
        <v/>
      </c>
      <c r="L1746" s="26" t="str">
        <f t="shared" si="220"/>
        <v/>
      </c>
      <c r="P1746" t="e">
        <f t="shared" si="221"/>
        <v>#N/A</v>
      </c>
      <c r="Q1746" t="e">
        <f t="shared" si="222"/>
        <v>#N/A</v>
      </c>
    </row>
    <row r="1747" spans="1:17">
      <c r="A1747" s="28"/>
      <c r="B1747" s="28"/>
      <c r="C1747" s="28"/>
      <c r="D1747" s="28"/>
      <c r="E1747" s="28"/>
      <c r="F1747" s="28"/>
      <c r="G1747" s="26" t="str">
        <f t="shared" si="216"/>
        <v/>
      </c>
      <c r="H1747" s="26" t="str">
        <f t="shared" si="223"/>
        <v/>
      </c>
      <c r="I1747" s="26" t="str">
        <f t="shared" si="217"/>
        <v/>
      </c>
      <c r="J1747" t="str">
        <f t="shared" si="218"/>
        <v/>
      </c>
      <c r="K1747" s="26" t="str">
        <f t="shared" si="219"/>
        <v/>
      </c>
      <c r="L1747" s="26" t="str">
        <f t="shared" si="220"/>
        <v/>
      </c>
      <c r="P1747" t="e">
        <f t="shared" si="221"/>
        <v>#N/A</v>
      </c>
      <c r="Q1747" t="e">
        <f t="shared" si="222"/>
        <v>#N/A</v>
      </c>
    </row>
    <row r="1748" spans="1:17">
      <c r="A1748" s="28"/>
      <c r="B1748" s="28"/>
      <c r="C1748" s="28"/>
      <c r="D1748" s="28"/>
      <c r="E1748" s="28"/>
      <c r="F1748" s="28"/>
      <c r="G1748" s="26" t="str">
        <f t="shared" si="216"/>
        <v/>
      </c>
      <c r="H1748" s="26" t="str">
        <f t="shared" si="223"/>
        <v/>
      </c>
      <c r="I1748" s="26" t="str">
        <f t="shared" si="217"/>
        <v/>
      </c>
      <c r="J1748" t="str">
        <f t="shared" si="218"/>
        <v/>
      </c>
      <c r="K1748" s="26" t="str">
        <f t="shared" si="219"/>
        <v/>
      </c>
      <c r="L1748" s="26" t="str">
        <f t="shared" si="220"/>
        <v/>
      </c>
      <c r="P1748" t="e">
        <f t="shared" si="221"/>
        <v>#N/A</v>
      </c>
      <c r="Q1748" t="e">
        <f t="shared" si="222"/>
        <v>#N/A</v>
      </c>
    </row>
    <row r="1749" spans="1:17">
      <c r="A1749" s="28"/>
      <c r="B1749" s="28"/>
      <c r="C1749" s="28"/>
      <c r="D1749" s="28"/>
      <c r="E1749" s="28"/>
      <c r="F1749" s="28"/>
      <c r="G1749" s="26" t="str">
        <f t="shared" si="216"/>
        <v/>
      </c>
      <c r="H1749" s="26" t="str">
        <f t="shared" si="223"/>
        <v/>
      </c>
      <c r="I1749" s="26" t="str">
        <f t="shared" si="217"/>
        <v/>
      </c>
      <c r="J1749" t="str">
        <f t="shared" si="218"/>
        <v/>
      </c>
      <c r="K1749" s="26" t="str">
        <f t="shared" si="219"/>
        <v/>
      </c>
      <c r="L1749" s="26" t="str">
        <f t="shared" si="220"/>
        <v/>
      </c>
      <c r="P1749" t="e">
        <f t="shared" si="221"/>
        <v>#N/A</v>
      </c>
      <c r="Q1749" t="e">
        <f t="shared" si="222"/>
        <v>#N/A</v>
      </c>
    </row>
    <row r="1750" spans="1:17">
      <c r="A1750" s="28"/>
      <c r="B1750" s="28"/>
      <c r="C1750" s="28"/>
      <c r="D1750" s="28"/>
      <c r="E1750" s="28"/>
      <c r="F1750" s="28"/>
      <c r="G1750" s="26" t="str">
        <f t="shared" si="216"/>
        <v/>
      </c>
      <c r="H1750" s="26" t="str">
        <f t="shared" si="223"/>
        <v/>
      </c>
      <c r="I1750" s="26" t="str">
        <f t="shared" si="217"/>
        <v/>
      </c>
      <c r="J1750" t="str">
        <f t="shared" si="218"/>
        <v/>
      </c>
      <c r="K1750" s="26" t="str">
        <f t="shared" si="219"/>
        <v/>
      </c>
      <c r="L1750" s="26" t="str">
        <f t="shared" si="220"/>
        <v/>
      </c>
      <c r="P1750" t="e">
        <f t="shared" si="221"/>
        <v>#N/A</v>
      </c>
      <c r="Q1750" t="e">
        <f t="shared" si="222"/>
        <v>#N/A</v>
      </c>
    </row>
    <row r="1751" spans="1:17">
      <c r="A1751" s="28"/>
      <c r="B1751" s="28"/>
      <c r="C1751" s="28"/>
      <c r="D1751" s="28"/>
      <c r="E1751" s="28"/>
      <c r="F1751" s="28"/>
      <c r="G1751" s="26" t="str">
        <f t="shared" si="216"/>
        <v/>
      </c>
      <c r="H1751" s="26" t="str">
        <f t="shared" si="223"/>
        <v/>
      </c>
      <c r="I1751" s="26" t="str">
        <f t="shared" si="217"/>
        <v/>
      </c>
      <c r="J1751" t="str">
        <f t="shared" si="218"/>
        <v/>
      </c>
      <c r="K1751" s="26" t="str">
        <f t="shared" si="219"/>
        <v/>
      </c>
      <c r="L1751" s="26" t="str">
        <f t="shared" si="220"/>
        <v/>
      </c>
      <c r="P1751" t="e">
        <f t="shared" si="221"/>
        <v>#N/A</v>
      </c>
      <c r="Q1751" t="e">
        <f t="shared" si="222"/>
        <v>#N/A</v>
      </c>
    </row>
    <row r="1752" spans="1:17">
      <c r="A1752" s="28"/>
      <c r="B1752" s="28"/>
      <c r="C1752" s="28"/>
      <c r="D1752" s="28"/>
      <c r="E1752" s="28"/>
      <c r="F1752" s="28"/>
      <c r="G1752" s="26" t="str">
        <f t="shared" si="216"/>
        <v/>
      </c>
      <c r="H1752" s="26" t="str">
        <f t="shared" si="223"/>
        <v/>
      </c>
      <c r="I1752" s="26" t="str">
        <f t="shared" si="217"/>
        <v/>
      </c>
      <c r="J1752" t="str">
        <f t="shared" si="218"/>
        <v/>
      </c>
      <c r="K1752" s="26" t="str">
        <f t="shared" si="219"/>
        <v/>
      </c>
      <c r="L1752" s="26" t="str">
        <f t="shared" si="220"/>
        <v/>
      </c>
      <c r="P1752" t="e">
        <f t="shared" si="221"/>
        <v>#N/A</v>
      </c>
      <c r="Q1752" t="e">
        <f t="shared" si="222"/>
        <v>#N/A</v>
      </c>
    </row>
    <row r="1753" spans="1:17">
      <c r="A1753" s="28"/>
      <c r="B1753" s="28"/>
      <c r="C1753" s="28"/>
      <c r="D1753" s="28"/>
      <c r="E1753" s="28"/>
      <c r="F1753" s="28"/>
      <c r="G1753" s="26" t="str">
        <f t="shared" si="216"/>
        <v/>
      </c>
      <c r="H1753" s="26" t="str">
        <f t="shared" si="223"/>
        <v/>
      </c>
      <c r="I1753" s="26" t="str">
        <f t="shared" si="217"/>
        <v/>
      </c>
      <c r="J1753" t="str">
        <f t="shared" si="218"/>
        <v/>
      </c>
      <c r="K1753" s="26" t="str">
        <f t="shared" si="219"/>
        <v/>
      </c>
      <c r="L1753" s="26" t="str">
        <f t="shared" si="220"/>
        <v/>
      </c>
      <c r="P1753" t="e">
        <f t="shared" si="221"/>
        <v>#N/A</v>
      </c>
      <c r="Q1753" t="e">
        <f t="shared" si="222"/>
        <v>#N/A</v>
      </c>
    </row>
    <row r="1754" spans="1:17">
      <c r="A1754" s="28"/>
      <c r="B1754" s="28"/>
      <c r="C1754" s="28"/>
      <c r="D1754" s="28"/>
      <c r="E1754" s="28"/>
      <c r="F1754" s="28"/>
      <c r="G1754" s="26" t="str">
        <f t="shared" si="216"/>
        <v/>
      </c>
      <c r="H1754" s="26" t="str">
        <f t="shared" si="223"/>
        <v/>
      </c>
      <c r="I1754" s="26" t="str">
        <f t="shared" si="217"/>
        <v/>
      </c>
      <c r="J1754" t="str">
        <f t="shared" si="218"/>
        <v/>
      </c>
      <c r="K1754" s="26" t="str">
        <f t="shared" si="219"/>
        <v/>
      </c>
      <c r="L1754" s="26" t="str">
        <f t="shared" si="220"/>
        <v/>
      </c>
      <c r="P1754" t="e">
        <f t="shared" si="221"/>
        <v>#N/A</v>
      </c>
      <c r="Q1754" t="e">
        <f t="shared" si="222"/>
        <v>#N/A</v>
      </c>
    </row>
    <row r="1755" spans="1:17">
      <c r="A1755" s="28"/>
      <c r="B1755" s="28"/>
      <c r="C1755" s="28"/>
      <c r="D1755" s="28"/>
      <c r="E1755" s="28"/>
      <c r="F1755" s="28"/>
      <c r="G1755" s="26" t="str">
        <f t="shared" si="216"/>
        <v/>
      </c>
      <c r="H1755" s="26" t="str">
        <f t="shared" si="223"/>
        <v/>
      </c>
      <c r="I1755" s="26" t="str">
        <f t="shared" si="217"/>
        <v/>
      </c>
      <c r="J1755" t="str">
        <f t="shared" si="218"/>
        <v/>
      </c>
      <c r="K1755" s="26" t="str">
        <f t="shared" si="219"/>
        <v/>
      </c>
      <c r="L1755" s="26" t="str">
        <f t="shared" si="220"/>
        <v/>
      </c>
      <c r="P1755" t="e">
        <f t="shared" si="221"/>
        <v>#N/A</v>
      </c>
      <c r="Q1755" t="e">
        <f t="shared" si="222"/>
        <v>#N/A</v>
      </c>
    </row>
    <row r="1756" spans="1:17">
      <c r="A1756" s="28"/>
      <c r="B1756" s="28"/>
      <c r="C1756" s="28"/>
      <c r="D1756" s="28"/>
      <c r="E1756" s="28"/>
      <c r="F1756" s="28"/>
      <c r="G1756" s="26" t="str">
        <f t="shared" si="216"/>
        <v/>
      </c>
      <c r="H1756" s="26" t="str">
        <f t="shared" si="223"/>
        <v/>
      </c>
      <c r="I1756" s="26" t="str">
        <f t="shared" si="217"/>
        <v/>
      </c>
      <c r="J1756" t="str">
        <f t="shared" si="218"/>
        <v/>
      </c>
      <c r="K1756" s="26" t="str">
        <f t="shared" si="219"/>
        <v/>
      </c>
      <c r="L1756" s="26" t="str">
        <f t="shared" si="220"/>
        <v/>
      </c>
      <c r="P1756" t="e">
        <f t="shared" si="221"/>
        <v>#N/A</v>
      </c>
      <c r="Q1756" t="e">
        <f t="shared" si="222"/>
        <v>#N/A</v>
      </c>
    </row>
    <row r="1757" spans="1:17">
      <c r="A1757" s="28"/>
      <c r="B1757" s="28"/>
      <c r="C1757" s="28"/>
      <c r="D1757" s="28"/>
      <c r="E1757" s="28"/>
      <c r="F1757" s="28"/>
      <c r="G1757" s="26" t="str">
        <f t="shared" si="216"/>
        <v/>
      </c>
      <c r="H1757" s="26" t="str">
        <f t="shared" si="223"/>
        <v/>
      </c>
      <c r="I1757" s="26" t="str">
        <f t="shared" si="217"/>
        <v/>
      </c>
      <c r="J1757" t="str">
        <f t="shared" si="218"/>
        <v/>
      </c>
      <c r="K1757" s="26" t="str">
        <f t="shared" si="219"/>
        <v/>
      </c>
      <c r="L1757" s="26" t="str">
        <f t="shared" si="220"/>
        <v/>
      </c>
      <c r="P1757" t="e">
        <f t="shared" si="221"/>
        <v>#N/A</v>
      </c>
      <c r="Q1757" t="e">
        <f t="shared" si="222"/>
        <v>#N/A</v>
      </c>
    </row>
    <row r="1758" spans="1:17">
      <c r="A1758" s="28"/>
      <c r="B1758" s="28"/>
      <c r="C1758" s="28"/>
      <c r="D1758" s="28"/>
      <c r="E1758" s="28"/>
      <c r="F1758" s="28"/>
      <c r="G1758" s="26" t="str">
        <f t="shared" si="216"/>
        <v/>
      </c>
      <c r="H1758" s="26" t="str">
        <f t="shared" si="223"/>
        <v/>
      </c>
      <c r="I1758" s="26" t="str">
        <f t="shared" si="217"/>
        <v/>
      </c>
      <c r="J1758" t="str">
        <f t="shared" si="218"/>
        <v/>
      </c>
      <c r="K1758" s="26" t="str">
        <f t="shared" si="219"/>
        <v/>
      </c>
      <c r="L1758" s="26" t="str">
        <f t="shared" si="220"/>
        <v/>
      </c>
      <c r="P1758" t="e">
        <f t="shared" si="221"/>
        <v>#N/A</v>
      </c>
      <c r="Q1758" t="e">
        <f t="shared" si="222"/>
        <v>#N/A</v>
      </c>
    </row>
    <row r="1759" spans="1:17">
      <c r="A1759" s="28"/>
      <c r="B1759" s="28"/>
      <c r="C1759" s="28"/>
      <c r="D1759" s="28"/>
      <c r="E1759" s="28"/>
      <c r="F1759" s="28"/>
      <c r="G1759" s="26" t="str">
        <f t="shared" si="216"/>
        <v/>
      </c>
      <c r="H1759" s="26" t="str">
        <f t="shared" si="223"/>
        <v/>
      </c>
      <c r="I1759" s="26" t="str">
        <f t="shared" si="217"/>
        <v/>
      </c>
      <c r="J1759" t="str">
        <f t="shared" si="218"/>
        <v/>
      </c>
      <c r="K1759" s="26" t="str">
        <f t="shared" si="219"/>
        <v/>
      </c>
      <c r="L1759" s="26" t="str">
        <f t="shared" si="220"/>
        <v/>
      </c>
      <c r="P1759" t="e">
        <f t="shared" si="221"/>
        <v>#N/A</v>
      </c>
      <c r="Q1759" t="e">
        <f t="shared" si="222"/>
        <v>#N/A</v>
      </c>
    </row>
    <row r="1760" spans="1:17">
      <c r="A1760" s="28"/>
      <c r="B1760" s="28"/>
      <c r="C1760" s="28"/>
      <c r="D1760" s="28"/>
      <c r="E1760" s="28"/>
      <c r="F1760" s="28"/>
      <c r="G1760" s="26" t="str">
        <f t="shared" si="216"/>
        <v/>
      </c>
      <c r="H1760" s="26" t="str">
        <f t="shared" si="223"/>
        <v/>
      </c>
      <c r="I1760" s="26" t="str">
        <f t="shared" si="217"/>
        <v/>
      </c>
      <c r="J1760" t="str">
        <f t="shared" si="218"/>
        <v/>
      </c>
      <c r="K1760" s="26" t="str">
        <f t="shared" si="219"/>
        <v/>
      </c>
      <c r="L1760" s="26" t="str">
        <f t="shared" si="220"/>
        <v/>
      </c>
      <c r="P1760" t="e">
        <f t="shared" si="221"/>
        <v>#N/A</v>
      </c>
      <c r="Q1760" t="e">
        <f t="shared" si="222"/>
        <v>#N/A</v>
      </c>
    </row>
    <row r="1761" spans="1:17">
      <c r="A1761" s="28"/>
      <c r="B1761" s="28"/>
      <c r="C1761" s="28"/>
      <c r="D1761" s="28"/>
      <c r="E1761" s="28"/>
      <c r="F1761" s="28"/>
      <c r="G1761" s="26" t="str">
        <f t="shared" si="216"/>
        <v/>
      </c>
      <c r="H1761" s="26" t="str">
        <f t="shared" si="223"/>
        <v/>
      </c>
      <c r="I1761" s="26" t="str">
        <f t="shared" si="217"/>
        <v/>
      </c>
      <c r="J1761" t="str">
        <f t="shared" si="218"/>
        <v/>
      </c>
      <c r="K1761" s="26" t="str">
        <f t="shared" si="219"/>
        <v/>
      </c>
      <c r="L1761" s="26" t="str">
        <f t="shared" si="220"/>
        <v/>
      </c>
      <c r="P1761" t="e">
        <f t="shared" si="221"/>
        <v>#N/A</v>
      </c>
      <c r="Q1761" t="e">
        <f t="shared" si="222"/>
        <v>#N/A</v>
      </c>
    </row>
    <row r="1762" spans="1:17">
      <c r="A1762" s="28"/>
      <c r="B1762" s="28"/>
      <c r="C1762" s="28"/>
      <c r="D1762" s="28"/>
      <c r="E1762" s="28"/>
      <c r="F1762" s="28"/>
      <c r="G1762" s="26" t="str">
        <f t="shared" si="216"/>
        <v/>
      </c>
      <c r="H1762" s="26" t="str">
        <f t="shared" si="223"/>
        <v/>
      </c>
      <c r="I1762" s="26" t="str">
        <f t="shared" si="217"/>
        <v/>
      </c>
      <c r="J1762" t="str">
        <f t="shared" si="218"/>
        <v/>
      </c>
      <c r="K1762" s="26" t="str">
        <f t="shared" si="219"/>
        <v/>
      </c>
      <c r="L1762" s="26" t="str">
        <f t="shared" si="220"/>
        <v/>
      </c>
      <c r="P1762" t="e">
        <f t="shared" si="221"/>
        <v>#N/A</v>
      </c>
      <c r="Q1762" t="e">
        <f t="shared" si="222"/>
        <v>#N/A</v>
      </c>
    </row>
    <row r="1763" spans="1:17">
      <c r="A1763" s="28"/>
      <c r="B1763" s="28"/>
      <c r="C1763" s="28"/>
      <c r="D1763" s="28"/>
      <c r="E1763" s="28"/>
      <c r="F1763" s="28"/>
      <c r="G1763" s="26" t="str">
        <f t="shared" si="216"/>
        <v/>
      </c>
      <c r="H1763" s="26" t="str">
        <f t="shared" si="223"/>
        <v/>
      </c>
      <c r="I1763" s="26" t="str">
        <f t="shared" si="217"/>
        <v/>
      </c>
      <c r="J1763" t="str">
        <f t="shared" si="218"/>
        <v/>
      </c>
      <c r="K1763" s="26" t="str">
        <f t="shared" si="219"/>
        <v/>
      </c>
      <c r="L1763" s="26" t="str">
        <f t="shared" si="220"/>
        <v/>
      </c>
      <c r="P1763" t="e">
        <f t="shared" si="221"/>
        <v>#N/A</v>
      </c>
      <c r="Q1763" t="e">
        <f t="shared" si="222"/>
        <v>#N/A</v>
      </c>
    </row>
    <row r="1764" spans="1:17">
      <c r="A1764" s="28"/>
      <c r="B1764" s="28"/>
      <c r="C1764" s="28"/>
      <c r="D1764" s="28"/>
      <c r="E1764" s="28"/>
      <c r="F1764" s="28"/>
      <c r="G1764" s="26" t="str">
        <f t="shared" si="216"/>
        <v/>
      </c>
      <c r="H1764" s="26" t="str">
        <f t="shared" si="223"/>
        <v/>
      </c>
      <c r="I1764" s="26" t="str">
        <f t="shared" si="217"/>
        <v/>
      </c>
      <c r="J1764" t="str">
        <f t="shared" si="218"/>
        <v/>
      </c>
      <c r="K1764" s="26" t="str">
        <f t="shared" si="219"/>
        <v/>
      </c>
      <c r="L1764" s="26" t="str">
        <f t="shared" si="220"/>
        <v/>
      </c>
      <c r="P1764" t="e">
        <f t="shared" si="221"/>
        <v>#N/A</v>
      </c>
      <c r="Q1764" t="e">
        <f t="shared" si="222"/>
        <v>#N/A</v>
      </c>
    </row>
    <row r="1765" spans="1:17">
      <c r="A1765" s="28"/>
      <c r="B1765" s="28"/>
      <c r="C1765" s="28"/>
      <c r="D1765" s="28"/>
      <c r="E1765" s="28"/>
      <c r="F1765" s="28"/>
      <c r="G1765" s="26" t="str">
        <f t="shared" si="216"/>
        <v/>
      </c>
      <c r="H1765" s="26" t="str">
        <f t="shared" si="223"/>
        <v/>
      </c>
      <c r="I1765" s="26" t="str">
        <f t="shared" si="217"/>
        <v/>
      </c>
      <c r="J1765" t="str">
        <f t="shared" si="218"/>
        <v/>
      </c>
      <c r="K1765" s="26" t="str">
        <f t="shared" si="219"/>
        <v/>
      </c>
      <c r="L1765" s="26" t="str">
        <f t="shared" si="220"/>
        <v/>
      </c>
      <c r="P1765" t="e">
        <f t="shared" si="221"/>
        <v>#N/A</v>
      </c>
      <c r="Q1765" t="e">
        <f t="shared" si="222"/>
        <v>#N/A</v>
      </c>
    </row>
    <row r="1766" spans="1:17">
      <c r="A1766" s="28"/>
      <c r="B1766" s="28"/>
      <c r="C1766" s="28"/>
      <c r="D1766" s="28"/>
      <c r="E1766" s="28"/>
      <c r="F1766" s="28"/>
      <c r="G1766" s="26" t="str">
        <f t="shared" si="216"/>
        <v/>
      </c>
      <c r="H1766" s="26" t="str">
        <f t="shared" si="223"/>
        <v/>
      </c>
      <c r="I1766" s="26" t="str">
        <f t="shared" si="217"/>
        <v/>
      </c>
      <c r="J1766" t="str">
        <f t="shared" si="218"/>
        <v/>
      </c>
      <c r="K1766" s="26" t="str">
        <f t="shared" si="219"/>
        <v/>
      </c>
      <c r="L1766" s="26" t="str">
        <f t="shared" si="220"/>
        <v/>
      </c>
      <c r="P1766" t="e">
        <f t="shared" si="221"/>
        <v>#N/A</v>
      </c>
      <c r="Q1766" t="e">
        <f t="shared" si="222"/>
        <v>#N/A</v>
      </c>
    </row>
    <row r="1767" spans="1:17">
      <c r="A1767" s="28"/>
      <c r="B1767" s="28"/>
      <c r="C1767" s="28"/>
      <c r="D1767" s="28"/>
      <c r="E1767" s="28"/>
      <c r="F1767" s="28"/>
      <c r="G1767" s="26" t="str">
        <f t="shared" si="216"/>
        <v/>
      </c>
      <c r="H1767" s="26" t="str">
        <f t="shared" si="223"/>
        <v/>
      </c>
      <c r="I1767" s="26" t="str">
        <f t="shared" si="217"/>
        <v/>
      </c>
      <c r="J1767" t="str">
        <f t="shared" si="218"/>
        <v/>
      </c>
      <c r="K1767" s="26" t="str">
        <f t="shared" si="219"/>
        <v/>
      </c>
      <c r="L1767" s="26" t="str">
        <f t="shared" si="220"/>
        <v/>
      </c>
      <c r="P1767" t="e">
        <f t="shared" si="221"/>
        <v>#N/A</v>
      </c>
      <c r="Q1767" t="e">
        <f t="shared" si="222"/>
        <v>#N/A</v>
      </c>
    </row>
    <row r="1768" spans="1:17">
      <c r="A1768" s="28"/>
      <c r="B1768" s="28"/>
      <c r="C1768" s="28"/>
      <c r="D1768" s="28"/>
      <c r="E1768" s="28"/>
      <c r="F1768" s="28"/>
      <c r="G1768" s="26" t="str">
        <f t="shared" si="216"/>
        <v/>
      </c>
      <c r="H1768" s="26" t="str">
        <f t="shared" si="223"/>
        <v/>
      </c>
      <c r="I1768" s="26" t="str">
        <f t="shared" si="217"/>
        <v/>
      </c>
      <c r="J1768" t="str">
        <f t="shared" si="218"/>
        <v/>
      </c>
      <c r="K1768" s="26" t="str">
        <f t="shared" si="219"/>
        <v/>
      </c>
      <c r="L1768" s="26" t="str">
        <f t="shared" si="220"/>
        <v/>
      </c>
      <c r="P1768" t="e">
        <f t="shared" si="221"/>
        <v>#N/A</v>
      </c>
      <c r="Q1768" t="e">
        <f t="shared" si="222"/>
        <v>#N/A</v>
      </c>
    </row>
    <row r="1769" spans="1:17">
      <c r="A1769" s="28"/>
      <c r="B1769" s="28"/>
      <c r="C1769" s="28"/>
      <c r="D1769" s="28"/>
      <c r="E1769" s="28"/>
      <c r="F1769" s="28"/>
      <c r="G1769" s="26" t="str">
        <f t="shared" si="216"/>
        <v/>
      </c>
      <c r="H1769" s="26" t="str">
        <f t="shared" si="223"/>
        <v/>
      </c>
      <c r="I1769" s="26" t="str">
        <f t="shared" si="217"/>
        <v/>
      </c>
      <c r="J1769" t="str">
        <f t="shared" si="218"/>
        <v/>
      </c>
      <c r="K1769" s="26" t="str">
        <f t="shared" si="219"/>
        <v/>
      </c>
      <c r="L1769" s="26" t="str">
        <f t="shared" si="220"/>
        <v/>
      </c>
      <c r="P1769" t="e">
        <f t="shared" si="221"/>
        <v>#N/A</v>
      </c>
      <c r="Q1769" t="e">
        <f t="shared" si="222"/>
        <v>#N/A</v>
      </c>
    </row>
    <row r="1770" spans="1:17">
      <c r="A1770" s="28"/>
      <c r="B1770" s="28"/>
      <c r="C1770" s="28"/>
      <c r="D1770" s="28"/>
      <c r="E1770" s="28"/>
      <c r="F1770" s="28"/>
      <c r="G1770" s="26" t="str">
        <f t="shared" si="216"/>
        <v/>
      </c>
      <c r="H1770" s="26" t="str">
        <f t="shared" si="223"/>
        <v/>
      </c>
      <c r="I1770" s="26" t="str">
        <f t="shared" si="217"/>
        <v/>
      </c>
      <c r="J1770" t="str">
        <f t="shared" si="218"/>
        <v/>
      </c>
      <c r="K1770" s="26" t="str">
        <f t="shared" si="219"/>
        <v/>
      </c>
      <c r="L1770" s="26" t="str">
        <f t="shared" si="220"/>
        <v/>
      </c>
      <c r="P1770" t="e">
        <f t="shared" si="221"/>
        <v>#N/A</v>
      </c>
      <c r="Q1770" t="e">
        <f t="shared" si="222"/>
        <v>#N/A</v>
      </c>
    </row>
    <row r="1771" spans="1:17">
      <c r="A1771" s="28"/>
      <c r="B1771" s="28"/>
      <c r="C1771" s="28"/>
      <c r="D1771" s="28"/>
      <c r="E1771" s="28"/>
      <c r="F1771" s="28"/>
      <c r="G1771" s="26" t="str">
        <f t="shared" si="216"/>
        <v/>
      </c>
      <c r="H1771" s="26" t="str">
        <f t="shared" si="223"/>
        <v/>
      </c>
      <c r="I1771" s="26" t="str">
        <f t="shared" si="217"/>
        <v/>
      </c>
      <c r="J1771" t="str">
        <f t="shared" si="218"/>
        <v/>
      </c>
      <c r="K1771" s="26" t="str">
        <f t="shared" si="219"/>
        <v/>
      </c>
      <c r="L1771" s="26" t="str">
        <f t="shared" si="220"/>
        <v/>
      </c>
      <c r="P1771" t="e">
        <f t="shared" si="221"/>
        <v>#N/A</v>
      </c>
      <c r="Q1771" t="e">
        <f t="shared" si="222"/>
        <v>#N/A</v>
      </c>
    </row>
    <row r="1772" spans="1:17">
      <c r="A1772" s="28"/>
      <c r="B1772" s="28"/>
      <c r="C1772" s="28"/>
      <c r="D1772" s="28"/>
      <c r="E1772" s="28"/>
      <c r="F1772" s="28"/>
      <c r="G1772" s="26" t="str">
        <f t="shared" si="216"/>
        <v/>
      </c>
      <c r="H1772" s="26" t="str">
        <f t="shared" si="223"/>
        <v/>
      </c>
      <c r="I1772" s="26" t="str">
        <f t="shared" si="217"/>
        <v/>
      </c>
      <c r="J1772" t="str">
        <f t="shared" si="218"/>
        <v/>
      </c>
      <c r="K1772" s="26" t="str">
        <f t="shared" si="219"/>
        <v/>
      </c>
      <c r="L1772" s="26" t="str">
        <f t="shared" si="220"/>
        <v/>
      </c>
      <c r="P1772" t="e">
        <f t="shared" si="221"/>
        <v>#N/A</v>
      </c>
      <c r="Q1772" t="e">
        <f t="shared" si="222"/>
        <v>#N/A</v>
      </c>
    </row>
    <row r="1773" spans="1:17">
      <c r="A1773" s="28"/>
      <c r="B1773" s="28"/>
      <c r="C1773" s="28"/>
      <c r="D1773" s="28"/>
      <c r="E1773" s="28"/>
      <c r="F1773" s="28"/>
      <c r="G1773" s="26" t="str">
        <f t="shared" si="216"/>
        <v/>
      </c>
      <c r="H1773" s="26" t="str">
        <f t="shared" si="223"/>
        <v/>
      </c>
      <c r="I1773" s="26" t="str">
        <f t="shared" si="217"/>
        <v/>
      </c>
      <c r="J1773" t="str">
        <f t="shared" si="218"/>
        <v/>
      </c>
      <c r="K1773" s="26" t="str">
        <f t="shared" si="219"/>
        <v/>
      </c>
      <c r="L1773" s="26" t="str">
        <f t="shared" si="220"/>
        <v/>
      </c>
      <c r="P1773" t="e">
        <f t="shared" si="221"/>
        <v>#N/A</v>
      </c>
      <c r="Q1773" t="e">
        <f t="shared" si="222"/>
        <v>#N/A</v>
      </c>
    </row>
    <row r="1774" spans="1:17">
      <c r="A1774" s="28"/>
      <c r="B1774" s="28"/>
      <c r="C1774" s="28"/>
      <c r="D1774" s="28"/>
      <c r="E1774" s="28"/>
      <c r="F1774" s="28"/>
      <c r="G1774" s="26" t="str">
        <f t="shared" si="216"/>
        <v/>
      </c>
      <c r="H1774" s="26" t="str">
        <f t="shared" si="223"/>
        <v/>
      </c>
      <c r="I1774" s="26" t="str">
        <f t="shared" si="217"/>
        <v/>
      </c>
      <c r="J1774" t="str">
        <f t="shared" si="218"/>
        <v/>
      </c>
      <c r="K1774" s="26" t="str">
        <f t="shared" si="219"/>
        <v/>
      </c>
      <c r="L1774" s="26" t="str">
        <f t="shared" si="220"/>
        <v/>
      </c>
      <c r="P1774" t="e">
        <f t="shared" si="221"/>
        <v>#N/A</v>
      </c>
      <c r="Q1774" t="e">
        <f t="shared" si="222"/>
        <v>#N/A</v>
      </c>
    </row>
    <row r="1775" spans="1:17">
      <c r="A1775" s="28"/>
      <c r="B1775" s="28"/>
      <c r="C1775" s="28"/>
      <c r="D1775" s="28"/>
      <c r="E1775" s="28"/>
      <c r="F1775" s="28"/>
      <c r="G1775" s="26" t="str">
        <f t="shared" si="216"/>
        <v/>
      </c>
      <c r="H1775" s="26" t="str">
        <f t="shared" si="223"/>
        <v/>
      </c>
      <c r="I1775" s="26" t="str">
        <f t="shared" si="217"/>
        <v/>
      </c>
      <c r="J1775" t="str">
        <f t="shared" si="218"/>
        <v/>
      </c>
      <c r="K1775" s="26" t="str">
        <f t="shared" si="219"/>
        <v/>
      </c>
      <c r="L1775" s="26" t="str">
        <f t="shared" si="220"/>
        <v/>
      </c>
      <c r="P1775" t="e">
        <f t="shared" si="221"/>
        <v>#N/A</v>
      </c>
      <c r="Q1775" t="e">
        <f t="shared" si="222"/>
        <v>#N/A</v>
      </c>
    </row>
    <row r="1776" spans="1:17">
      <c r="A1776" s="28"/>
      <c r="B1776" s="28"/>
      <c r="C1776" s="28"/>
      <c r="D1776" s="28"/>
      <c r="E1776" s="28"/>
      <c r="F1776" s="28"/>
      <c r="G1776" s="26" t="str">
        <f t="shared" si="216"/>
        <v/>
      </c>
      <c r="H1776" s="26" t="str">
        <f t="shared" si="223"/>
        <v/>
      </c>
      <c r="I1776" s="26" t="str">
        <f t="shared" si="217"/>
        <v/>
      </c>
      <c r="J1776" t="str">
        <f t="shared" si="218"/>
        <v/>
      </c>
      <c r="K1776" s="26" t="str">
        <f t="shared" si="219"/>
        <v/>
      </c>
      <c r="L1776" s="26" t="str">
        <f t="shared" si="220"/>
        <v/>
      </c>
      <c r="P1776" t="e">
        <f t="shared" si="221"/>
        <v>#N/A</v>
      </c>
      <c r="Q1776" t="e">
        <f t="shared" si="222"/>
        <v>#N/A</v>
      </c>
    </row>
    <row r="1777" spans="1:17">
      <c r="A1777" s="28"/>
      <c r="B1777" s="28"/>
      <c r="C1777" s="28"/>
      <c r="D1777" s="28"/>
      <c r="E1777" s="28"/>
      <c r="F1777" s="28"/>
      <c r="G1777" s="26" t="str">
        <f t="shared" si="216"/>
        <v/>
      </c>
      <c r="H1777" s="26" t="str">
        <f t="shared" si="223"/>
        <v/>
      </c>
      <c r="I1777" s="26" t="str">
        <f t="shared" si="217"/>
        <v/>
      </c>
      <c r="J1777" t="str">
        <f t="shared" si="218"/>
        <v/>
      </c>
      <c r="K1777" s="26" t="str">
        <f t="shared" si="219"/>
        <v/>
      </c>
      <c r="L1777" s="26" t="str">
        <f t="shared" si="220"/>
        <v/>
      </c>
      <c r="P1777" t="e">
        <f t="shared" si="221"/>
        <v>#N/A</v>
      </c>
      <c r="Q1777" t="e">
        <f t="shared" si="222"/>
        <v>#N/A</v>
      </c>
    </row>
    <row r="1778" spans="1:17">
      <c r="A1778" s="28"/>
      <c r="B1778" s="28"/>
      <c r="C1778" s="28"/>
      <c r="D1778" s="28"/>
      <c r="E1778" s="28"/>
      <c r="F1778" s="28"/>
      <c r="G1778" s="26" t="str">
        <f t="shared" si="216"/>
        <v/>
      </c>
      <c r="H1778" s="26" t="str">
        <f t="shared" si="223"/>
        <v/>
      </c>
      <c r="I1778" s="26" t="str">
        <f t="shared" si="217"/>
        <v/>
      </c>
      <c r="J1778" t="str">
        <f t="shared" si="218"/>
        <v/>
      </c>
      <c r="K1778" s="26" t="str">
        <f t="shared" si="219"/>
        <v/>
      </c>
      <c r="L1778" s="26" t="str">
        <f t="shared" si="220"/>
        <v/>
      </c>
      <c r="P1778" t="e">
        <f t="shared" si="221"/>
        <v>#N/A</v>
      </c>
      <c r="Q1778" t="e">
        <f t="shared" si="222"/>
        <v>#N/A</v>
      </c>
    </row>
    <row r="1779" spans="1:17">
      <c r="A1779" s="28"/>
      <c r="B1779" s="28"/>
      <c r="C1779" s="28"/>
      <c r="D1779" s="28"/>
      <c r="E1779" s="28"/>
      <c r="F1779" s="28"/>
      <c r="G1779" s="26" t="str">
        <f t="shared" si="216"/>
        <v/>
      </c>
      <c r="H1779" s="26" t="str">
        <f t="shared" si="223"/>
        <v/>
      </c>
      <c r="I1779" s="26" t="str">
        <f t="shared" si="217"/>
        <v/>
      </c>
      <c r="J1779" t="str">
        <f t="shared" si="218"/>
        <v/>
      </c>
      <c r="K1779" s="26" t="str">
        <f t="shared" si="219"/>
        <v/>
      </c>
      <c r="L1779" s="26" t="str">
        <f t="shared" si="220"/>
        <v/>
      </c>
      <c r="P1779" t="e">
        <f t="shared" si="221"/>
        <v>#N/A</v>
      </c>
      <c r="Q1779" t="e">
        <f t="shared" si="222"/>
        <v>#N/A</v>
      </c>
    </row>
    <row r="1780" spans="1:17">
      <c r="A1780" s="28"/>
      <c r="B1780" s="28"/>
      <c r="C1780" s="28"/>
      <c r="D1780" s="28"/>
      <c r="E1780" s="28"/>
      <c r="F1780" s="28"/>
      <c r="G1780" s="26" t="str">
        <f t="shared" si="216"/>
        <v/>
      </c>
      <c r="H1780" s="26" t="str">
        <f t="shared" si="223"/>
        <v/>
      </c>
      <c r="I1780" s="26" t="str">
        <f t="shared" si="217"/>
        <v/>
      </c>
      <c r="J1780" t="str">
        <f t="shared" si="218"/>
        <v/>
      </c>
      <c r="K1780" s="26" t="str">
        <f t="shared" si="219"/>
        <v/>
      </c>
      <c r="L1780" s="26" t="str">
        <f t="shared" si="220"/>
        <v/>
      </c>
      <c r="P1780" t="e">
        <f t="shared" si="221"/>
        <v>#N/A</v>
      </c>
      <c r="Q1780" t="e">
        <f t="shared" si="222"/>
        <v>#N/A</v>
      </c>
    </row>
    <row r="1781" spans="1:17">
      <c r="A1781" s="28"/>
      <c r="B1781" s="28"/>
      <c r="C1781" s="28"/>
      <c r="D1781" s="28"/>
      <c r="E1781" s="28"/>
      <c r="F1781" s="28"/>
      <c r="G1781" s="26" t="str">
        <f t="shared" si="216"/>
        <v/>
      </c>
      <c r="H1781" s="26" t="str">
        <f t="shared" si="223"/>
        <v/>
      </c>
      <c r="I1781" s="26" t="str">
        <f t="shared" si="217"/>
        <v/>
      </c>
      <c r="J1781" t="str">
        <f t="shared" si="218"/>
        <v/>
      </c>
      <c r="K1781" s="26" t="str">
        <f t="shared" si="219"/>
        <v/>
      </c>
      <c r="L1781" s="26" t="str">
        <f t="shared" si="220"/>
        <v/>
      </c>
      <c r="P1781" t="e">
        <f t="shared" si="221"/>
        <v>#N/A</v>
      </c>
      <c r="Q1781" t="e">
        <f t="shared" si="222"/>
        <v>#N/A</v>
      </c>
    </row>
    <row r="1782" spans="1:17">
      <c r="A1782" s="28"/>
      <c r="B1782" s="28"/>
      <c r="C1782" s="28"/>
      <c r="D1782" s="28"/>
      <c r="E1782" s="28"/>
      <c r="F1782" s="28"/>
      <c r="G1782" s="26" t="str">
        <f t="shared" si="216"/>
        <v/>
      </c>
      <c r="H1782" s="26" t="str">
        <f t="shared" si="223"/>
        <v/>
      </c>
      <c r="I1782" s="26" t="str">
        <f t="shared" si="217"/>
        <v/>
      </c>
      <c r="J1782" t="str">
        <f t="shared" si="218"/>
        <v/>
      </c>
      <c r="K1782" s="26" t="str">
        <f t="shared" si="219"/>
        <v/>
      </c>
      <c r="L1782" s="26" t="str">
        <f t="shared" si="220"/>
        <v/>
      </c>
      <c r="P1782" t="e">
        <f t="shared" si="221"/>
        <v>#N/A</v>
      </c>
      <c r="Q1782" t="e">
        <f t="shared" si="222"/>
        <v>#N/A</v>
      </c>
    </row>
    <row r="1783" spans="1:17">
      <c r="A1783" s="28"/>
      <c r="B1783" s="28"/>
      <c r="C1783" s="28"/>
      <c r="D1783" s="28"/>
      <c r="E1783" s="28"/>
      <c r="F1783" s="28"/>
      <c r="G1783" s="26" t="str">
        <f t="shared" si="216"/>
        <v/>
      </c>
      <c r="H1783" s="26" t="str">
        <f t="shared" si="223"/>
        <v/>
      </c>
      <c r="I1783" s="26" t="str">
        <f t="shared" si="217"/>
        <v/>
      </c>
      <c r="J1783" t="str">
        <f t="shared" si="218"/>
        <v/>
      </c>
      <c r="K1783" s="26" t="str">
        <f t="shared" si="219"/>
        <v/>
      </c>
      <c r="L1783" s="26" t="str">
        <f t="shared" si="220"/>
        <v/>
      </c>
      <c r="P1783" t="e">
        <f t="shared" si="221"/>
        <v>#N/A</v>
      </c>
      <c r="Q1783" t="e">
        <f t="shared" si="222"/>
        <v>#N/A</v>
      </c>
    </row>
    <row r="1784" spans="1:17">
      <c r="A1784" s="28"/>
      <c r="B1784" s="28"/>
      <c r="C1784" s="28"/>
      <c r="D1784" s="28"/>
      <c r="E1784" s="28"/>
      <c r="F1784" s="28"/>
      <c r="G1784" s="26" t="str">
        <f t="shared" si="216"/>
        <v/>
      </c>
      <c r="H1784" s="26" t="str">
        <f t="shared" si="223"/>
        <v/>
      </c>
      <c r="I1784" s="26" t="str">
        <f t="shared" si="217"/>
        <v/>
      </c>
      <c r="J1784" t="str">
        <f t="shared" si="218"/>
        <v/>
      </c>
      <c r="K1784" s="26" t="str">
        <f t="shared" si="219"/>
        <v/>
      </c>
      <c r="L1784" s="26" t="str">
        <f t="shared" si="220"/>
        <v/>
      </c>
      <c r="P1784" t="e">
        <f t="shared" si="221"/>
        <v>#N/A</v>
      </c>
      <c r="Q1784" t="e">
        <f t="shared" si="222"/>
        <v>#N/A</v>
      </c>
    </row>
    <row r="1785" spans="1:17">
      <c r="A1785" s="28"/>
      <c r="B1785" s="28"/>
      <c r="C1785" s="28"/>
      <c r="D1785" s="28"/>
      <c r="E1785" s="28"/>
      <c r="F1785" s="28"/>
      <c r="G1785" s="26" t="str">
        <f t="shared" si="216"/>
        <v/>
      </c>
      <c r="H1785" s="26" t="str">
        <f t="shared" si="223"/>
        <v/>
      </c>
      <c r="I1785" s="26" t="str">
        <f t="shared" si="217"/>
        <v/>
      </c>
      <c r="J1785" t="str">
        <f t="shared" si="218"/>
        <v/>
      </c>
      <c r="K1785" s="26" t="str">
        <f t="shared" si="219"/>
        <v/>
      </c>
      <c r="L1785" s="26" t="str">
        <f t="shared" si="220"/>
        <v/>
      </c>
      <c r="P1785" t="e">
        <f t="shared" si="221"/>
        <v>#N/A</v>
      </c>
      <c r="Q1785" t="e">
        <f t="shared" si="222"/>
        <v>#N/A</v>
      </c>
    </row>
    <row r="1786" spans="1:17">
      <c r="A1786" s="28"/>
      <c r="B1786" s="28"/>
      <c r="C1786" s="28"/>
      <c r="D1786" s="28"/>
      <c r="E1786" s="28"/>
      <c r="F1786" s="28"/>
      <c r="G1786" s="26" t="str">
        <f t="shared" si="216"/>
        <v/>
      </c>
      <c r="H1786" s="26" t="str">
        <f t="shared" si="223"/>
        <v/>
      </c>
      <c r="I1786" s="26" t="str">
        <f t="shared" si="217"/>
        <v/>
      </c>
      <c r="J1786" t="str">
        <f t="shared" si="218"/>
        <v/>
      </c>
      <c r="K1786" s="26" t="str">
        <f t="shared" si="219"/>
        <v/>
      </c>
      <c r="L1786" s="26" t="str">
        <f t="shared" si="220"/>
        <v/>
      </c>
      <c r="P1786" t="e">
        <f t="shared" si="221"/>
        <v>#N/A</v>
      </c>
      <c r="Q1786" t="e">
        <f t="shared" si="222"/>
        <v>#N/A</v>
      </c>
    </row>
    <row r="1787" spans="1:17">
      <c r="A1787" s="28"/>
      <c r="B1787" s="28"/>
      <c r="C1787" s="28"/>
      <c r="D1787" s="28"/>
      <c r="E1787" s="28"/>
      <c r="F1787" s="28"/>
      <c r="G1787" s="26" t="str">
        <f t="shared" si="216"/>
        <v/>
      </c>
      <c r="H1787" s="26" t="str">
        <f t="shared" si="223"/>
        <v/>
      </c>
      <c r="I1787" s="26" t="str">
        <f t="shared" si="217"/>
        <v/>
      </c>
      <c r="J1787" t="str">
        <f t="shared" si="218"/>
        <v/>
      </c>
      <c r="K1787" s="26" t="str">
        <f t="shared" si="219"/>
        <v/>
      </c>
      <c r="L1787" s="26" t="str">
        <f t="shared" si="220"/>
        <v/>
      </c>
      <c r="P1787" t="e">
        <f t="shared" si="221"/>
        <v>#N/A</v>
      </c>
      <c r="Q1787" t="e">
        <f t="shared" si="222"/>
        <v>#N/A</v>
      </c>
    </row>
    <row r="1788" spans="1:17">
      <c r="A1788" s="28"/>
      <c r="B1788" s="28"/>
      <c r="C1788" s="28"/>
      <c r="D1788" s="28"/>
      <c r="E1788" s="28"/>
      <c r="F1788" s="28"/>
      <c r="G1788" s="26" t="str">
        <f t="shared" si="216"/>
        <v/>
      </c>
      <c r="H1788" s="26" t="str">
        <f t="shared" si="223"/>
        <v/>
      </c>
      <c r="I1788" s="26" t="str">
        <f t="shared" si="217"/>
        <v/>
      </c>
      <c r="J1788" t="str">
        <f t="shared" si="218"/>
        <v/>
      </c>
      <c r="K1788" s="26" t="str">
        <f t="shared" si="219"/>
        <v/>
      </c>
      <c r="L1788" s="26" t="str">
        <f t="shared" si="220"/>
        <v/>
      </c>
      <c r="P1788" t="e">
        <f t="shared" si="221"/>
        <v>#N/A</v>
      </c>
      <c r="Q1788" t="e">
        <f t="shared" si="222"/>
        <v>#N/A</v>
      </c>
    </row>
    <row r="1789" spans="1:17">
      <c r="A1789" s="28"/>
      <c r="B1789" s="28"/>
      <c r="C1789" s="28"/>
      <c r="D1789" s="28"/>
      <c r="E1789" s="28"/>
      <c r="F1789" s="28"/>
      <c r="G1789" s="26" t="str">
        <f t="shared" si="216"/>
        <v/>
      </c>
      <c r="H1789" s="26" t="str">
        <f t="shared" si="223"/>
        <v/>
      </c>
      <c r="I1789" s="26" t="str">
        <f t="shared" si="217"/>
        <v/>
      </c>
      <c r="J1789" t="str">
        <f t="shared" si="218"/>
        <v/>
      </c>
      <c r="K1789" s="26" t="str">
        <f t="shared" si="219"/>
        <v/>
      </c>
      <c r="L1789" s="26" t="str">
        <f t="shared" si="220"/>
        <v/>
      </c>
      <c r="P1789" t="e">
        <f t="shared" si="221"/>
        <v>#N/A</v>
      </c>
      <c r="Q1789" t="e">
        <f t="shared" si="222"/>
        <v>#N/A</v>
      </c>
    </row>
    <row r="1790" spans="1:17">
      <c r="A1790" s="28"/>
      <c r="B1790" s="28"/>
      <c r="C1790" s="28"/>
      <c r="D1790" s="28"/>
      <c r="E1790" s="28"/>
      <c r="F1790" s="28"/>
      <c r="G1790" s="26" t="str">
        <f t="shared" si="216"/>
        <v/>
      </c>
      <c r="H1790" s="26" t="str">
        <f t="shared" si="223"/>
        <v/>
      </c>
      <c r="I1790" s="26" t="str">
        <f t="shared" si="217"/>
        <v/>
      </c>
      <c r="J1790" t="str">
        <f t="shared" si="218"/>
        <v/>
      </c>
      <c r="K1790" s="26" t="str">
        <f t="shared" si="219"/>
        <v/>
      </c>
      <c r="L1790" s="26" t="str">
        <f t="shared" si="220"/>
        <v/>
      </c>
      <c r="P1790" t="e">
        <f t="shared" si="221"/>
        <v>#N/A</v>
      </c>
      <c r="Q1790" t="e">
        <f t="shared" si="222"/>
        <v>#N/A</v>
      </c>
    </row>
    <row r="1791" spans="1:17">
      <c r="A1791" s="28"/>
      <c r="B1791" s="28"/>
      <c r="C1791" s="28"/>
      <c r="D1791" s="28"/>
      <c r="E1791" s="28"/>
      <c r="F1791" s="28"/>
      <c r="G1791" s="26" t="str">
        <f t="shared" si="216"/>
        <v/>
      </c>
      <c r="H1791" s="26" t="str">
        <f t="shared" si="223"/>
        <v/>
      </c>
      <c r="I1791" s="26" t="str">
        <f t="shared" si="217"/>
        <v/>
      </c>
      <c r="J1791" t="str">
        <f t="shared" si="218"/>
        <v/>
      </c>
      <c r="K1791" s="26" t="str">
        <f t="shared" si="219"/>
        <v/>
      </c>
      <c r="L1791" s="26" t="str">
        <f t="shared" si="220"/>
        <v/>
      </c>
      <c r="P1791" t="e">
        <f t="shared" si="221"/>
        <v>#N/A</v>
      </c>
      <c r="Q1791" t="e">
        <f t="shared" si="222"/>
        <v>#N/A</v>
      </c>
    </row>
    <row r="1792" spans="1:17">
      <c r="A1792" s="28"/>
      <c r="B1792" s="28"/>
      <c r="C1792" s="28"/>
      <c r="D1792" s="28"/>
      <c r="E1792" s="28"/>
      <c r="F1792" s="28"/>
      <c r="G1792" s="26" t="str">
        <f t="shared" si="216"/>
        <v/>
      </c>
      <c r="H1792" s="26" t="str">
        <f t="shared" si="223"/>
        <v/>
      </c>
      <c r="I1792" s="26" t="str">
        <f t="shared" si="217"/>
        <v/>
      </c>
      <c r="J1792" t="str">
        <f t="shared" si="218"/>
        <v/>
      </c>
      <c r="K1792" s="26" t="str">
        <f t="shared" si="219"/>
        <v/>
      </c>
      <c r="L1792" s="26" t="str">
        <f t="shared" si="220"/>
        <v/>
      </c>
      <c r="P1792" t="e">
        <f t="shared" si="221"/>
        <v>#N/A</v>
      </c>
      <c r="Q1792" t="e">
        <f t="shared" si="222"/>
        <v>#N/A</v>
      </c>
    </row>
    <row r="1793" spans="1:17">
      <c r="A1793" s="28"/>
      <c r="B1793" s="28"/>
      <c r="C1793" s="28"/>
      <c r="D1793" s="28"/>
      <c r="E1793" s="28"/>
      <c r="F1793" s="28"/>
      <c r="G1793" s="26" t="str">
        <f t="shared" si="216"/>
        <v/>
      </c>
      <c r="H1793" s="26" t="str">
        <f t="shared" si="223"/>
        <v/>
      </c>
      <c r="I1793" s="26" t="str">
        <f t="shared" si="217"/>
        <v/>
      </c>
      <c r="J1793" t="str">
        <f t="shared" si="218"/>
        <v/>
      </c>
      <c r="K1793" s="26" t="str">
        <f t="shared" si="219"/>
        <v/>
      </c>
      <c r="L1793" s="26" t="str">
        <f t="shared" si="220"/>
        <v/>
      </c>
      <c r="P1793" t="e">
        <f t="shared" si="221"/>
        <v>#N/A</v>
      </c>
      <c r="Q1793" t="e">
        <f t="shared" si="222"/>
        <v>#N/A</v>
      </c>
    </row>
    <row r="1794" spans="1:17">
      <c r="A1794" s="28"/>
      <c r="B1794" s="28"/>
      <c r="C1794" s="28"/>
      <c r="D1794" s="28"/>
      <c r="E1794" s="28"/>
      <c r="F1794" s="28"/>
      <c r="G1794" s="26" t="str">
        <f t="shared" ref="G1794:G1857" si="224">IF(B1794="","",243.04*(LN(C1794/100)+17.625*B1794/(243.04+B1794))/(17.625-LN(C1794/100)-17.625*B1794/(243.04+B1794)))</f>
        <v/>
      </c>
      <c r="H1794" s="26" t="str">
        <f t="shared" si="223"/>
        <v/>
      </c>
      <c r="I1794" s="26" t="str">
        <f t="shared" ref="I1794:I1857" si="225">IF(B1794="","",B1794-E1794)</f>
        <v/>
      </c>
      <c r="J1794" t="str">
        <f t="shared" ref="J1794:J1857" si="226">IF(H1794="","",IF(H1794&gt;0.6,"Heating",IF(H1794&lt;-0.2,"Cooling","Steady")))</f>
        <v/>
      </c>
      <c r="K1794" s="26" t="str">
        <f t="shared" ref="K1794:K1857" si="227">IF(J1794="Cooling",I1794,"")</f>
        <v/>
      </c>
      <c r="L1794" s="26" t="str">
        <f t="shared" ref="L1794:L1857" si="228">IF(J1794="Cooling",H1794,"")</f>
        <v/>
      </c>
      <c r="P1794" t="e">
        <f t="shared" ref="P1794:P1857" si="229">IF(K1794="",NA(),K1794)</f>
        <v>#N/A</v>
      </c>
      <c r="Q1794" t="e">
        <f t="shared" ref="Q1794:Q1857" si="230">IF(L1794="",NA(),L1794)</f>
        <v>#N/A</v>
      </c>
    </row>
    <row r="1795" spans="1:17">
      <c r="A1795" s="28"/>
      <c r="B1795" s="28"/>
      <c r="C1795" s="28"/>
      <c r="D1795" s="28"/>
      <c r="E1795" s="28"/>
      <c r="F1795" s="28"/>
      <c r="G1795" s="26" t="str">
        <f t="shared" si="224"/>
        <v/>
      </c>
      <c r="H1795" s="26" t="str">
        <f t="shared" si="223"/>
        <v/>
      </c>
      <c r="I1795" s="26" t="str">
        <f t="shared" si="225"/>
        <v/>
      </c>
      <c r="J1795" t="str">
        <f t="shared" si="226"/>
        <v/>
      </c>
      <c r="K1795" s="26" t="str">
        <f t="shared" si="227"/>
        <v/>
      </c>
      <c r="L1795" s="26" t="str">
        <f t="shared" si="228"/>
        <v/>
      </c>
      <c r="P1795" t="e">
        <f t="shared" si="229"/>
        <v>#N/A</v>
      </c>
      <c r="Q1795" t="e">
        <f t="shared" si="230"/>
        <v>#N/A</v>
      </c>
    </row>
    <row r="1796" spans="1:17">
      <c r="A1796" s="28"/>
      <c r="B1796" s="28"/>
      <c r="C1796" s="28"/>
      <c r="D1796" s="28"/>
      <c r="E1796" s="28"/>
      <c r="F1796" s="28"/>
      <c r="G1796" s="26" t="str">
        <f t="shared" si="224"/>
        <v/>
      </c>
      <c r="H1796" s="26" t="str">
        <f t="shared" ref="H1796:H1859" si="231">IFERROR(IF(OR(B1794="",B1798=""),"",(B1798-B1794)/4*60),"")</f>
        <v/>
      </c>
      <c r="I1796" s="26" t="str">
        <f t="shared" si="225"/>
        <v/>
      </c>
      <c r="J1796" t="str">
        <f t="shared" si="226"/>
        <v/>
      </c>
      <c r="K1796" s="26" t="str">
        <f t="shared" si="227"/>
        <v/>
      </c>
      <c r="L1796" s="26" t="str">
        <f t="shared" si="228"/>
        <v/>
      </c>
      <c r="P1796" t="e">
        <f t="shared" si="229"/>
        <v>#N/A</v>
      </c>
      <c r="Q1796" t="e">
        <f t="shared" si="230"/>
        <v>#N/A</v>
      </c>
    </row>
    <row r="1797" spans="1:17">
      <c r="A1797" s="28"/>
      <c r="B1797" s="28"/>
      <c r="C1797" s="28"/>
      <c r="D1797" s="28"/>
      <c r="E1797" s="28"/>
      <c r="F1797" s="28"/>
      <c r="G1797" s="26" t="str">
        <f t="shared" si="224"/>
        <v/>
      </c>
      <c r="H1797" s="26" t="str">
        <f t="shared" si="231"/>
        <v/>
      </c>
      <c r="I1797" s="26" t="str">
        <f t="shared" si="225"/>
        <v/>
      </c>
      <c r="J1797" t="str">
        <f t="shared" si="226"/>
        <v/>
      </c>
      <c r="K1797" s="26" t="str">
        <f t="shared" si="227"/>
        <v/>
      </c>
      <c r="L1797" s="26" t="str">
        <f t="shared" si="228"/>
        <v/>
      </c>
      <c r="P1797" t="e">
        <f t="shared" si="229"/>
        <v>#N/A</v>
      </c>
      <c r="Q1797" t="e">
        <f t="shared" si="230"/>
        <v>#N/A</v>
      </c>
    </row>
    <row r="1798" spans="1:17">
      <c r="A1798" s="28"/>
      <c r="B1798" s="28"/>
      <c r="C1798" s="28"/>
      <c r="D1798" s="28"/>
      <c r="E1798" s="28"/>
      <c r="F1798" s="28"/>
      <c r="G1798" s="26" t="str">
        <f t="shared" si="224"/>
        <v/>
      </c>
      <c r="H1798" s="26" t="str">
        <f t="shared" si="231"/>
        <v/>
      </c>
      <c r="I1798" s="26" t="str">
        <f t="shared" si="225"/>
        <v/>
      </c>
      <c r="J1798" t="str">
        <f t="shared" si="226"/>
        <v/>
      </c>
      <c r="K1798" s="26" t="str">
        <f t="shared" si="227"/>
        <v/>
      </c>
      <c r="L1798" s="26" t="str">
        <f t="shared" si="228"/>
        <v/>
      </c>
      <c r="P1798" t="e">
        <f t="shared" si="229"/>
        <v>#N/A</v>
      </c>
      <c r="Q1798" t="e">
        <f t="shared" si="230"/>
        <v>#N/A</v>
      </c>
    </row>
    <row r="1799" spans="1:17">
      <c r="A1799" s="28"/>
      <c r="B1799" s="28"/>
      <c r="C1799" s="28"/>
      <c r="D1799" s="28"/>
      <c r="E1799" s="28"/>
      <c r="F1799" s="28"/>
      <c r="G1799" s="26" t="str">
        <f t="shared" si="224"/>
        <v/>
      </c>
      <c r="H1799" s="26" t="str">
        <f t="shared" si="231"/>
        <v/>
      </c>
      <c r="I1799" s="26" t="str">
        <f t="shared" si="225"/>
        <v/>
      </c>
      <c r="J1799" t="str">
        <f t="shared" si="226"/>
        <v/>
      </c>
      <c r="K1799" s="26" t="str">
        <f t="shared" si="227"/>
        <v/>
      </c>
      <c r="L1799" s="26" t="str">
        <f t="shared" si="228"/>
        <v/>
      </c>
      <c r="P1799" t="e">
        <f t="shared" si="229"/>
        <v>#N/A</v>
      </c>
      <c r="Q1799" t="e">
        <f t="shared" si="230"/>
        <v>#N/A</v>
      </c>
    </row>
    <row r="1800" spans="1:17">
      <c r="A1800" s="28"/>
      <c r="B1800" s="28"/>
      <c r="C1800" s="28"/>
      <c r="D1800" s="28"/>
      <c r="E1800" s="28"/>
      <c r="F1800" s="28"/>
      <c r="G1800" s="26" t="str">
        <f t="shared" si="224"/>
        <v/>
      </c>
      <c r="H1800" s="26" t="str">
        <f t="shared" si="231"/>
        <v/>
      </c>
      <c r="I1800" s="26" t="str">
        <f t="shared" si="225"/>
        <v/>
      </c>
      <c r="J1800" t="str">
        <f t="shared" si="226"/>
        <v/>
      </c>
      <c r="K1800" s="26" t="str">
        <f t="shared" si="227"/>
        <v/>
      </c>
      <c r="L1800" s="26" t="str">
        <f t="shared" si="228"/>
        <v/>
      </c>
      <c r="P1800" t="e">
        <f t="shared" si="229"/>
        <v>#N/A</v>
      </c>
      <c r="Q1800" t="e">
        <f t="shared" si="230"/>
        <v>#N/A</v>
      </c>
    </row>
    <row r="1801" spans="1:17">
      <c r="A1801" s="28"/>
      <c r="B1801" s="28"/>
      <c r="C1801" s="28"/>
      <c r="D1801" s="28"/>
      <c r="E1801" s="28"/>
      <c r="F1801" s="28"/>
      <c r="G1801" s="26" t="str">
        <f t="shared" si="224"/>
        <v/>
      </c>
      <c r="H1801" s="26" t="str">
        <f t="shared" si="231"/>
        <v/>
      </c>
      <c r="I1801" s="26" t="str">
        <f t="shared" si="225"/>
        <v/>
      </c>
      <c r="J1801" t="str">
        <f t="shared" si="226"/>
        <v/>
      </c>
      <c r="K1801" s="26" t="str">
        <f t="shared" si="227"/>
        <v/>
      </c>
      <c r="L1801" s="26" t="str">
        <f t="shared" si="228"/>
        <v/>
      </c>
      <c r="P1801" t="e">
        <f t="shared" si="229"/>
        <v>#N/A</v>
      </c>
      <c r="Q1801" t="e">
        <f t="shared" si="230"/>
        <v>#N/A</v>
      </c>
    </row>
    <row r="1802" spans="1:17">
      <c r="A1802" s="28"/>
      <c r="B1802" s="28"/>
      <c r="C1802" s="28"/>
      <c r="D1802" s="28"/>
      <c r="E1802" s="28"/>
      <c r="F1802" s="28"/>
      <c r="G1802" s="26" t="str">
        <f t="shared" si="224"/>
        <v/>
      </c>
      <c r="H1802" s="26" t="str">
        <f t="shared" si="231"/>
        <v/>
      </c>
      <c r="I1802" s="26" t="str">
        <f t="shared" si="225"/>
        <v/>
      </c>
      <c r="J1802" t="str">
        <f t="shared" si="226"/>
        <v/>
      </c>
      <c r="K1802" s="26" t="str">
        <f t="shared" si="227"/>
        <v/>
      </c>
      <c r="L1802" s="26" t="str">
        <f t="shared" si="228"/>
        <v/>
      </c>
      <c r="P1802" t="e">
        <f t="shared" si="229"/>
        <v>#N/A</v>
      </c>
      <c r="Q1802" t="e">
        <f t="shared" si="230"/>
        <v>#N/A</v>
      </c>
    </row>
    <row r="1803" spans="1:17">
      <c r="A1803" s="28"/>
      <c r="B1803" s="28"/>
      <c r="C1803" s="28"/>
      <c r="D1803" s="28"/>
      <c r="E1803" s="28"/>
      <c r="F1803" s="28"/>
      <c r="G1803" s="26" t="str">
        <f t="shared" si="224"/>
        <v/>
      </c>
      <c r="H1803" s="26" t="str">
        <f t="shared" si="231"/>
        <v/>
      </c>
      <c r="I1803" s="26" t="str">
        <f t="shared" si="225"/>
        <v/>
      </c>
      <c r="J1803" t="str">
        <f t="shared" si="226"/>
        <v/>
      </c>
      <c r="K1803" s="26" t="str">
        <f t="shared" si="227"/>
        <v/>
      </c>
      <c r="L1803" s="26" t="str">
        <f t="shared" si="228"/>
        <v/>
      </c>
      <c r="P1803" t="e">
        <f t="shared" si="229"/>
        <v>#N/A</v>
      </c>
      <c r="Q1803" t="e">
        <f t="shared" si="230"/>
        <v>#N/A</v>
      </c>
    </row>
    <row r="1804" spans="1:17">
      <c r="A1804" s="28"/>
      <c r="B1804" s="28"/>
      <c r="C1804" s="28"/>
      <c r="D1804" s="28"/>
      <c r="E1804" s="28"/>
      <c r="F1804" s="28"/>
      <c r="G1804" s="26" t="str">
        <f t="shared" si="224"/>
        <v/>
      </c>
      <c r="H1804" s="26" t="str">
        <f t="shared" si="231"/>
        <v/>
      </c>
      <c r="I1804" s="26" t="str">
        <f t="shared" si="225"/>
        <v/>
      </c>
      <c r="J1804" t="str">
        <f t="shared" si="226"/>
        <v/>
      </c>
      <c r="K1804" s="26" t="str">
        <f t="shared" si="227"/>
        <v/>
      </c>
      <c r="L1804" s="26" t="str">
        <f t="shared" si="228"/>
        <v/>
      </c>
      <c r="P1804" t="e">
        <f t="shared" si="229"/>
        <v>#N/A</v>
      </c>
      <c r="Q1804" t="e">
        <f t="shared" si="230"/>
        <v>#N/A</v>
      </c>
    </row>
    <row r="1805" spans="1:17">
      <c r="A1805" s="28"/>
      <c r="B1805" s="28"/>
      <c r="C1805" s="28"/>
      <c r="D1805" s="28"/>
      <c r="E1805" s="28"/>
      <c r="F1805" s="28"/>
      <c r="G1805" s="26" t="str">
        <f t="shared" si="224"/>
        <v/>
      </c>
      <c r="H1805" s="26" t="str">
        <f t="shared" si="231"/>
        <v/>
      </c>
      <c r="I1805" s="26" t="str">
        <f t="shared" si="225"/>
        <v/>
      </c>
      <c r="J1805" t="str">
        <f t="shared" si="226"/>
        <v/>
      </c>
      <c r="K1805" s="26" t="str">
        <f t="shared" si="227"/>
        <v/>
      </c>
      <c r="L1805" s="26" t="str">
        <f t="shared" si="228"/>
        <v/>
      </c>
      <c r="P1805" t="e">
        <f t="shared" si="229"/>
        <v>#N/A</v>
      </c>
      <c r="Q1805" t="e">
        <f t="shared" si="230"/>
        <v>#N/A</v>
      </c>
    </row>
    <row r="1806" spans="1:17">
      <c r="A1806" s="28"/>
      <c r="B1806" s="28"/>
      <c r="C1806" s="28"/>
      <c r="D1806" s="28"/>
      <c r="E1806" s="28"/>
      <c r="F1806" s="28"/>
      <c r="G1806" s="26" t="str">
        <f t="shared" si="224"/>
        <v/>
      </c>
      <c r="H1806" s="26" t="str">
        <f t="shared" si="231"/>
        <v/>
      </c>
      <c r="I1806" s="26" t="str">
        <f t="shared" si="225"/>
        <v/>
      </c>
      <c r="J1806" t="str">
        <f t="shared" si="226"/>
        <v/>
      </c>
      <c r="K1806" s="26" t="str">
        <f t="shared" si="227"/>
        <v/>
      </c>
      <c r="L1806" s="26" t="str">
        <f t="shared" si="228"/>
        <v/>
      </c>
      <c r="P1806" t="e">
        <f t="shared" si="229"/>
        <v>#N/A</v>
      </c>
      <c r="Q1806" t="e">
        <f t="shared" si="230"/>
        <v>#N/A</v>
      </c>
    </row>
    <row r="1807" spans="1:17">
      <c r="A1807" s="28"/>
      <c r="B1807" s="28"/>
      <c r="C1807" s="28"/>
      <c r="D1807" s="28"/>
      <c r="E1807" s="28"/>
      <c r="F1807" s="28"/>
      <c r="G1807" s="26" t="str">
        <f t="shared" si="224"/>
        <v/>
      </c>
      <c r="H1807" s="26" t="str">
        <f t="shared" si="231"/>
        <v/>
      </c>
      <c r="I1807" s="26" t="str">
        <f t="shared" si="225"/>
        <v/>
      </c>
      <c r="J1807" t="str">
        <f t="shared" si="226"/>
        <v/>
      </c>
      <c r="K1807" s="26" t="str">
        <f t="shared" si="227"/>
        <v/>
      </c>
      <c r="L1807" s="26" t="str">
        <f t="shared" si="228"/>
        <v/>
      </c>
      <c r="P1807" t="e">
        <f t="shared" si="229"/>
        <v>#N/A</v>
      </c>
      <c r="Q1807" t="e">
        <f t="shared" si="230"/>
        <v>#N/A</v>
      </c>
    </row>
    <row r="1808" spans="1:17">
      <c r="A1808" s="28"/>
      <c r="B1808" s="28"/>
      <c r="C1808" s="28"/>
      <c r="D1808" s="28"/>
      <c r="E1808" s="28"/>
      <c r="F1808" s="28"/>
      <c r="G1808" s="26" t="str">
        <f t="shared" si="224"/>
        <v/>
      </c>
      <c r="H1808" s="26" t="str">
        <f t="shared" si="231"/>
        <v/>
      </c>
      <c r="I1808" s="26" t="str">
        <f t="shared" si="225"/>
        <v/>
      </c>
      <c r="J1808" t="str">
        <f t="shared" si="226"/>
        <v/>
      </c>
      <c r="K1808" s="26" t="str">
        <f t="shared" si="227"/>
        <v/>
      </c>
      <c r="L1808" s="26" t="str">
        <f t="shared" si="228"/>
        <v/>
      </c>
      <c r="P1808" t="e">
        <f t="shared" si="229"/>
        <v>#N/A</v>
      </c>
      <c r="Q1808" t="e">
        <f t="shared" si="230"/>
        <v>#N/A</v>
      </c>
    </row>
    <row r="1809" spans="1:17">
      <c r="A1809" s="28"/>
      <c r="B1809" s="28"/>
      <c r="C1809" s="28"/>
      <c r="D1809" s="28"/>
      <c r="E1809" s="28"/>
      <c r="F1809" s="28"/>
      <c r="G1809" s="26" t="str">
        <f t="shared" si="224"/>
        <v/>
      </c>
      <c r="H1809" s="26" t="str">
        <f t="shared" si="231"/>
        <v/>
      </c>
      <c r="I1809" s="26" t="str">
        <f t="shared" si="225"/>
        <v/>
      </c>
      <c r="J1809" t="str">
        <f t="shared" si="226"/>
        <v/>
      </c>
      <c r="K1809" s="26" t="str">
        <f t="shared" si="227"/>
        <v/>
      </c>
      <c r="L1809" s="26" t="str">
        <f t="shared" si="228"/>
        <v/>
      </c>
      <c r="P1809" t="e">
        <f t="shared" si="229"/>
        <v>#N/A</v>
      </c>
      <c r="Q1809" t="e">
        <f t="shared" si="230"/>
        <v>#N/A</v>
      </c>
    </row>
    <row r="1810" spans="1:17">
      <c r="A1810" s="28"/>
      <c r="B1810" s="28"/>
      <c r="C1810" s="28"/>
      <c r="D1810" s="28"/>
      <c r="E1810" s="28"/>
      <c r="F1810" s="28"/>
      <c r="G1810" s="26" t="str">
        <f t="shared" si="224"/>
        <v/>
      </c>
      <c r="H1810" s="26" t="str">
        <f t="shared" si="231"/>
        <v/>
      </c>
      <c r="I1810" s="26" t="str">
        <f t="shared" si="225"/>
        <v/>
      </c>
      <c r="J1810" t="str">
        <f t="shared" si="226"/>
        <v/>
      </c>
      <c r="K1810" s="26" t="str">
        <f t="shared" si="227"/>
        <v/>
      </c>
      <c r="L1810" s="26" t="str">
        <f t="shared" si="228"/>
        <v/>
      </c>
      <c r="P1810" t="e">
        <f t="shared" si="229"/>
        <v>#N/A</v>
      </c>
      <c r="Q1810" t="e">
        <f t="shared" si="230"/>
        <v>#N/A</v>
      </c>
    </row>
    <row r="1811" spans="1:17">
      <c r="A1811" s="28"/>
      <c r="B1811" s="28"/>
      <c r="C1811" s="28"/>
      <c r="D1811" s="28"/>
      <c r="E1811" s="28"/>
      <c r="F1811" s="28"/>
      <c r="G1811" s="26" t="str">
        <f t="shared" si="224"/>
        <v/>
      </c>
      <c r="H1811" s="26" t="str">
        <f t="shared" si="231"/>
        <v/>
      </c>
      <c r="I1811" s="26" t="str">
        <f t="shared" si="225"/>
        <v/>
      </c>
      <c r="J1811" t="str">
        <f t="shared" si="226"/>
        <v/>
      </c>
      <c r="K1811" s="26" t="str">
        <f t="shared" si="227"/>
        <v/>
      </c>
      <c r="L1811" s="26" t="str">
        <f t="shared" si="228"/>
        <v/>
      </c>
      <c r="P1811" t="e">
        <f t="shared" si="229"/>
        <v>#N/A</v>
      </c>
      <c r="Q1811" t="e">
        <f t="shared" si="230"/>
        <v>#N/A</v>
      </c>
    </row>
    <row r="1812" spans="1:17">
      <c r="A1812" s="28"/>
      <c r="B1812" s="28"/>
      <c r="C1812" s="28"/>
      <c r="D1812" s="28"/>
      <c r="E1812" s="28"/>
      <c r="F1812" s="28"/>
      <c r="G1812" s="26" t="str">
        <f t="shared" si="224"/>
        <v/>
      </c>
      <c r="H1812" s="26" t="str">
        <f t="shared" si="231"/>
        <v/>
      </c>
      <c r="I1812" s="26" t="str">
        <f t="shared" si="225"/>
        <v/>
      </c>
      <c r="J1812" t="str">
        <f t="shared" si="226"/>
        <v/>
      </c>
      <c r="K1812" s="26" t="str">
        <f t="shared" si="227"/>
        <v/>
      </c>
      <c r="L1812" s="26" t="str">
        <f t="shared" si="228"/>
        <v/>
      </c>
      <c r="P1812" t="e">
        <f t="shared" si="229"/>
        <v>#N/A</v>
      </c>
      <c r="Q1812" t="e">
        <f t="shared" si="230"/>
        <v>#N/A</v>
      </c>
    </row>
    <row r="1813" spans="1:17">
      <c r="A1813" s="28"/>
      <c r="B1813" s="28"/>
      <c r="C1813" s="28"/>
      <c r="D1813" s="28"/>
      <c r="E1813" s="28"/>
      <c r="F1813" s="28"/>
      <c r="G1813" s="26" t="str">
        <f t="shared" si="224"/>
        <v/>
      </c>
      <c r="H1813" s="26" t="str">
        <f t="shared" si="231"/>
        <v/>
      </c>
      <c r="I1813" s="26" t="str">
        <f t="shared" si="225"/>
        <v/>
      </c>
      <c r="J1813" t="str">
        <f t="shared" si="226"/>
        <v/>
      </c>
      <c r="K1813" s="26" t="str">
        <f t="shared" si="227"/>
        <v/>
      </c>
      <c r="L1813" s="26" t="str">
        <f t="shared" si="228"/>
        <v/>
      </c>
      <c r="P1813" t="e">
        <f t="shared" si="229"/>
        <v>#N/A</v>
      </c>
      <c r="Q1813" t="e">
        <f t="shared" si="230"/>
        <v>#N/A</v>
      </c>
    </row>
    <row r="1814" spans="1:17">
      <c r="A1814" s="28"/>
      <c r="B1814" s="28"/>
      <c r="C1814" s="28"/>
      <c r="D1814" s="28"/>
      <c r="E1814" s="28"/>
      <c r="F1814" s="28"/>
      <c r="G1814" s="26" t="str">
        <f t="shared" si="224"/>
        <v/>
      </c>
      <c r="H1814" s="26" t="str">
        <f t="shared" si="231"/>
        <v/>
      </c>
      <c r="I1814" s="26" t="str">
        <f t="shared" si="225"/>
        <v/>
      </c>
      <c r="J1814" t="str">
        <f t="shared" si="226"/>
        <v/>
      </c>
      <c r="K1814" s="26" t="str">
        <f t="shared" si="227"/>
        <v/>
      </c>
      <c r="L1814" s="26" t="str">
        <f t="shared" si="228"/>
        <v/>
      </c>
      <c r="P1814" t="e">
        <f t="shared" si="229"/>
        <v>#N/A</v>
      </c>
      <c r="Q1814" t="e">
        <f t="shared" si="230"/>
        <v>#N/A</v>
      </c>
    </row>
    <row r="1815" spans="1:17">
      <c r="A1815" s="28"/>
      <c r="B1815" s="28"/>
      <c r="C1815" s="28"/>
      <c r="D1815" s="28"/>
      <c r="E1815" s="28"/>
      <c r="F1815" s="28"/>
      <c r="G1815" s="26" t="str">
        <f t="shared" si="224"/>
        <v/>
      </c>
      <c r="H1815" s="26" t="str">
        <f t="shared" si="231"/>
        <v/>
      </c>
      <c r="I1815" s="26" t="str">
        <f t="shared" si="225"/>
        <v/>
      </c>
      <c r="J1815" t="str">
        <f t="shared" si="226"/>
        <v/>
      </c>
      <c r="K1815" s="26" t="str">
        <f t="shared" si="227"/>
        <v/>
      </c>
      <c r="L1815" s="26" t="str">
        <f t="shared" si="228"/>
        <v/>
      </c>
      <c r="P1815" t="e">
        <f t="shared" si="229"/>
        <v>#N/A</v>
      </c>
      <c r="Q1815" t="e">
        <f t="shared" si="230"/>
        <v>#N/A</v>
      </c>
    </row>
    <row r="1816" spans="1:17">
      <c r="A1816" s="28"/>
      <c r="B1816" s="28"/>
      <c r="C1816" s="28"/>
      <c r="D1816" s="28"/>
      <c r="E1816" s="28"/>
      <c r="F1816" s="28"/>
      <c r="G1816" s="26" t="str">
        <f t="shared" si="224"/>
        <v/>
      </c>
      <c r="H1816" s="26" t="str">
        <f t="shared" si="231"/>
        <v/>
      </c>
      <c r="I1816" s="26" t="str">
        <f t="shared" si="225"/>
        <v/>
      </c>
      <c r="J1816" t="str">
        <f t="shared" si="226"/>
        <v/>
      </c>
      <c r="K1816" s="26" t="str">
        <f t="shared" si="227"/>
        <v/>
      </c>
      <c r="L1816" s="26" t="str">
        <f t="shared" si="228"/>
        <v/>
      </c>
      <c r="P1816" t="e">
        <f t="shared" si="229"/>
        <v>#N/A</v>
      </c>
      <c r="Q1816" t="e">
        <f t="shared" si="230"/>
        <v>#N/A</v>
      </c>
    </row>
    <row r="1817" spans="1:17">
      <c r="A1817" s="28"/>
      <c r="B1817" s="28"/>
      <c r="C1817" s="28"/>
      <c r="D1817" s="28"/>
      <c r="E1817" s="28"/>
      <c r="F1817" s="28"/>
      <c r="G1817" s="26" t="str">
        <f t="shared" si="224"/>
        <v/>
      </c>
      <c r="H1817" s="26" t="str">
        <f t="shared" si="231"/>
        <v/>
      </c>
      <c r="I1817" s="26" t="str">
        <f t="shared" si="225"/>
        <v/>
      </c>
      <c r="J1817" t="str">
        <f t="shared" si="226"/>
        <v/>
      </c>
      <c r="K1817" s="26" t="str">
        <f t="shared" si="227"/>
        <v/>
      </c>
      <c r="L1817" s="26" t="str">
        <f t="shared" si="228"/>
        <v/>
      </c>
      <c r="P1817" t="e">
        <f t="shared" si="229"/>
        <v>#N/A</v>
      </c>
      <c r="Q1817" t="e">
        <f t="shared" si="230"/>
        <v>#N/A</v>
      </c>
    </row>
    <row r="1818" spans="1:17">
      <c r="A1818" s="28"/>
      <c r="B1818" s="28"/>
      <c r="C1818" s="28"/>
      <c r="D1818" s="28"/>
      <c r="E1818" s="28"/>
      <c r="F1818" s="28"/>
      <c r="G1818" s="26" t="str">
        <f t="shared" si="224"/>
        <v/>
      </c>
      <c r="H1818" s="26" t="str">
        <f t="shared" si="231"/>
        <v/>
      </c>
      <c r="I1818" s="26" t="str">
        <f t="shared" si="225"/>
        <v/>
      </c>
      <c r="J1818" t="str">
        <f t="shared" si="226"/>
        <v/>
      </c>
      <c r="K1818" s="26" t="str">
        <f t="shared" si="227"/>
        <v/>
      </c>
      <c r="L1818" s="26" t="str">
        <f t="shared" si="228"/>
        <v/>
      </c>
      <c r="P1818" t="e">
        <f t="shared" si="229"/>
        <v>#N/A</v>
      </c>
      <c r="Q1818" t="e">
        <f t="shared" si="230"/>
        <v>#N/A</v>
      </c>
    </row>
    <row r="1819" spans="1:17">
      <c r="A1819" s="28"/>
      <c r="B1819" s="28"/>
      <c r="C1819" s="28"/>
      <c r="D1819" s="28"/>
      <c r="E1819" s="28"/>
      <c r="F1819" s="28"/>
      <c r="G1819" s="26" t="str">
        <f t="shared" si="224"/>
        <v/>
      </c>
      <c r="H1819" s="26" t="str">
        <f t="shared" si="231"/>
        <v/>
      </c>
      <c r="I1819" s="26" t="str">
        <f t="shared" si="225"/>
        <v/>
      </c>
      <c r="J1819" t="str">
        <f t="shared" si="226"/>
        <v/>
      </c>
      <c r="K1819" s="26" t="str">
        <f t="shared" si="227"/>
        <v/>
      </c>
      <c r="L1819" s="26" t="str">
        <f t="shared" si="228"/>
        <v/>
      </c>
      <c r="P1819" t="e">
        <f t="shared" si="229"/>
        <v>#N/A</v>
      </c>
      <c r="Q1819" t="e">
        <f t="shared" si="230"/>
        <v>#N/A</v>
      </c>
    </row>
    <row r="1820" spans="1:17">
      <c r="A1820" s="28"/>
      <c r="B1820" s="28"/>
      <c r="C1820" s="28"/>
      <c r="D1820" s="28"/>
      <c r="E1820" s="28"/>
      <c r="F1820" s="28"/>
      <c r="G1820" s="26" t="str">
        <f t="shared" si="224"/>
        <v/>
      </c>
      <c r="H1820" s="26" t="str">
        <f t="shared" si="231"/>
        <v/>
      </c>
      <c r="I1820" s="26" t="str">
        <f t="shared" si="225"/>
        <v/>
      </c>
      <c r="J1820" t="str">
        <f t="shared" si="226"/>
        <v/>
      </c>
      <c r="K1820" s="26" t="str">
        <f t="shared" si="227"/>
        <v/>
      </c>
      <c r="L1820" s="26" t="str">
        <f t="shared" si="228"/>
        <v/>
      </c>
      <c r="P1820" t="e">
        <f t="shared" si="229"/>
        <v>#N/A</v>
      </c>
      <c r="Q1820" t="e">
        <f t="shared" si="230"/>
        <v>#N/A</v>
      </c>
    </row>
    <row r="1821" spans="1:17">
      <c r="A1821" s="28"/>
      <c r="B1821" s="28"/>
      <c r="C1821" s="28"/>
      <c r="D1821" s="28"/>
      <c r="E1821" s="28"/>
      <c r="F1821" s="28"/>
      <c r="G1821" s="26" t="str">
        <f t="shared" si="224"/>
        <v/>
      </c>
      <c r="H1821" s="26" t="str">
        <f t="shared" si="231"/>
        <v/>
      </c>
      <c r="I1821" s="26" t="str">
        <f t="shared" si="225"/>
        <v/>
      </c>
      <c r="J1821" t="str">
        <f t="shared" si="226"/>
        <v/>
      </c>
      <c r="K1821" s="26" t="str">
        <f t="shared" si="227"/>
        <v/>
      </c>
      <c r="L1821" s="26" t="str">
        <f t="shared" si="228"/>
        <v/>
      </c>
      <c r="P1821" t="e">
        <f t="shared" si="229"/>
        <v>#N/A</v>
      </c>
      <c r="Q1821" t="e">
        <f t="shared" si="230"/>
        <v>#N/A</v>
      </c>
    </row>
    <row r="1822" spans="1:17">
      <c r="A1822" s="28"/>
      <c r="B1822" s="28"/>
      <c r="C1822" s="28"/>
      <c r="D1822" s="28"/>
      <c r="E1822" s="28"/>
      <c r="F1822" s="28"/>
      <c r="G1822" s="26" t="str">
        <f t="shared" si="224"/>
        <v/>
      </c>
      <c r="H1822" s="26" t="str">
        <f t="shared" si="231"/>
        <v/>
      </c>
      <c r="I1822" s="26" t="str">
        <f t="shared" si="225"/>
        <v/>
      </c>
      <c r="J1822" t="str">
        <f t="shared" si="226"/>
        <v/>
      </c>
      <c r="K1822" s="26" t="str">
        <f t="shared" si="227"/>
        <v/>
      </c>
      <c r="L1822" s="26" t="str">
        <f t="shared" si="228"/>
        <v/>
      </c>
      <c r="P1822" t="e">
        <f t="shared" si="229"/>
        <v>#N/A</v>
      </c>
      <c r="Q1822" t="e">
        <f t="shared" si="230"/>
        <v>#N/A</v>
      </c>
    </row>
    <row r="1823" spans="1:17">
      <c r="A1823" s="28"/>
      <c r="B1823" s="28"/>
      <c r="C1823" s="28"/>
      <c r="D1823" s="28"/>
      <c r="E1823" s="28"/>
      <c r="F1823" s="28"/>
      <c r="G1823" s="26" t="str">
        <f t="shared" si="224"/>
        <v/>
      </c>
      <c r="H1823" s="26" t="str">
        <f t="shared" si="231"/>
        <v/>
      </c>
      <c r="I1823" s="26" t="str">
        <f t="shared" si="225"/>
        <v/>
      </c>
      <c r="J1823" t="str">
        <f t="shared" si="226"/>
        <v/>
      </c>
      <c r="K1823" s="26" t="str">
        <f t="shared" si="227"/>
        <v/>
      </c>
      <c r="L1823" s="26" t="str">
        <f t="shared" si="228"/>
        <v/>
      </c>
      <c r="P1823" t="e">
        <f t="shared" si="229"/>
        <v>#N/A</v>
      </c>
      <c r="Q1823" t="e">
        <f t="shared" si="230"/>
        <v>#N/A</v>
      </c>
    </row>
    <row r="1824" spans="1:17">
      <c r="A1824" s="28"/>
      <c r="B1824" s="28"/>
      <c r="C1824" s="28"/>
      <c r="D1824" s="28"/>
      <c r="E1824" s="28"/>
      <c r="F1824" s="28"/>
      <c r="G1824" s="26" t="str">
        <f t="shared" si="224"/>
        <v/>
      </c>
      <c r="H1824" s="26" t="str">
        <f t="shared" si="231"/>
        <v/>
      </c>
      <c r="I1824" s="26" t="str">
        <f t="shared" si="225"/>
        <v/>
      </c>
      <c r="J1824" t="str">
        <f t="shared" si="226"/>
        <v/>
      </c>
      <c r="K1824" s="26" t="str">
        <f t="shared" si="227"/>
        <v/>
      </c>
      <c r="L1824" s="26" t="str">
        <f t="shared" si="228"/>
        <v/>
      </c>
      <c r="P1824" t="e">
        <f t="shared" si="229"/>
        <v>#N/A</v>
      </c>
      <c r="Q1824" t="e">
        <f t="shared" si="230"/>
        <v>#N/A</v>
      </c>
    </row>
    <row r="1825" spans="1:17">
      <c r="A1825" s="28"/>
      <c r="B1825" s="28"/>
      <c r="C1825" s="28"/>
      <c r="D1825" s="28"/>
      <c r="E1825" s="28"/>
      <c r="F1825" s="28"/>
      <c r="G1825" s="26" t="str">
        <f t="shared" si="224"/>
        <v/>
      </c>
      <c r="H1825" s="26" t="str">
        <f t="shared" si="231"/>
        <v/>
      </c>
      <c r="I1825" s="26" t="str">
        <f t="shared" si="225"/>
        <v/>
      </c>
      <c r="J1825" t="str">
        <f t="shared" si="226"/>
        <v/>
      </c>
      <c r="K1825" s="26" t="str">
        <f t="shared" si="227"/>
        <v/>
      </c>
      <c r="L1825" s="26" t="str">
        <f t="shared" si="228"/>
        <v/>
      </c>
      <c r="P1825" t="e">
        <f t="shared" si="229"/>
        <v>#N/A</v>
      </c>
      <c r="Q1825" t="e">
        <f t="shared" si="230"/>
        <v>#N/A</v>
      </c>
    </row>
    <row r="1826" spans="1:17">
      <c r="A1826" s="28"/>
      <c r="B1826" s="28"/>
      <c r="C1826" s="28"/>
      <c r="D1826" s="28"/>
      <c r="E1826" s="28"/>
      <c r="F1826" s="28"/>
      <c r="G1826" s="26" t="str">
        <f t="shared" si="224"/>
        <v/>
      </c>
      <c r="H1826" s="26" t="str">
        <f t="shared" si="231"/>
        <v/>
      </c>
      <c r="I1826" s="26" t="str">
        <f t="shared" si="225"/>
        <v/>
      </c>
      <c r="J1826" t="str">
        <f t="shared" si="226"/>
        <v/>
      </c>
      <c r="K1826" s="26" t="str">
        <f t="shared" si="227"/>
        <v/>
      </c>
      <c r="L1826" s="26" t="str">
        <f t="shared" si="228"/>
        <v/>
      </c>
      <c r="P1826" t="e">
        <f t="shared" si="229"/>
        <v>#N/A</v>
      </c>
      <c r="Q1826" t="e">
        <f t="shared" si="230"/>
        <v>#N/A</v>
      </c>
    </row>
    <row r="1827" spans="1:17">
      <c r="A1827" s="28"/>
      <c r="B1827" s="28"/>
      <c r="C1827" s="28"/>
      <c r="D1827" s="28"/>
      <c r="E1827" s="28"/>
      <c r="F1827" s="28"/>
      <c r="G1827" s="26" t="str">
        <f t="shared" si="224"/>
        <v/>
      </c>
      <c r="H1827" s="26" t="str">
        <f t="shared" si="231"/>
        <v/>
      </c>
      <c r="I1827" s="26" t="str">
        <f t="shared" si="225"/>
        <v/>
      </c>
      <c r="J1827" t="str">
        <f t="shared" si="226"/>
        <v/>
      </c>
      <c r="K1827" s="26" t="str">
        <f t="shared" si="227"/>
        <v/>
      </c>
      <c r="L1827" s="26" t="str">
        <f t="shared" si="228"/>
        <v/>
      </c>
      <c r="P1827" t="e">
        <f t="shared" si="229"/>
        <v>#N/A</v>
      </c>
      <c r="Q1827" t="e">
        <f t="shared" si="230"/>
        <v>#N/A</v>
      </c>
    </row>
    <row r="1828" spans="1:17">
      <c r="A1828" s="28"/>
      <c r="B1828" s="28"/>
      <c r="C1828" s="28"/>
      <c r="D1828" s="28"/>
      <c r="E1828" s="28"/>
      <c r="F1828" s="28"/>
      <c r="G1828" s="26" t="str">
        <f t="shared" si="224"/>
        <v/>
      </c>
      <c r="H1828" s="26" t="str">
        <f t="shared" si="231"/>
        <v/>
      </c>
      <c r="I1828" s="26" t="str">
        <f t="shared" si="225"/>
        <v/>
      </c>
      <c r="J1828" t="str">
        <f t="shared" si="226"/>
        <v/>
      </c>
      <c r="K1828" s="26" t="str">
        <f t="shared" si="227"/>
        <v/>
      </c>
      <c r="L1828" s="26" t="str">
        <f t="shared" si="228"/>
        <v/>
      </c>
      <c r="P1828" t="e">
        <f t="shared" si="229"/>
        <v>#N/A</v>
      </c>
      <c r="Q1828" t="e">
        <f t="shared" si="230"/>
        <v>#N/A</v>
      </c>
    </row>
    <row r="1829" spans="1:17">
      <c r="A1829" s="28"/>
      <c r="B1829" s="28"/>
      <c r="C1829" s="28"/>
      <c r="D1829" s="28"/>
      <c r="E1829" s="28"/>
      <c r="F1829" s="28"/>
      <c r="G1829" s="26" t="str">
        <f t="shared" si="224"/>
        <v/>
      </c>
      <c r="H1829" s="26" t="str">
        <f t="shared" si="231"/>
        <v/>
      </c>
      <c r="I1829" s="26" t="str">
        <f t="shared" si="225"/>
        <v/>
      </c>
      <c r="J1829" t="str">
        <f t="shared" si="226"/>
        <v/>
      </c>
      <c r="K1829" s="26" t="str">
        <f t="shared" si="227"/>
        <v/>
      </c>
      <c r="L1829" s="26" t="str">
        <f t="shared" si="228"/>
        <v/>
      </c>
      <c r="P1829" t="e">
        <f t="shared" si="229"/>
        <v>#N/A</v>
      </c>
      <c r="Q1829" t="e">
        <f t="shared" si="230"/>
        <v>#N/A</v>
      </c>
    </row>
    <row r="1830" spans="1:17">
      <c r="A1830" s="28"/>
      <c r="B1830" s="28"/>
      <c r="C1830" s="28"/>
      <c r="D1830" s="28"/>
      <c r="E1830" s="28"/>
      <c r="F1830" s="28"/>
      <c r="G1830" s="26" t="str">
        <f t="shared" si="224"/>
        <v/>
      </c>
      <c r="H1830" s="26" t="str">
        <f t="shared" si="231"/>
        <v/>
      </c>
      <c r="I1830" s="26" t="str">
        <f t="shared" si="225"/>
        <v/>
      </c>
      <c r="J1830" t="str">
        <f t="shared" si="226"/>
        <v/>
      </c>
      <c r="K1830" s="26" t="str">
        <f t="shared" si="227"/>
        <v/>
      </c>
      <c r="L1830" s="26" t="str">
        <f t="shared" si="228"/>
        <v/>
      </c>
      <c r="P1830" t="e">
        <f t="shared" si="229"/>
        <v>#N/A</v>
      </c>
      <c r="Q1830" t="e">
        <f t="shared" si="230"/>
        <v>#N/A</v>
      </c>
    </row>
    <row r="1831" spans="1:17">
      <c r="A1831" s="28"/>
      <c r="B1831" s="28"/>
      <c r="C1831" s="28"/>
      <c r="D1831" s="28"/>
      <c r="E1831" s="28"/>
      <c r="F1831" s="28"/>
      <c r="G1831" s="26" t="str">
        <f t="shared" si="224"/>
        <v/>
      </c>
      <c r="H1831" s="26" t="str">
        <f t="shared" si="231"/>
        <v/>
      </c>
      <c r="I1831" s="26" t="str">
        <f t="shared" si="225"/>
        <v/>
      </c>
      <c r="J1831" t="str">
        <f t="shared" si="226"/>
        <v/>
      </c>
      <c r="K1831" s="26" t="str">
        <f t="shared" si="227"/>
        <v/>
      </c>
      <c r="L1831" s="26" t="str">
        <f t="shared" si="228"/>
        <v/>
      </c>
      <c r="P1831" t="e">
        <f t="shared" si="229"/>
        <v>#N/A</v>
      </c>
      <c r="Q1831" t="e">
        <f t="shared" si="230"/>
        <v>#N/A</v>
      </c>
    </row>
    <row r="1832" spans="1:17">
      <c r="A1832" s="28"/>
      <c r="B1832" s="28"/>
      <c r="C1832" s="28"/>
      <c r="D1832" s="28"/>
      <c r="E1832" s="28"/>
      <c r="F1832" s="28"/>
      <c r="G1832" s="26" t="str">
        <f t="shared" si="224"/>
        <v/>
      </c>
      <c r="H1832" s="26" t="str">
        <f t="shared" si="231"/>
        <v/>
      </c>
      <c r="I1832" s="26" t="str">
        <f t="shared" si="225"/>
        <v/>
      </c>
      <c r="J1832" t="str">
        <f t="shared" si="226"/>
        <v/>
      </c>
      <c r="K1832" s="26" t="str">
        <f t="shared" si="227"/>
        <v/>
      </c>
      <c r="L1832" s="26" t="str">
        <f t="shared" si="228"/>
        <v/>
      </c>
      <c r="P1832" t="e">
        <f t="shared" si="229"/>
        <v>#N/A</v>
      </c>
      <c r="Q1832" t="e">
        <f t="shared" si="230"/>
        <v>#N/A</v>
      </c>
    </row>
    <row r="1833" spans="1:17">
      <c r="A1833" s="28"/>
      <c r="B1833" s="28"/>
      <c r="C1833" s="28"/>
      <c r="D1833" s="28"/>
      <c r="E1833" s="28"/>
      <c r="F1833" s="28"/>
      <c r="G1833" s="26" t="str">
        <f t="shared" si="224"/>
        <v/>
      </c>
      <c r="H1833" s="26" t="str">
        <f t="shared" si="231"/>
        <v/>
      </c>
      <c r="I1833" s="26" t="str">
        <f t="shared" si="225"/>
        <v/>
      </c>
      <c r="J1833" t="str">
        <f t="shared" si="226"/>
        <v/>
      </c>
      <c r="K1833" s="26" t="str">
        <f t="shared" si="227"/>
        <v/>
      </c>
      <c r="L1833" s="26" t="str">
        <f t="shared" si="228"/>
        <v/>
      </c>
      <c r="P1833" t="e">
        <f t="shared" si="229"/>
        <v>#N/A</v>
      </c>
      <c r="Q1833" t="e">
        <f t="shared" si="230"/>
        <v>#N/A</v>
      </c>
    </row>
    <row r="1834" spans="1:17">
      <c r="A1834" s="28"/>
      <c r="B1834" s="28"/>
      <c r="C1834" s="28"/>
      <c r="D1834" s="28"/>
      <c r="E1834" s="28"/>
      <c r="F1834" s="28"/>
      <c r="G1834" s="26" t="str">
        <f t="shared" si="224"/>
        <v/>
      </c>
      <c r="H1834" s="26" t="str">
        <f t="shared" si="231"/>
        <v/>
      </c>
      <c r="I1834" s="26" t="str">
        <f t="shared" si="225"/>
        <v/>
      </c>
      <c r="J1834" t="str">
        <f t="shared" si="226"/>
        <v/>
      </c>
      <c r="K1834" s="26" t="str">
        <f t="shared" si="227"/>
        <v/>
      </c>
      <c r="L1834" s="26" t="str">
        <f t="shared" si="228"/>
        <v/>
      </c>
      <c r="P1834" t="e">
        <f t="shared" si="229"/>
        <v>#N/A</v>
      </c>
      <c r="Q1834" t="e">
        <f t="shared" si="230"/>
        <v>#N/A</v>
      </c>
    </row>
    <row r="1835" spans="1:17">
      <c r="A1835" s="28"/>
      <c r="B1835" s="28"/>
      <c r="C1835" s="28"/>
      <c r="D1835" s="28"/>
      <c r="E1835" s="28"/>
      <c r="F1835" s="28"/>
      <c r="G1835" s="26" t="str">
        <f t="shared" si="224"/>
        <v/>
      </c>
      <c r="H1835" s="26" t="str">
        <f t="shared" si="231"/>
        <v/>
      </c>
      <c r="I1835" s="26" t="str">
        <f t="shared" si="225"/>
        <v/>
      </c>
      <c r="J1835" t="str">
        <f t="shared" si="226"/>
        <v/>
      </c>
      <c r="K1835" s="26" t="str">
        <f t="shared" si="227"/>
        <v/>
      </c>
      <c r="L1835" s="26" t="str">
        <f t="shared" si="228"/>
        <v/>
      </c>
      <c r="P1835" t="e">
        <f t="shared" si="229"/>
        <v>#N/A</v>
      </c>
      <c r="Q1835" t="e">
        <f t="shared" si="230"/>
        <v>#N/A</v>
      </c>
    </row>
    <row r="1836" spans="1:17">
      <c r="A1836" s="28"/>
      <c r="B1836" s="28"/>
      <c r="C1836" s="28"/>
      <c r="D1836" s="28"/>
      <c r="E1836" s="28"/>
      <c r="F1836" s="28"/>
      <c r="G1836" s="26" t="str">
        <f t="shared" si="224"/>
        <v/>
      </c>
      <c r="H1836" s="26" t="str">
        <f t="shared" si="231"/>
        <v/>
      </c>
      <c r="I1836" s="26" t="str">
        <f t="shared" si="225"/>
        <v/>
      </c>
      <c r="J1836" t="str">
        <f t="shared" si="226"/>
        <v/>
      </c>
      <c r="K1836" s="26" t="str">
        <f t="shared" si="227"/>
        <v/>
      </c>
      <c r="L1836" s="26" t="str">
        <f t="shared" si="228"/>
        <v/>
      </c>
      <c r="P1836" t="e">
        <f t="shared" si="229"/>
        <v>#N/A</v>
      </c>
      <c r="Q1836" t="e">
        <f t="shared" si="230"/>
        <v>#N/A</v>
      </c>
    </row>
    <row r="1837" spans="1:17">
      <c r="A1837" s="28"/>
      <c r="B1837" s="28"/>
      <c r="C1837" s="28"/>
      <c r="D1837" s="28"/>
      <c r="E1837" s="28"/>
      <c r="F1837" s="28"/>
      <c r="G1837" s="26" t="str">
        <f t="shared" si="224"/>
        <v/>
      </c>
      <c r="H1837" s="26" t="str">
        <f t="shared" si="231"/>
        <v/>
      </c>
      <c r="I1837" s="26" t="str">
        <f t="shared" si="225"/>
        <v/>
      </c>
      <c r="J1837" t="str">
        <f t="shared" si="226"/>
        <v/>
      </c>
      <c r="K1837" s="26" t="str">
        <f t="shared" si="227"/>
        <v/>
      </c>
      <c r="L1837" s="26" t="str">
        <f t="shared" si="228"/>
        <v/>
      </c>
      <c r="P1837" t="e">
        <f t="shared" si="229"/>
        <v>#N/A</v>
      </c>
      <c r="Q1837" t="e">
        <f t="shared" si="230"/>
        <v>#N/A</v>
      </c>
    </row>
    <row r="1838" spans="1:17">
      <c r="A1838" s="28"/>
      <c r="B1838" s="28"/>
      <c r="C1838" s="28"/>
      <c r="D1838" s="28"/>
      <c r="E1838" s="28"/>
      <c r="F1838" s="28"/>
      <c r="G1838" s="26" t="str">
        <f t="shared" si="224"/>
        <v/>
      </c>
      <c r="H1838" s="26" t="str">
        <f t="shared" si="231"/>
        <v/>
      </c>
      <c r="I1838" s="26" t="str">
        <f t="shared" si="225"/>
        <v/>
      </c>
      <c r="J1838" t="str">
        <f t="shared" si="226"/>
        <v/>
      </c>
      <c r="K1838" s="26" t="str">
        <f t="shared" si="227"/>
        <v/>
      </c>
      <c r="L1838" s="26" t="str">
        <f t="shared" si="228"/>
        <v/>
      </c>
      <c r="P1838" t="e">
        <f t="shared" si="229"/>
        <v>#N/A</v>
      </c>
      <c r="Q1838" t="e">
        <f t="shared" si="230"/>
        <v>#N/A</v>
      </c>
    </row>
    <row r="1839" spans="1:17">
      <c r="A1839" s="28"/>
      <c r="B1839" s="28"/>
      <c r="C1839" s="28"/>
      <c r="D1839" s="28"/>
      <c r="E1839" s="28"/>
      <c r="F1839" s="28"/>
      <c r="G1839" s="26" t="str">
        <f t="shared" si="224"/>
        <v/>
      </c>
      <c r="H1839" s="26" t="str">
        <f t="shared" si="231"/>
        <v/>
      </c>
      <c r="I1839" s="26" t="str">
        <f t="shared" si="225"/>
        <v/>
      </c>
      <c r="J1839" t="str">
        <f t="shared" si="226"/>
        <v/>
      </c>
      <c r="K1839" s="26" t="str">
        <f t="shared" si="227"/>
        <v/>
      </c>
      <c r="L1839" s="26" t="str">
        <f t="shared" si="228"/>
        <v/>
      </c>
      <c r="P1839" t="e">
        <f t="shared" si="229"/>
        <v>#N/A</v>
      </c>
      <c r="Q1839" t="e">
        <f t="shared" si="230"/>
        <v>#N/A</v>
      </c>
    </row>
    <row r="1840" spans="1:17">
      <c r="A1840" s="28"/>
      <c r="B1840" s="28"/>
      <c r="C1840" s="28"/>
      <c r="D1840" s="28"/>
      <c r="E1840" s="28"/>
      <c r="F1840" s="28"/>
      <c r="G1840" s="26" t="str">
        <f t="shared" si="224"/>
        <v/>
      </c>
      <c r="H1840" s="26" t="str">
        <f t="shared" si="231"/>
        <v/>
      </c>
      <c r="I1840" s="26" t="str">
        <f t="shared" si="225"/>
        <v/>
      </c>
      <c r="J1840" t="str">
        <f t="shared" si="226"/>
        <v/>
      </c>
      <c r="K1840" s="26" t="str">
        <f t="shared" si="227"/>
        <v/>
      </c>
      <c r="L1840" s="26" t="str">
        <f t="shared" si="228"/>
        <v/>
      </c>
      <c r="P1840" t="e">
        <f t="shared" si="229"/>
        <v>#N/A</v>
      </c>
      <c r="Q1840" t="e">
        <f t="shared" si="230"/>
        <v>#N/A</v>
      </c>
    </row>
    <row r="1841" spans="1:17">
      <c r="A1841" s="28"/>
      <c r="B1841" s="28"/>
      <c r="C1841" s="28"/>
      <c r="D1841" s="28"/>
      <c r="E1841" s="28"/>
      <c r="F1841" s="28"/>
      <c r="G1841" s="26" t="str">
        <f t="shared" si="224"/>
        <v/>
      </c>
      <c r="H1841" s="26" t="str">
        <f t="shared" si="231"/>
        <v/>
      </c>
      <c r="I1841" s="26" t="str">
        <f t="shared" si="225"/>
        <v/>
      </c>
      <c r="J1841" t="str">
        <f t="shared" si="226"/>
        <v/>
      </c>
      <c r="K1841" s="26" t="str">
        <f t="shared" si="227"/>
        <v/>
      </c>
      <c r="L1841" s="26" t="str">
        <f t="shared" si="228"/>
        <v/>
      </c>
      <c r="P1841" t="e">
        <f t="shared" si="229"/>
        <v>#N/A</v>
      </c>
      <c r="Q1841" t="e">
        <f t="shared" si="230"/>
        <v>#N/A</v>
      </c>
    </row>
    <row r="1842" spans="1:17">
      <c r="A1842" s="28"/>
      <c r="B1842" s="28"/>
      <c r="C1842" s="28"/>
      <c r="D1842" s="28"/>
      <c r="E1842" s="28"/>
      <c r="F1842" s="28"/>
      <c r="G1842" s="26" t="str">
        <f t="shared" si="224"/>
        <v/>
      </c>
      <c r="H1842" s="26" t="str">
        <f t="shared" si="231"/>
        <v/>
      </c>
      <c r="I1842" s="26" t="str">
        <f t="shared" si="225"/>
        <v/>
      </c>
      <c r="J1842" t="str">
        <f t="shared" si="226"/>
        <v/>
      </c>
      <c r="K1842" s="26" t="str">
        <f t="shared" si="227"/>
        <v/>
      </c>
      <c r="L1842" s="26" t="str">
        <f t="shared" si="228"/>
        <v/>
      </c>
      <c r="P1842" t="e">
        <f t="shared" si="229"/>
        <v>#N/A</v>
      </c>
      <c r="Q1842" t="e">
        <f t="shared" si="230"/>
        <v>#N/A</v>
      </c>
    </row>
    <row r="1843" spans="1:17">
      <c r="A1843" s="28"/>
      <c r="B1843" s="28"/>
      <c r="C1843" s="28"/>
      <c r="D1843" s="28"/>
      <c r="E1843" s="28"/>
      <c r="F1843" s="28"/>
      <c r="G1843" s="26" t="str">
        <f t="shared" si="224"/>
        <v/>
      </c>
      <c r="H1843" s="26" t="str">
        <f t="shared" si="231"/>
        <v/>
      </c>
      <c r="I1843" s="26" t="str">
        <f t="shared" si="225"/>
        <v/>
      </c>
      <c r="J1843" t="str">
        <f t="shared" si="226"/>
        <v/>
      </c>
      <c r="K1843" s="26" t="str">
        <f t="shared" si="227"/>
        <v/>
      </c>
      <c r="L1843" s="26" t="str">
        <f t="shared" si="228"/>
        <v/>
      </c>
      <c r="P1843" t="e">
        <f t="shared" si="229"/>
        <v>#N/A</v>
      </c>
      <c r="Q1843" t="e">
        <f t="shared" si="230"/>
        <v>#N/A</v>
      </c>
    </row>
    <row r="1844" spans="1:17">
      <c r="A1844" s="28"/>
      <c r="B1844" s="28"/>
      <c r="C1844" s="28"/>
      <c r="D1844" s="28"/>
      <c r="E1844" s="28"/>
      <c r="F1844" s="28"/>
      <c r="G1844" s="26" t="str">
        <f t="shared" si="224"/>
        <v/>
      </c>
      <c r="H1844" s="26" t="str">
        <f t="shared" si="231"/>
        <v/>
      </c>
      <c r="I1844" s="26" t="str">
        <f t="shared" si="225"/>
        <v/>
      </c>
      <c r="J1844" t="str">
        <f t="shared" si="226"/>
        <v/>
      </c>
      <c r="K1844" s="26" t="str">
        <f t="shared" si="227"/>
        <v/>
      </c>
      <c r="L1844" s="26" t="str">
        <f t="shared" si="228"/>
        <v/>
      </c>
      <c r="P1844" t="e">
        <f t="shared" si="229"/>
        <v>#N/A</v>
      </c>
      <c r="Q1844" t="e">
        <f t="shared" si="230"/>
        <v>#N/A</v>
      </c>
    </row>
    <row r="1845" spans="1:17">
      <c r="A1845" s="28"/>
      <c r="B1845" s="28"/>
      <c r="C1845" s="28"/>
      <c r="D1845" s="28"/>
      <c r="E1845" s="28"/>
      <c r="F1845" s="28"/>
      <c r="G1845" s="26" t="str">
        <f t="shared" si="224"/>
        <v/>
      </c>
      <c r="H1845" s="26" t="str">
        <f t="shared" si="231"/>
        <v/>
      </c>
      <c r="I1845" s="26" t="str">
        <f t="shared" si="225"/>
        <v/>
      </c>
      <c r="J1845" t="str">
        <f t="shared" si="226"/>
        <v/>
      </c>
      <c r="K1845" s="26" t="str">
        <f t="shared" si="227"/>
        <v/>
      </c>
      <c r="L1845" s="26" t="str">
        <f t="shared" si="228"/>
        <v/>
      </c>
      <c r="P1845" t="e">
        <f t="shared" si="229"/>
        <v>#N/A</v>
      </c>
      <c r="Q1845" t="e">
        <f t="shared" si="230"/>
        <v>#N/A</v>
      </c>
    </row>
    <row r="1846" spans="1:17">
      <c r="A1846" s="28"/>
      <c r="B1846" s="28"/>
      <c r="C1846" s="28"/>
      <c r="D1846" s="28"/>
      <c r="E1846" s="28"/>
      <c r="F1846" s="28"/>
      <c r="G1846" s="26" t="str">
        <f t="shared" si="224"/>
        <v/>
      </c>
      <c r="H1846" s="26" t="str">
        <f t="shared" si="231"/>
        <v/>
      </c>
      <c r="I1846" s="26" t="str">
        <f t="shared" si="225"/>
        <v/>
      </c>
      <c r="J1846" t="str">
        <f t="shared" si="226"/>
        <v/>
      </c>
      <c r="K1846" s="26" t="str">
        <f t="shared" si="227"/>
        <v/>
      </c>
      <c r="L1846" s="26" t="str">
        <f t="shared" si="228"/>
        <v/>
      </c>
      <c r="P1846" t="e">
        <f t="shared" si="229"/>
        <v>#N/A</v>
      </c>
      <c r="Q1846" t="e">
        <f t="shared" si="230"/>
        <v>#N/A</v>
      </c>
    </row>
    <row r="1847" spans="1:17">
      <c r="A1847" s="28"/>
      <c r="B1847" s="28"/>
      <c r="C1847" s="28"/>
      <c r="D1847" s="28"/>
      <c r="E1847" s="28"/>
      <c r="F1847" s="28"/>
      <c r="G1847" s="26" t="str">
        <f t="shared" si="224"/>
        <v/>
      </c>
      <c r="H1847" s="26" t="str">
        <f t="shared" si="231"/>
        <v/>
      </c>
      <c r="I1847" s="26" t="str">
        <f t="shared" si="225"/>
        <v/>
      </c>
      <c r="J1847" t="str">
        <f t="shared" si="226"/>
        <v/>
      </c>
      <c r="K1847" s="26" t="str">
        <f t="shared" si="227"/>
        <v/>
      </c>
      <c r="L1847" s="26" t="str">
        <f t="shared" si="228"/>
        <v/>
      </c>
      <c r="P1847" t="e">
        <f t="shared" si="229"/>
        <v>#N/A</v>
      </c>
      <c r="Q1847" t="e">
        <f t="shared" si="230"/>
        <v>#N/A</v>
      </c>
    </row>
    <row r="1848" spans="1:17">
      <c r="A1848" s="28"/>
      <c r="B1848" s="28"/>
      <c r="C1848" s="28"/>
      <c r="D1848" s="28"/>
      <c r="E1848" s="28"/>
      <c r="F1848" s="28"/>
      <c r="G1848" s="26" t="str">
        <f t="shared" si="224"/>
        <v/>
      </c>
      <c r="H1848" s="26" t="str">
        <f t="shared" si="231"/>
        <v/>
      </c>
      <c r="I1848" s="26" t="str">
        <f t="shared" si="225"/>
        <v/>
      </c>
      <c r="J1848" t="str">
        <f t="shared" si="226"/>
        <v/>
      </c>
      <c r="K1848" s="26" t="str">
        <f t="shared" si="227"/>
        <v/>
      </c>
      <c r="L1848" s="26" t="str">
        <f t="shared" si="228"/>
        <v/>
      </c>
      <c r="P1848" t="e">
        <f t="shared" si="229"/>
        <v>#N/A</v>
      </c>
      <c r="Q1848" t="e">
        <f t="shared" si="230"/>
        <v>#N/A</v>
      </c>
    </row>
    <row r="1849" spans="1:17">
      <c r="A1849" s="28"/>
      <c r="B1849" s="28"/>
      <c r="C1849" s="28"/>
      <c r="D1849" s="28"/>
      <c r="E1849" s="28"/>
      <c r="F1849" s="28"/>
      <c r="G1849" s="26" t="str">
        <f t="shared" si="224"/>
        <v/>
      </c>
      <c r="H1849" s="26" t="str">
        <f t="shared" si="231"/>
        <v/>
      </c>
      <c r="I1849" s="26" t="str">
        <f t="shared" si="225"/>
        <v/>
      </c>
      <c r="J1849" t="str">
        <f t="shared" si="226"/>
        <v/>
      </c>
      <c r="K1849" s="26" t="str">
        <f t="shared" si="227"/>
        <v/>
      </c>
      <c r="L1849" s="26" t="str">
        <f t="shared" si="228"/>
        <v/>
      </c>
      <c r="P1849" t="e">
        <f t="shared" si="229"/>
        <v>#N/A</v>
      </c>
      <c r="Q1849" t="e">
        <f t="shared" si="230"/>
        <v>#N/A</v>
      </c>
    </row>
    <row r="1850" spans="1:17">
      <c r="A1850" s="28"/>
      <c r="B1850" s="28"/>
      <c r="C1850" s="28"/>
      <c r="D1850" s="28"/>
      <c r="E1850" s="28"/>
      <c r="F1850" s="28"/>
      <c r="G1850" s="26" t="str">
        <f t="shared" si="224"/>
        <v/>
      </c>
      <c r="H1850" s="26" t="str">
        <f t="shared" si="231"/>
        <v/>
      </c>
      <c r="I1850" s="26" t="str">
        <f t="shared" si="225"/>
        <v/>
      </c>
      <c r="J1850" t="str">
        <f t="shared" si="226"/>
        <v/>
      </c>
      <c r="K1850" s="26" t="str">
        <f t="shared" si="227"/>
        <v/>
      </c>
      <c r="L1850" s="26" t="str">
        <f t="shared" si="228"/>
        <v/>
      </c>
      <c r="P1850" t="e">
        <f t="shared" si="229"/>
        <v>#N/A</v>
      </c>
      <c r="Q1850" t="e">
        <f t="shared" si="230"/>
        <v>#N/A</v>
      </c>
    </row>
    <row r="1851" spans="1:17">
      <c r="A1851" s="28"/>
      <c r="B1851" s="28"/>
      <c r="C1851" s="28"/>
      <c r="D1851" s="28"/>
      <c r="E1851" s="28"/>
      <c r="F1851" s="28"/>
      <c r="G1851" s="26" t="str">
        <f t="shared" si="224"/>
        <v/>
      </c>
      <c r="H1851" s="26" t="str">
        <f t="shared" si="231"/>
        <v/>
      </c>
      <c r="I1851" s="26" t="str">
        <f t="shared" si="225"/>
        <v/>
      </c>
      <c r="J1851" t="str">
        <f t="shared" si="226"/>
        <v/>
      </c>
      <c r="K1851" s="26" t="str">
        <f t="shared" si="227"/>
        <v/>
      </c>
      <c r="L1851" s="26" t="str">
        <f t="shared" si="228"/>
        <v/>
      </c>
      <c r="P1851" t="e">
        <f t="shared" si="229"/>
        <v>#N/A</v>
      </c>
      <c r="Q1851" t="e">
        <f t="shared" si="230"/>
        <v>#N/A</v>
      </c>
    </row>
    <row r="1852" spans="1:17">
      <c r="A1852" s="28"/>
      <c r="B1852" s="28"/>
      <c r="C1852" s="28"/>
      <c r="D1852" s="28"/>
      <c r="E1852" s="28"/>
      <c r="F1852" s="28"/>
      <c r="G1852" s="26" t="str">
        <f t="shared" si="224"/>
        <v/>
      </c>
      <c r="H1852" s="26" t="str">
        <f t="shared" si="231"/>
        <v/>
      </c>
      <c r="I1852" s="26" t="str">
        <f t="shared" si="225"/>
        <v/>
      </c>
      <c r="J1852" t="str">
        <f t="shared" si="226"/>
        <v/>
      </c>
      <c r="K1852" s="26" t="str">
        <f t="shared" si="227"/>
        <v/>
      </c>
      <c r="L1852" s="26" t="str">
        <f t="shared" si="228"/>
        <v/>
      </c>
      <c r="P1852" t="e">
        <f t="shared" si="229"/>
        <v>#N/A</v>
      </c>
      <c r="Q1852" t="e">
        <f t="shared" si="230"/>
        <v>#N/A</v>
      </c>
    </row>
    <row r="1853" spans="1:17">
      <c r="A1853" s="28"/>
      <c r="B1853" s="28"/>
      <c r="C1853" s="28"/>
      <c r="D1853" s="28"/>
      <c r="E1853" s="28"/>
      <c r="F1853" s="28"/>
      <c r="G1853" s="26" t="str">
        <f t="shared" si="224"/>
        <v/>
      </c>
      <c r="H1853" s="26" t="str">
        <f t="shared" si="231"/>
        <v/>
      </c>
      <c r="I1853" s="26" t="str">
        <f t="shared" si="225"/>
        <v/>
      </c>
      <c r="J1853" t="str">
        <f t="shared" si="226"/>
        <v/>
      </c>
      <c r="K1853" s="26" t="str">
        <f t="shared" si="227"/>
        <v/>
      </c>
      <c r="L1853" s="26" t="str">
        <f t="shared" si="228"/>
        <v/>
      </c>
      <c r="P1853" t="e">
        <f t="shared" si="229"/>
        <v>#N/A</v>
      </c>
      <c r="Q1853" t="e">
        <f t="shared" si="230"/>
        <v>#N/A</v>
      </c>
    </row>
    <row r="1854" spans="1:17">
      <c r="A1854" s="28"/>
      <c r="B1854" s="28"/>
      <c r="C1854" s="28"/>
      <c r="D1854" s="28"/>
      <c r="E1854" s="28"/>
      <c r="F1854" s="28"/>
      <c r="G1854" s="26" t="str">
        <f t="shared" si="224"/>
        <v/>
      </c>
      <c r="H1854" s="26" t="str">
        <f t="shared" si="231"/>
        <v/>
      </c>
      <c r="I1854" s="26" t="str">
        <f t="shared" si="225"/>
        <v/>
      </c>
      <c r="J1854" t="str">
        <f t="shared" si="226"/>
        <v/>
      </c>
      <c r="K1854" s="26" t="str">
        <f t="shared" si="227"/>
        <v/>
      </c>
      <c r="L1854" s="26" t="str">
        <f t="shared" si="228"/>
        <v/>
      </c>
      <c r="P1854" t="e">
        <f t="shared" si="229"/>
        <v>#N/A</v>
      </c>
      <c r="Q1854" t="e">
        <f t="shared" si="230"/>
        <v>#N/A</v>
      </c>
    </row>
    <row r="1855" spans="1:17">
      <c r="A1855" s="28"/>
      <c r="B1855" s="28"/>
      <c r="C1855" s="28"/>
      <c r="D1855" s="28"/>
      <c r="E1855" s="28"/>
      <c r="F1855" s="28"/>
      <c r="G1855" s="26" t="str">
        <f t="shared" si="224"/>
        <v/>
      </c>
      <c r="H1855" s="26" t="str">
        <f t="shared" si="231"/>
        <v/>
      </c>
      <c r="I1855" s="26" t="str">
        <f t="shared" si="225"/>
        <v/>
      </c>
      <c r="J1855" t="str">
        <f t="shared" si="226"/>
        <v/>
      </c>
      <c r="K1855" s="26" t="str">
        <f t="shared" si="227"/>
        <v/>
      </c>
      <c r="L1855" s="26" t="str">
        <f t="shared" si="228"/>
        <v/>
      </c>
      <c r="P1855" t="e">
        <f t="shared" si="229"/>
        <v>#N/A</v>
      </c>
      <c r="Q1855" t="e">
        <f t="shared" si="230"/>
        <v>#N/A</v>
      </c>
    </row>
    <row r="1856" spans="1:17">
      <c r="A1856" s="28"/>
      <c r="B1856" s="28"/>
      <c r="C1856" s="28"/>
      <c r="D1856" s="28"/>
      <c r="E1856" s="28"/>
      <c r="F1856" s="28"/>
      <c r="G1856" s="26" t="str">
        <f t="shared" si="224"/>
        <v/>
      </c>
      <c r="H1856" s="26" t="str">
        <f t="shared" si="231"/>
        <v/>
      </c>
      <c r="I1856" s="26" t="str">
        <f t="shared" si="225"/>
        <v/>
      </c>
      <c r="J1856" t="str">
        <f t="shared" si="226"/>
        <v/>
      </c>
      <c r="K1856" s="26" t="str">
        <f t="shared" si="227"/>
        <v/>
      </c>
      <c r="L1856" s="26" t="str">
        <f t="shared" si="228"/>
        <v/>
      </c>
      <c r="P1856" t="e">
        <f t="shared" si="229"/>
        <v>#N/A</v>
      </c>
      <c r="Q1856" t="e">
        <f t="shared" si="230"/>
        <v>#N/A</v>
      </c>
    </row>
    <row r="1857" spans="1:17">
      <c r="A1857" s="28"/>
      <c r="B1857" s="28"/>
      <c r="C1857" s="28"/>
      <c r="D1857" s="28"/>
      <c r="E1857" s="28"/>
      <c r="F1857" s="28"/>
      <c r="G1857" s="26" t="str">
        <f t="shared" si="224"/>
        <v/>
      </c>
      <c r="H1857" s="26" t="str">
        <f t="shared" si="231"/>
        <v/>
      </c>
      <c r="I1857" s="26" t="str">
        <f t="shared" si="225"/>
        <v/>
      </c>
      <c r="J1857" t="str">
        <f t="shared" si="226"/>
        <v/>
      </c>
      <c r="K1857" s="26" t="str">
        <f t="shared" si="227"/>
        <v/>
      </c>
      <c r="L1857" s="26" t="str">
        <f t="shared" si="228"/>
        <v/>
      </c>
      <c r="P1857" t="e">
        <f t="shared" si="229"/>
        <v>#N/A</v>
      </c>
      <c r="Q1857" t="e">
        <f t="shared" si="230"/>
        <v>#N/A</v>
      </c>
    </row>
    <row r="1858" spans="1:17">
      <c r="A1858" s="28"/>
      <c r="B1858" s="28"/>
      <c r="C1858" s="28"/>
      <c r="D1858" s="28"/>
      <c r="E1858" s="28"/>
      <c r="F1858" s="28"/>
      <c r="G1858" s="26" t="str">
        <f t="shared" ref="G1858:G1921" si="232">IF(B1858="","",243.04*(LN(C1858/100)+17.625*B1858/(243.04+B1858))/(17.625-LN(C1858/100)-17.625*B1858/(243.04+B1858)))</f>
        <v/>
      </c>
      <c r="H1858" s="26" t="str">
        <f t="shared" si="231"/>
        <v/>
      </c>
      <c r="I1858" s="26" t="str">
        <f t="shared" ref="I1858:I1921" si="233">IF(B1858="","",B1858-E1858)</f>
        <v/>
      </c>
      <c r="J1858" t="str">
        <f t="shared" ref="J1858:J1921" si="234">IF(H1858="","",IF(H1858&gt;0.6,"Heating",IF(H1858&lt;-0.2,"Cooling","Steady")))</f>
        <v/>
      </c>
      <c r="K1858" s="26" t="str">
        <f t="shared" ref="K1858:K1921" si="235">IF(J1858="Cooling",I1858,"")</f>
        <v/>
      </c>
      <c r="L1858" s="26" t="str">
        <f t="shared" ref="L1858:L1921" si="236">IF(J1858="Cooling",H1858,"")</f>
        <v/>
      </c>
      <c r="P1858" t="e">
        <f t="shared" ref="P1858:P1921" si="237">IF(K1858="",NA(),K1858)</f>
        <v>#N/A</v>
      </c>
      <c r="Q1858" t="e">
        <f t="shared" ref="Q1858:Q1921" si="238">IF(L1858="",NA(),L1858)</f>
        <v>#N/A</v>
      </c>
    </row>
    <row r="1859" spans="1:17">
      <c r="A1859" s="28"/>
      <c r="B1859" s="28"/>
      <c r="C1859" s="28"/>
      <c r="D1859" s="28"/>
      <c r="E1859" s="28"/>
      <c r="F1859" s="28"/>
      <c r="G1859" s="26" t="str">
        <f t="shared" si="232"/>
        <v/>
      </c>
      <c r="H1859" s="26" t="str">
        <f t="shared" si="231"/>
        <v/>
      </c>
      <c r="I1859" s="26" t="str">
        <f t="shared" si="233"/>
        <v/>
      </c>
      <c r="J1859" t="str">
        <f t="shared" si="234"/>
        <v/>
      </c>
      <c r="K1859" s="26" t="str">
        <f t="shared" si="235"/>
        <v/>
      </c>
      <c r="L1859" s="26" t="str">
        <f t="shared" si="236"/>
        <v/>
      </c>
      <c r="P1859" t="e">
        <f t="shared" si="237"/>
        <v>#N/A</v>
      </c>
      <c r="Q1859" t="e">
        <f t="shared" si="238"/>
        <v>#N/A</v>
      </c>
    </row>
    <row r="1860" spans="1:17">
      <c r="A1860" s="28"/>
      <c r="B1860" s="28"/>
      <c r="C1860" s="28"/>
      <c r="D1860" s="28"/>
      <c r="E1860" s="28"/>
      <c r="F1860" s="28"/>
      <c r="G1860" s="26" t="str">
        <f t="shared" si="232"/>
        <v/>
      </c>
      <c r="H1860" s="26" t="str">
        <f t="shared" ref="H1860:H1923" si="239">IFERROR(IF(OR(B1858="",B1862=""),"",(B1862-B1858)/4*60),"")</f>
        <v/>
      </c>
      <c r="I1860" s="26" t="str">
        <f t="shared" si="233"/>
        <v/>
      </c>
      <c r="J1860" t="str">
        <f t="shared" si="234"/>
        <v/>
      </c>
      <c r="K1860" s="26" t="str">
        <f t="shared" si="235"/>
        <v/>
      </c>
      <c r="L1860" s="26" t="str">
        <f t="shared" si="236"/>
        <v/>
      </c>
      <c r="P1860" t="e">
        <f t="shared" si="237"/>
        <v>#N/A</v>
      </c>
      <c r="Q1860" t="e">
        <f t="shared" si="238"/>
        <v>#N/A</v>
      </c>
    </row>
    <row r="1861" spans="1:17">
      <c r="A1861" s="28"/>
      <c r="B1861" s="28"/>
      <c r="C1861" s="28"/>
      <c r="D1861" s="28"/>
      <c r="E1861" s="28"/>
      <c r="F1861" s="28"/>
      <c r="G1861" s="26" t="str">
        <f t="shared" si="232"/>
        <v/>
      </c>
      <c r="H1861" s="26" t="str">
        <f t="shared" si="239"/>
        <v/>
      </c>
      <c r="I1861" s="26" t="str">
        <f t="shared" si="233"/>
        <v/>
      </c>
      <c r="J1861" t="str">
        <f t="shared" si="234"/>
        <v/>
      </c>
      <c r="K1861" s="26" t="str">
        <f t="shared" si="235"/>
        <v/>
      </c>
      <c r="L1861" s="26" t="str">
        <f t="shared" si="236"/>
        <v/>
      </c>
      <c r="P1861" t="e">
        <f t="shared" si="237"/>
        <v>#N/A</v>
      </c>
      <c r="Q1861" t="e">
        <f t="shared" si="238"/>
        <v>#N/A</v>
      </c>
    </row>
    <row r="1862" spans="1:17">
      <c r="A1862" s="28"/>
      <c r="B1862" s="28"/>
      <c r="C1862" s="28"/>
      <c r="D1862" s="28"/>
      <c r="E1862" s="28"/>
      <c r="F1862" s="28"/>
      <c r="G1862" s="26" t="str">
        <f t="shared" si="232"/>
        <v/>
      </c>
      <c r="H1862" s="26" t="str">
        <f t="shared" si="239"/>
        <v/>
      </c>
      <c r="I1862" s="26" t="str">
        <f t="shared" si="233"/>
        <v/>
      </c>
      <c r="J1862" t="str">
        <f t="shared" si="234"/>
        <v/>
      </c>
      <c r="K1862" s="26" t="str">
        <f t="shared" si="235"/>
        <v/>
      </c>
      <c r="L1862" s="26" t="str">
        <f t="shared" si="236"/>
        <v/>
      </c>
      <c r="P1862" t="e">
        <f t="shared" si="237"/>
        <v>#N/A</v>
      </c>
      <c r="Q1862" t="e">
        <f t="shared" si="238"/>
        <v>#N/A</v>
      </c>
    </row>
    <row r="1863" spans="1:17">
      <c r="A1863" s="28"/>
      <c r="B1863" s="28"/>
      <c r="C1863" s="28"/>
      <c r="D1863" s="28"/>
      <c r="E1863" s="28"/>
      <c r="F1863" s="28"/>
      <c r="G1863" s="26" t="str">
        <f t="shared" si="232"/>
        <v/>
      </c>
      <c r="H1863" s="26" t="str">
        <f t="shared" si="239"/>
        <v/>
      </c>
      <c r="I1863" s="26" t="str">
        <f t="shared" si="233"/>
        <v/>
      </c>
      <c r="J1863" t="str">
        <f t="shared" si="234"/>
        <v/>
      </c>
      <c r="K1863" s="26" t="str">
        <f t="shared" si="235"/>
        <v/>
      </c>
      <c r="L1863" s="26" t="str">
        <f t="shared" si="236"/>
        <v/>
      </c>
      <c r="P1863" t="e">
        <f t="shared" si="237"/>
        <v>#N/A</v>
      </c>
      <c r="Q1863" t="e">
        <f t="shared" si="238"/>
        <v>#N/A</v>
      </c>
    </row>
    <row r="1864" spans="1:17">
      <c r="A1864" s="28"/>
      <c r="B1864" s="28"/>
      <c r="C1864" s="28"/>
      <c r="D1864" s="28"/>
      <c r="E1864" s="28"/>
      <c r="F1864" s="28"/>
      <c r="G1864" s="26" t="str">
        <f t="shared" si="232"/>
        <v/>
      </c>
      <c r="H1864" s="26" t="str">
        <f t="shared" si="239"/>
        <v/>
      </c>
      <c r="I1864" s="26" t="str">
        <f t="shared" si="233"/>
        <v/>
      </c>
      <c r="J1864" t="str">
        <f t="shared" si="234"/>
        <v/>
      </c>
      <c r="K1864" s="26" t="str">
        <f t="shared" si="235"/>
        <v/>
      </c>
      <c r="L1864" s="26" t="str">
        <f t="shared" si="236"/>
        <v/>
      </c>
      <c r="P1864" t="e">
        <f t="shared" si="237"/>
        <v>#N/A</v>
      </c>
      <c r="Q1864" t="e">
        <f t="shared" si="238"/>
        <v>#N/A</v>
      </c>
    </row>
    <row r="1865" spans="1:17">
      <c r="A1865" s="28"/>
      <c r="B1865" s="28"/>
      <c r="C1865" s="28"/>
      <c r="D1865" s="28"/>
      <c r="E1865" s="28"/>
      <c r="F1865" s="28"/>
      <c r="G1865" s="26" t="str">
        <f t="shared" si="232"/>
        <v/>
      </c>
      <c r="H1865" s="26" t="str">
        <f t="shared" si="239"/>
        <v/>
      </c>
      <c r="I1865" s="26" t="str">
        <f t="shared" si="233"/>
        <v/>
      </c>
      <c r="J1865" t="str">
        <f t="shared" si="234"/>
        <v/>
      </c>
      <c r="K1865" s="26" t="str">
        <f t="shared" si="235"/>
        <v/>
      </c>
      <c r="L1865" s="26" t="str">
        <f t="shared" si="236"/>
        <v/>
      </c>
      <c r="P1865" t="e">
        <f t="shared" si="237"/>
        <v>#N/A</v>
      </c>
      <c r="Q1865" t="e">
        <f t="shared" si="238"/>
        <v>#N/A</v>
      </c>
    </row>
    <row r="1866" spans="1:17">
      <c r="A1866" s="28"/>
      <c r="B1866" s="28"/>
      <c r="C1866" s="28"/>
      <c r="D1866" s="28"/>
      <c r="E1866" s="28"/>
      <c r="F1866" s="28"/>
      <c r="G1866" s="26" t="str">
        <f t="shared" si="232"/>
        <v/>
      </c>
      <c r="H1866" s="26" t="str">
        <f t="shared" si="239"/>
        <v/>
      </c>
      <c r="I1866" s="26" t="str">
        <f t="shared" si="233"/>
        <v/>
      </c>
      <c r="J1866" t="str">
        <f t="shared" si="234"/>
        <v/>
      </c>
      <c r="K1866" s="26" t="str">
        <f t="shared" si="235"/>
        <v/>
      </c>
      <c r="L1866" s="26" t="str">
        <f t="shared" si="236"/>
        <v/>
      </c>
      <c r="P1866" t="e">
        <f t="shared" si="237"/>
        <v>#N/A</v>
      </c>
      <c r="Q1866" t="e">
        <f t="shared" si="238"/>
        <v>#N/A</v>
      </c>
    </row>
    <row r="1867" spans="1:17">
      <c r="A1867" s="28"/>
      <c r="B1867" s="28"/>
      <c r="C1867" s="28"/>
      <c r="D1867" s="28"/>
      <c r="E1867" s="28"/>
      <c r="F1867" s="28"/>
      <c r="G1867" s="26" t="str">
        <f t="shared" si="232"/>
        <v/>
      </c>
      <c r="H1867" s="26" t="str">
        <f t="shared" si="239"/>
        <v/>
      </c>
      <c r="I1867" s="26" t="str">
        <f t="shared" si="233"/>
        <v/>
      </c>
      <c r="J1867" t="str">
        <f t="shared" si="234"/>
        <v/>
      </c>
      <c r="K1867" s="26" t="str">
        <f t="shared" si="235"/>
        <v/>
      </c>
      <c r="L1867" s="26" t="str">
        <f t="shared" si="236"/>
        <v/>
      </c>
      <c r="P1867" t="e">
        <f t="shared" si="237"/>
        <v>#N/A</v>
      </c>
      <c r="Q1867" t="e">
        <f t="shared" si="238"/>
        <v>#N/A</v>
      </c>
    </row>
    <row r="1868" spans="1:17">
      <c r="A1868" s="28"/>
      <c r="B1868" s="28"/>
      <c r="C1868" s="28"/>
      <c r="D1868" s="28"/>
      <c r="E1868" s="28"/>
      <c r="F1868" s="28"/>
      <c r="G1868" s="26" t="str">
        <f t="shared" si="232"/>
        <v/>
      </c>
      <c r="H1868" s="26" t="str">
        <f t="shared" si="239"/>
        <v/>
      </c>
      <c r="I1868" s="26" t="str">
        <f t="shared" si="233"/>
        <v/>
      </c>
      <c r="J1868" t="str">
        <f t="shared" si="234"/>
        <v/>
      </c>
      <c r="K1868" s="26" t="str">
        <f t="shared" si="235"/>
        <v/>
      </c>
      <c r="L1868" s="26" t="str">
        <f t="shared" si="236"/>
        <v/>
      </c>
      <c r="P1868" t="e">
        <f t="shared" si="237"/>
        <v>#N/A</v>
      </c>
      <c r="Q1868" t="e">
        <f t="shared" si="238"/>
        <v>#N/A</v>
      </c>
    </row>
    <row r="1869" spans="1:17">
      <c r="A1869" s="28"/>
      <c r="B1869" s="28"/>
      <c r="C1869" s="28"/>
      <c r="D1869" s="28"/>
      <c r="E1869" s="28"/>
      <c r="F1869" s="28"/>
      <c r="G1869" s="26" t="str">
        <f t="shared" si="232"/>
        <v/>
      </c>
      <c r="H1869" s="26" t="str">
        <f t="shared" si="239"/>
        <v/>
      </c>
      <c r="I1869" s="26" t="str">
        <f t="shared" si="233"/>
        <v/>
      </c>
      <c r="J1869" t="str">
        <f t="shared" si="234"/>
        <v/>
      </c>
      <c r="K1869" s="26" t="str">
        <f t="shared" si="235"/>
        <v/>
      </c>
      <c r="L1869" s="26" t="str">
        <f t="shared" si="236"/>
        <v/>
      </c>
      <c r="P1869" t="e">
        <f t="shared" si="237"/>
        <v>#N/A</v>
      </c>
      <c r="Q1869" t="e">
        <f t="shared" si="238"/>
        <v>#N/A</v>
      </c>
    </row>
    <row r="1870" spans="1:17">
      <c r="A1870" s="28"/>
      <c r="B1870" s="28"/>
      <c r="C1870" s="28"/>
      <c r="D1870" s="28"/>
      <c r="E1870" s="28"/>
      <c r="F1870" s="28"/>
      <c r="G1870" s="26" t="str">
        <f t="shared" si="232"/>
        <v/>
      </c>
      <c r="H1870" s="26" t="str">
        <f t="shared" si="239"/>
        <v/>
      </c>
      <c r="I1870" s="26" t="str">
        <f t="shared" si="233"/>
        <v/>
      </c>
      <c r="J1870" t="str">
        <f t="shared" si="234"/>
        <v/>
      </c>
      <c r="K1870" s="26" t="str">
        <f t="shared" si="235"/>
        <v/>
      </c>
      <c r="L1870" s="26" t="str">
        <f t="shared" si="236"/>
        <v/>
      </c>
      <c r="P1870" t="e">
        <f t="shared" si="237"/>
        <v>#N/A</v>
      </c>
      <c r="Q1870" t="e">
        <f t="shared" si="238"/>
        <v>#N/A</v>
      </c>
    </row>
    <row r="1871" spans="1:17">
      <c r="A1871" s="28"/>
      <c r="B1871" s="28"/>
      <c r="C1871" s="28"/>
      <c r="D1871" s="28"/>
      <c r="E1871" s="28"/>
      <c r="F1871" s="28"/>
      <c r="G1871" s="26" t="str">
        <f t="shared" si="232"/>
        <v/>
      </c>
      <c r="H1871" s="26" t="str">
        <f t="shared" si="239"/>
        <v/>
      </c>
      <c r="I1871" s="26" t="str">
        <f t="shared" si="233"/>
        <v/>
      </c>
      <c r="J1871" t="str">
        <f t="shared" si="234"/>
        <v/>
      </c>
      <c r="K1871" s="26" t="str">
        <f t="shared" si="235"/>
        <v/>
      </c>
      <c r="L1871" s="26" t="str">
        <f t="shared" si="236"/>
        <v/>
      </c>
      <c r="P1871" t="e">
        <f t="shared" si="237"/>
        <v>#N/A</v>
      </c>
      <c r="Q1871" t="e">
        <f t="shared" si="238"/>
        <v>#N/A</v>
      </c>
    </row>
    <row r="1872" spans="1:17">
      <c r="A1872" s="28"/>
      <c r="B1872" s="28"/>
      <c r="C1872" s="28"/>
      <c r="D1872" s="28"/>
      <c r="E1872" s="28"/>
      <c r="F1872" s="28"/>
      <c r="G1872" s="26" t="str">
        <f t="shared" si="232"/>
        <v/>
      </c>
      <c r="H1872" s="26" t="str">
        <f t="shared" si="239"/>
        <v/>
      </c>
      <c r="I1872" s="26" t="str">
        <f t="shared" si="233"/>
        <v/>
      </c>
      <c r="J1872" t="str">
        <f t="shared" si="234"/>
        <v/>
      </c>
      <c r="K1872" s="26" t="str">
        <f t="shared" si="235"/>
        <v/>
      </c>
      <c r="L1872" s="26" t="str">
        <f t="shared" si="236"/>
        <v/>
      </c>
      <c r="P1872" t="e">
        <f t="shared" si="237"/>
        <v>#N/A</v>
      </c>
      <c r="Q1872" t="e">
        <f t="shared" si="238"/>
        <v>#N/A</v>
      </c>
    </row>
    <row r="1873" spans="1:17">
      <c r="A1873" s="28"/>
      <c r="B1873" s="28"/>
      <c r="C1873" s="28"/>
      <c r="D1873" s="28"/>
      <c r="E1873" s="28"/>
      <c r="F1873" s="28"/>
      <c r="G1873" s="26" t="str">
        <f t="shared" si="232"/>
        <v/>
      </c>
      <c r="H1873" s="26" t="str">
        <f t="shared" si="239"/>
        <v/>
      </c>
      <c r="I1873" s="26" t="str">
        <f t="shared" si="233"/>
        <v/>
      </c>
      <c r="J1873" t="str">
        <f t="shared" si="234"/>
        <v/>
      </c>
      <c r="K1873" s="26" t="str">
        <f t="shared" si="235"/>
        <v/>
      </c>
      <c r="L1873" s="26" t="str">
        <f t="shared" si="236"/>
        <v/>
      </c>
      <c r="P1873" t="e">
        <f t="shared" si="237"/>
        <v>#N/A</v>
      </c>
      <c r="Q1873" t="e">
        <f t="shared" si="238"/>
        <v>#N/A</v>
      </c>
    </row>
    <row r="1874" spans="1:17">
      <c r="A1874" s="28"/>
      <c r="B1874" s="28"/>
      <c r="C1874" s="28"/>
      <c r="D1874" s="28"/>
      <c r="E1874" s="28"/>
      <c r="F1874" s="28"/>
      <c r="G1874" s="26" t="str">
        <f t="shared" si="232"/>
        <v/>
      </c>
      <c r="H1874" s="26" t="str">
        <f t="shared" si="239"/>
        <v/>
      </c>
      <c r="I1874" s="26" t="str">
        <f t="shared" si="233"/>
        <v/>
      </c>
      <c r="J1874" t="str">
        <f t="shared" si="234"/>
        <v/>
      </c>
      <c r="K1874" s="26" t="str">
        <f t="shared" si="235"/>
        <v/>
      </c>
      <c r="L1874" s="26" t="str">
        <f t="shared" si="236"/>
        <v/>
      </c>
      <c r="P1874" t="e">
        <f t="shared" si="237"/>
        <v>#N/A</v>
      </c>
      <c r="Q1874" t="e">
        <f t="shared" si="238"/>
        <v>#N/A</v>
      </c>
    </row>
    <row r="1875" spans="1:17">
      <c r="A1875" s="28"/>
      <c r="B1875" s="28"/>
      <c r="C1875" s="28"/>
      <c r="D1875" s="28"/>
      <c r="E1875" s="28"/>
      <c r="F1875" s="28"/>
      <c r="G1875" s="26" t="str">
        <f t="shared" si="232"/>
        <v/>
      </c>
      <c r="H1875" s="26" t="str">
        <f t="shared" si="239"/>
        <v/>
      </c>
      <c r="I1875" s="26" t="str">
        <f t="shared" si="233"/>
        <v/>
      </c>
      <c r="J1875" t="str">
        <f t="shared" si="234"/>
        <v/>
      </c>
      <c r="K1875" s="26" t="str">
        <f t="shared" si="235"/>
        <v/>
      </c>
      <c r="L1875" s="26" t="str">
        <f t="shared" si="236"/>
        <v/>
      </c>
      <c r="P1875" t="e">
        <f t="shared" si="237"/>
        <v>#N/A</v>
      </c>
      <c r="Q1875" t="e">
        <f t="shared" si="238"/>
        <v>#N/A</v>
      </c>
    </row>
    <row r="1876" spans="1:17">
      <c r="A1876" s="28"/>
      <c r="B1876" s="28"/>
      <c r="C1876" s="28"/>
      <c r="D1876" s="28"/>
      <c r="E1876" s="28"/>
      <c r="F1876" s="28"/>
      <c r="G1876" s="26" t="str">
        <f t="shared" si="232"/>
        <v/>
      </c>
      <c r="H1876" s="26" t="str">
        <f t="shared" si="239"/>
        <v/>
      </c>
      <c r="I1876" s="26" t="str">
        <f t="shared" si="233"/>
        <v/>
      </c>
      <c r="J1876" t="str">
        <f t="shared" si="234"/>
        <v/>
      </c>
      <c r="K1876" s="26" t="str">
        <f t="shared" si="235"/>
        <v/>
      </c>
      <c r="L1876" s="26" t="str">
        <f t="shared" si="236"/>
        <v/>
      </c>
      <c r="P1876" t="e">
        <f t="shared" si="237"/>
        <v>#N/A</v>
      </c>
      <c r="Q1876" t="e">
        <f t="shared" si="238"/>
        <v>#N/A</v>
      </c>
    </row>
    <row r="1877" spans="1:17">
      <c r="A1877" s="28"/>
      <c r="B1877" s="28"/>
      <c r="C1877" s="28"/>
      <c r="D1877" s="28"/>
      <c r="E1877" s="28"/>
      <c r="F1877" s="28"/>
      <c r="G1877" s="26" t="str">
        <f t="shared" si="232"/>
        <v/>
      </c>
      <c r="H1877" s="26" t="str">
        <f t="shared" si="239"/>
        <v/>
      </c>
      <c r="I1877" s="26" t="str">
        <f t="shared" si="233"/>
        <v/>
      </c>
      <c r="J1877" t="str">
        <f t="shared" si="234"/>
        <v/>
      </c>
      <c r="K1877" s="26" t="str">
        <f t="shared" si="235"/>
        <v/>
      </c>
      <c r="L1877" s="26" t="str">
        <f t="shared" si="236"/>
        <v/>
      </c>
      <c r="P1877" t="e">
        <f t="shared" si="237"/>
        <v>#N/A</v>
      </c>
      <c r="Q1877" t="e">
        <f t="shared" si="238"/>
        <v>#N/A</v>
      </c>
    </row>
    <row r="1878" spans="1:17">
      <c r="A1878" s="28"/>
      <c r="B1878" s="28"/>
      <c r="C1878" s="28"/>
      <c r="D1878" s="28"/>
      <c r="E1878" s="28"/>
      <c r="F1878" s="28"/>
      <c r="G1878" s="26" t="str">
        <f t="shared" si="232"/>
        <v/>
      </c>
      <c r="H1878" s="26" t="str">
        <f t="shared" si="239"/>
        <v/>
      </c>
      <c r="I1878" s="26" t="str">
        <f t="shared" si="233"/>
        <v/>
      </c>
      <c r="J1878" t="str">
        <f t="shared" si="234"/>
        <v/>
      </c>
      <c r="K1878" s="26" t="str">
        <f t="shared" si="235"/>
        <v/>
      </c>
      <c r="L1878" s="26" t="str">
        <f t="shared" si="236"/>
        <v/>
      </c>
      <c r="P1878" t="e">
        <f t="shared" si="237"/>
        <v>#N/A</v>
      </c>
      <c r="Q1878" t="e">
        <f t="shared" si="238"/>
        <v>#N/A</v>
      </c>
    </row>
    <row r="1879" spans="1:17">
      <c r="A1879" s="28"/>
      <c r="B1879" s="28"/>
      <c r="C1879" s="28"/>
      <c r="D1879" s="28"/>
      <c r="E1879" s="28"/>
      <c r="F1879" s="28"/>
      <c r="G1879" s="26" t="str">
        <f t="shared" si="232"/>
        <v/>
      </c>
      <c r="H1879" s="26" t="str">
        <f t="shared" si="239"/>
        <v/>
      </c>
      <c r="I1879" s="26" t="str">
        <f t="shared" si="233"/>
        <v/>
      </c>
      <c r="J1879" t="str">
        <f t="shared" si="234"/>
        <v/>
      </c>
      <c r="K1879" s="26" t="str">
        <f t="shared" si="235"/>
        <v/>
      </c>
      <c r="L1879" s="26" t="str">
        <f t="shared" si="236"/>
        <v/>
      </c>
      <c r="P1879" t="e">
        <f t="shared" si="237"/>
        <v>#N/A</v>
      </c>
      <c r="Q1879" t="e">
        <f t="shared" si="238"/>
        <v>#N/A</v>
      </c>
    </row>
    <row r="1880" spans="1:17">
      <c r="A1880" s="28"/>
      <c r="B1880" s="28"/>
      <c r="C1880" s="28"/>
      <c r="D1880" s="28"/>
      <c r="E1880" s="28"/>
      <c r="F1880" s="28"/>
      <c r="G1880" s="26" t="str">
        <f t="shared" si="232"/>
        <v/>
      </c>
      <c r="H1880" s="26" t="str">
        <f t="shared" si="239"/>
        <v/>
      </c>
      <c r="I1880" s="26" t="str">
        <f t="shared" si="233"/>
        <v/>
      </c>
      <c r="J1880" t="str">
        <f t="shared" si="234"/>
        <v/>
      </c>
      <c r="K1880" s="26" t="str">
        <f t="shared" si="235"/>
        <v/>
      </c>
      <c r="L1880" s="26" t="str">
        <f t="shared" si="236"/>
        <v/>
      </c>
      <c r="P1880" t="e">
        <f t="shared" si="237"/>
        <v>#N/A</v>
      </c>
      <c r="Q1880" t="e">
        <f t="shared" si="238"/>
        <v>#N/A</v>
      </c>
    </row>
    <row r="1881" spans="1:17">
      <c r="A1881" s="28"/>
      <c r="B1881" s="28"/>
      <c r="C1881" s="28"/>
      <c r="D1881" s="28"/>
      <c r="E1881" s="28"/>
      <c r="F1881" s="28"/>
      <c r="G1881" s="26" t="str">
        <f t="shared" si="232"/>
        <v/>
      </c>
      <c r="H1881" s="26" t="str">
        <f t="shared" si="239"/>
        <v/>
      </c>
      <c r="I1881" s="26" t="str">
        <f t="shared" si="233"/>
        <v/>
      </c>
      <c r="J1881" t="str">
        <f t="shared" si="234"/>
        <v/>
      </c>
      <c r="K1881" s="26" t="str">
        <f t="shared" si="235"/>
        <v/>
      </c>
      <c r="L1881" s="26" t="str">
        <f t="shared" si="236"/>
        <v/>
      </c>
      <c r="P1881" t="e">
        <f t="shared" si="237"/>
        <v>#N/A</v>
      </c>
      <c r="Q1881" t="e">
        <f t="shared" si="238"/>
        <v>#N/A</v>
      </c>
    </row>
    <row r="1882" spans="1:17">
      <c r="A1882" s="28"/>
      <c r="B1882" s="28"/>
      <c r="C1882" s="28"/>
      <c r="D1882" s="28"/>
      <c r="E1882" s="28"/>
      <c r="F1882" s="28"/>
      <c r="G1882" s="26" t="str">
        <f t="shared" si="232"/>
        <v/>
      </c>
      <c r="H1882" s="26" t="str">
        <f t="shared" si="239"/>
        <v/>
      </c>
      <c r="I1882" s="26" t="str">
        <f t="shared" si="233"/>
        <v/>
      </c>
      <c r="J1882" t="str">
        <f t="shared" si="234"/>
        <v/>
      </c>
      <c r="K1882" s="26" t="str">
        <f t="shared" si="235"/>
        <v/>
      </c>
      <c r="L1882" s="26" t="str">
        <f t="shared" si="236"/>
        <v/>
      </c>
      <c r="P1882" t="e">
        <f t="shared" si="237"/>
        <v>#N/A</v>
      </c>
      <c r="Q1882" t="e">
        <f t="shared" si="238"/>
        <v>#N/A</v>
      </c>
    </row>
    <row r="1883" spans="1:17">
      <c r="A1883" s="28"/>
      <c r="B1883" s="28"/>
      <c r="C1883" s="28"/>
      <c r="D1883" s="28"/>
      <c r="E1883" s="28"/>
      <c r="F1883" s="28"/>
      <c r="G1883" s="26" t="str">
        <f t="shared" si="232"/>
        <v/>
      </c>
      <c r="H1883" s="26" t="str">
        <f t="shared" si="239"/>
        <v/>
      </c>
      <c r="I1883" s="26" t="str">
        <f t="shared" si="233"/>
        <v/>
      </c>
      <c r="J1883" t="str">
        <f t="shared" si="234"/>
        <v/>
      </c>
      <c r="K1883" s="26" t="str">
        <f t="shared" si="235"/>
        <v/>
      </c>
      <c r="L1883" s="26" t="str">
        <f t="shared" si="236"/>
        <v/>
      </c>
      <c r="P1883" t="e">
        <f t="shared" si="237"/>
        <v>#N/A</v>
      </c>
      <c r="Q1883" t="e">
        <f t="shared" si="238"/>
        <v>#N/A</v>
      </c>
    </row>
    <row r="1884" spans="1:17">
      <c r="A1884" s="28"/>
      <c r="B1884" s="28"/>
      <c r="C1884" s="28"/>
      <c r="D1884" s="28"/>
      <c r="E1884" s="28"/>
      <c r="F1884" s="28"/>
      <c r="G1884" s="26" t="str">
        <f t="shared" si="232"/>
        <v/>
      </c>
      <c r="H1884" s="26" t="str">
        <f t="shared" si="239"/>
        <v/>
      </c>
      <c r="I1884" s="26" t="str">
        <f t="shared" si="233"/>
        <v/>
      </c>
      <c r="J1884" t="str">
        <f t="shared" si="234"/>
        <v/>
      </c>
      <c r="K1884" s="26" t="str">
        <f t="shared" si="235"/>
        <v/>
      </c>
      <c r="L1884" s="26" t="str">
        <f t="shared" si="236"/>
        <v/>
      </c>
      <c r="P1884" t="e">
        <f t="shared" si="237"/>
        <v>#N/A</v>
      </c>
      <c r="Q1884" t="e">
        <f t="shared" si="238"/>
        <v>#N/A</v>
      </c>
    </row>
    <row r="1885" spans="1:17">
      <c r="A1885" s="28"/>
      <c r="B1885" s="28"/>
      <c r="C1885" s="28"/>
      <c r="D1885" s="28"/>
      <c r="E1885" s="28"/>
      <c r="F1885" s="28"/>
      <c r="G1885" s="26" t="str">
        <f t="shared" si="232"/>
        <v/>
      </c>
      <c r="H1885" s="26" t="str">
        <f t="shared" si="239"/>
        <v/>
      </c>
      <c r="I1885" s="26" t="str">
        <f t="shared" si="233"/>
        <v/>
      </c>
      <c r="J1885" t="str">
        <f t="shared" si="234"/>
        <v/>
      </c>
      <c r="K1885" s="26" t="str">
        <f t="shared" si="235"/>
        <v/>
      </c>
      <c r="L1885" s="26" t="str">
        <f t="shared" si="236"/>
        <v/>
      </c>
      <c r="P1885" t="e">
        <f t="shared" si="237"/>
        <v>#N/A</v>
      </c>
      <c r="Q1885" t="e">
        <f t="shared" si="238"/>
        <v>#N/A</v>
      </c>
    </row>
    <row r="1886" spans="1:17">
      <c r="A1886" s="28"/>
      <c r="B1886" s="28"/>
      <c r="C1886" s="28"/>
      <c r="D1886" s="28"/>
      <c r="E1886" s="28"/>
      <c r="F1886" s="28"/>
      <c r="G1886" s="26" t="str">
        <f t="shared" si="232"/>
        <v/>
      </c>
      <c r="H1886" s="26" t="str">
        <f t="shared" si="239"/>
        <v/>
      </c>
      <c r="I1886" s="26" t="str">
        <f t="shared" si="233"/>
        <v/>
      </c>
      <c r="J1886" t="str">
        <f t="shared" si="234"/>
        <v/>
      </c>
      <c r="K1886" s="26" t="str">
        <f t="shared" si="235"/>
        <v/>
      </c>
      <c r="L1886" s="26" t="str">
        <f t="shared" si="236"/>
        <v/>
      </c>
      <c r="P1886" t="e">
        <f t="shared" si="237"/>
        <v>#N/A</v>
      </c>
      <c r="Q1886" t="e">
        <f t="shared" si="238"/>
        <v>#N/A</v>
      </c>
    </row>
    <row r="1887" spans="1:17">
      <c r="A1887" s="28"/>
      <c r="B1887" s="28"/>
      <c r="C1887" s="28"/>
      <c r="D1887" s="28"/>
      <c r="E1887" s="28"/>
      <c r="F1887" s="28"/>
      <c r="G1887" s="26" t="str">
        <f t="shared" si="232"/>
        <v/>
      </c>
      <c r="H1887" s="26" t="str">
        <f t="shared" si="239"/>
        <v/>
      </c>
      <c r="I1887" s="26" t="str">
        <f t="shared" si="233"/>
        <v/>
      </c>
      <c r="J1887" t="str">
        <f t="shared" si="234"/>
        <v/>
      </c>
      <c r="K1887" s="26" t="str">
        <f t="shared" si="235"/>
        <v/>
      </c>
      <c r="L1887" s="26" t="str">
        <f t="shared" si="236"/>
        <v/>
      </c>
      <c r="P1887" t="e">
        <f t="shared" si="237"/>
        <v>#N/A</v>
      </c>
      <c r="Q1887" t="e">
        <f t="shared" si="238"/>
        <v>#N/A</v>
      </c>
    </row>
    <row r="1888" spans="1:17">
      <c r="A1888" s="28"/>
      <c r="B1888" s="28"/>
      <c r="C1888" s="28"/>
      <c r="D1888" s="28"/>
      <c r="E1888" s="28"/>
      <c r="F1888" s="28"/>
      <c r="G1888" s="26" t="str">
        <f t="shared" si="232"/>
        <v/>
      </c>
      <c r="H1888" s="26" t="str">
        <f t="shared" si="239"/>
        <v/>
      </c>
      <c r="I1888" s="26" t="str">
        <f t="shared" si="233"/>
        <v/>
      </c>
      <c r="J1888" t="str">
        <f t="shared" si="234"/>
        <v/>
      </c>
      <c r="K1888" s="26" t="str">
        <f t="shared" si="235"/>
        <v/>
      </c>
      <c r="L1888" s="26" t="str">
        <f t="shared" si="236"/>
        <v/>
      </c>
      <c r="P1888" t="e">
        <f t="shared" si="237"/>
        <v>#N/A</v>
      </c>
      <c r="Q1888" t="e">
        <f t="shared" si="238"/>
        <v>#N/A</v>
      </c>
    </row>
    <row r="1889" spans="1:17">
      <c r="A1889" s="28"/>
      <c r="B1889" s="28"/>
      <c r="C1889" s="28"/>
      <c r="D1889" s="28"/>
      <c r="E1889" s="28"/>
      <c r="F1889" s="28"/>
      <c r="G1889" s="26" t="str">
        <f t="shared" si="232"/>
        <v/>
      </c>
      <c r="H1889" s="26" t="str">
        <f t="shared" si="239"/>
        <v/>
      </c>
      <c r="I1889" s="26" t="str">
        <f t="shared" si="233"/>
        <v/>
      </c>
      <c r="J1889" t="str">
        <f t="shared" si="234"/>
        <v/>
      </c>
      <c r="K1889" s="26" t="str">
        <f t="shared" si="235"/>
        <v/>
      </c>
      <c r="L1889" s="26" t="str">
        <f t="shared" si="236"/>
        <v/>
      </c>
      <c r="P1889" t="e">
        <f t="shared" si="237"/>
        <v>#N/A</v>
      </c>
      <c r="Q1889" t="e">
        <f t="shared" si="238"/>
        <v>#N/A</v>
      </c>
    </row>
    <row r="1890" spans="1:17">
      <c r="A1890" s="28"/>
      <c r="B1890" s="28"/>
      <c r="C1890" s="28"/>
      <c r="D1890" s="28"/>
      <c r="E1890" s="28"/>
      <c r="F1890" s="28"/>
      <c r="G1890" s="26" t="str">
        <f t="shared" si="232"/>
        <v/>
      </c>
      <c r="H1890" s="26" t="str">
        <f t="shared" si="239"/>
        <v/>
      </c>
      <c r="I1890" s="26" t="str">
        <f t="shared" si="233"/>
        <v/>
      </c>
      <c r="J1890" t="str">
        <f t="shared" si="234"/>
        <v/>
      </c>
      <c r="K1890" s="26" t="str">
        <f t="shared" si="235"/>
        <v/>
      </c>
      <c r="L1890" s="26" t="str">
        <f t="shared" si="236"/>
        <v/>
      </c>
      <c r="P1890" t="e">
        <f t="shared" si="237"/>
        <v>#N/A</v>
      </c>
      <c r="Q1890" t="e">
        <f t="shared" si="238"/>
        <v>#N/A</v>
      </c>
    </row>
    <row r="1891" spans="1:17">
      <c r="A1891" s="28"/>
      <c r="B1891" s="28"/>
      <c r="C1891" s="28"/>
      <c r="D1891" s="28"/>
      <c r="E1891" s="28"/>
      <c r="F1891" s="28"/>
      <c r="G1891" s="26" t="str">
        <f t="shared" si="232"/>
        <v/>
      </c>
      <c r="H1891" s="26" t="str">
        <f t="shared" si="239"/>
        <v/>
      </c>
      <c r="I1891" s="26" t="str">
        <f t="shared" si="233"/>
        <v/>
      </c>
      <c r="J1891" t="str">
        <f t="shared" si="234"/>
        <v/>
      </c>
      <c r="K1891" s="26" t="str">
        <f t="shared" si="235"/>
        <v/>
      </c>
      <c r="L1891" s="26" t="str">
        <f t="shared" si="236"/>
        <v/>
      </c>
      <c r="P1891" t="e">
        <f t="shared" si="237"/>
        <v>#N/A</v>
      </c>
      <c r="Q1891" t="e">
        <f t="shared" si="238"/>
        <v>#N/A</v>
      </c>
    </row>
    <row r="1892" spans="1:17">
      <c r="A1892" s="28"/>
      <c r="B1892" s="28"/>
      <c r="C1892" s="28"/>
      <c r="D1892" s="28"/>
      <c r="E1892" s="28"/>
      <c r="F1892" s="28"/>
      <c r="G1892" s="26" t="str">
        <f t="shared" si="232"/>
        <v/>
      </c>
      <c r="H1892" s="26" t="str">
        <f t="shared" si="239"/>
        <v/>
      </c>
      <c r="I1892" s="26" t="str">
        <f t="shared" si="233"/>
        <v/>
      </c>
      <c r="J1892" t="str">
        <f t="shared" si="234"/>
        <v/>
      </c>
      <c r="K1892" s="26" t="str">
        <f t="shared" si="235"/>
        <v/>
      </c>
      <c r="L1892" s="26" t="str">
        <f t="shared" si="236"/>
        <v/>
      </c>
      <c r="P1892" t="e">
        <f t="shared" si="237"/>
        <v>#N/A</v>
      </c>
      <c r="Q1892" t="e">
        <f t="shared" si="238"/>
        <v>#N/A</v>
      </c>
    </row>
    <row r="1893" spans="1:17">
      <c r="A1893" s="28"/>
      <c r="B1893" s="28"/>
      <c r="C1893" s="28"/>
      <c r="D1893" s="28"/>
      <c r="E1893" s="28"/>
      <c r="F1893" s="28"/>
      <c r="G1893" s="26" t="str">
        <f t="shared" si="232"/>
        <v/>
      </c>
      <c r="H1893" s="26" t="str">
        <f t="shared" si="239"/>
        <v/>
      </c>
      <c r="I1893" s="26" t="str">
        <f t="shared" si="233"/>
        <v/>
      </c>
      <c r="J1893" t="str">
        <f t="shared" si="234"/>
        <v/>
      </c>
      <c r="K1893" s="26" t="str">
        <f t="shared" si="235"/>
        <v/>
      </c>
      <c r="L1893" s="26" t="str">
        <f t="shared" si="236"/>
        <v/>
      </c>
      <c r="P1893" t="e">
        <f t="shared" si="237"/>
        <v>#N/A</v>
      </c>
      <c r="Q1893" t="e">
        <f t="shared" si="238"/>
        <v>#N/A</v>
      </c>
    </row>
    <row r="1894" spans="1:17">
      <c r="A1894" s="28"/>
      <c r="B1894" s="28"/>
      <c r="C1894" s="28"/>
      <c r="D1894" s="28"/>
      <c r="E1894" s="28"/>
      <c r="F1894" s="28"/>
      <c r="G1894" s="26" t="str">
        <f t="shared" si="232"/>
        <v/>
      </c>
      <c r="H1894" s="26" t="str">
        <f t="shared" si="239"/>
        <v/>
      </c>
      <c r="I1894" s="26" t="str">
        <f t="shared" si="233"/>
        <v/>
      </c>
      <c r="J1894" t="str">
        <f t="shared" si="234"/>
        <v/>
      </c>
      <c r="K1894" s="26" t="str">
        <f t="shared" si="235"/>
        <v/>
      </c>
      <c r="L1894" s="26" t="str">
        <f t="shared" si="236"/>
        <v/>
      </c>
      <c r="P1894" t="e">
        <f t="shared" si="237"/>
        <v>#N/A</v>
      </c>
      <c r="Q1894" t="e">
        <f t="shared" si="238"/>
        <v>#N/A</v>
      </c>
    </row>
    <row r="1895" spans="1:17">
      <c r="A1895" s="28"/>
      <c r="B1895" s="28"/>
      <c r="C1895" s="28"/>
      <c r="D1895" s="28"/>
      <c r="E1895" s="28"/>
      <c r="F1895" s="28"/>
      <c r="G1895" s="26" t="str">
        <f t="shared" si="232"/>
        <v/>
      </c>
      <c r="H1895" s="26" t="str">
        <f t="shared" si="239"/>
        <v/>
      </c>
      <c r="I1895" s="26" t="str">
        <f t="shared" si="233"/>
        <v/>
      </c>
      <c r="J1895" t="str">
        <f t="shared" si="234"/>
        <v/>
      </c>
      <c r="K1895" s="26" t="str">
        <f t="shared" si="235"/>
        <v/>
      </c>
      <c r="L1895" s="26" t="str">
        <f t="shared" si="236"/>
        <v/>
      </c>
      <c r="P1895" t="e">
        <f t="shared" si="237"/>
        <v>#N/A</v>
      </c>
      <c r="Q1895" t="e">
        <f t="shared" si="238"/>
        <v>#N/A</v>
      </c>
    </row>
    <row r="1896" spans="1:17">
      <c r="A1896" s="28"/>
      <c r="B1896" s="28"/>
      <c r="C1896" s="28"/>
      <c r="D1896" s="28"/>
      <c r="E1896" s="28"/>
      <c r="F1896" s="28"/>
      <c r="G1896" s="26" t="str">
        <f t="shared" si="232"/>
        <v/>
      </c>
      <c r="H1896" s="26" t="str">
        <f t="shared" si="239"/>
        <v/>
      </c>
      <c r="I1896" s="26" t="str">
        <f t="shared" si="233"/>
        <v/>
      </c>
      <c r="J1896" t="str">
        <f t="shared" si="234"/>
        <v/>
      </c>
      <c r="K1896" s="26" t="str">
        <f t="shared" si="235"/>
        <v/>
      </c>
      <c r="L1896" s="26" t="str">
        <f t="shared" si="236"/>
        <v/>
      </c>
      <c r="P1896" t="e">
        <f t="shared" si="237"/>
        <v>#N/A</v>
      </c>
      <c r="Q1896" t="e">
        <f t="shared" si="238"/>
        <v>#N/A</v>
      </c>
    </row>
    <row r="1897" spans="1:17">
      <c r="A1897" s="28"/>
      <c r="B1897" s="28"/>
      <c r="C1897" s="28"/>
      <c r="D1897" s="28"/>
      <c r="E1897" s="28"/>
      <c r="F1897" s="28"/>
      <c r="G1897" s="26" t="str">
        <f t="shared" si="232"/>
        <v/>
      </c>
      <c r="H1897" s="26" t="str">
        <f t="shared" si="239"/>
        <v/>
      </c>
      <c r="I1897" s="26" t="str">
        <f t="shared" si="233"/>
        <v/>
      </c>
      <c r="J1897" t="str">
        <f t="shared" si="234"/>
        <v/>
      </c>
      <c r="K1897" s="26" t="str">
        <f t="shared" si="235"/>
        <v/>
      </c>
      <c r="L1897" s="26" t="str">
        <f t="shared" si="236"/>
        <v/>
      </c>
      <c r="P1897" t="e">
        <f t="shared" si="237"/>
        <v>#N/A</v>
      </c>
      <c r="Q1897" t="e">
        <f t="shared" si="238"/>
        <v>#N/A</v>
      </c>
    </row>
    <row r="1898" spans="1:17">
      <c r="A1898" s="28"/>
      <c r="B1898" s="28"/>
      <c r="C1898" s="28"/>
      <c r="D1898" s="28"/>
      <c r="E1898" s="28"/>
      <c r="F1898" s="28"/>
      <c r="G1898" s="26" t="str">
        <f t="shared" si="232"/>
        <v/>
      </c>
      <c r="H1898" s="26" t="str">
        <f t="shared" si="239"/>
        <v/>
      </c>
      <c r="I1898" s="26" t="str">
        <f t="shared" si="233"/>
        <v/>
      </c>
      <c r="J1898" t="str">
        <f t="shared" si="234"/>
        <v/>
      </c>
      <c r="K1898" s="26" t="str">
        <f t="shared" si="235"/>
        <v/>
      </c>
      <c r="L1898" s="26" t="str">
        <f t="shared" si="236"/>
        <v/>
      </c>
      <c r="P1898" t="e">
        <f t="shared" si="237"/>
        <v>#N/A</v>
      </c>
      <c r="Q1898" t="e">
        <f t="shared" si="238"/>
        <v>#N/A</v>
      </c>
    </row>
    <row r="1899" spans="1:17">
      <c r="A1899" s="28"/>
      <c r="B1899" s="28"/>
      <c r="C1899" s="28"/>
      <c r="D1899" s="28"/>
      <c r="E1899" s="28"/>
      <c r="F1899" s="28"/>
      <c r="G1899" s="26" t="str">
        <f t="shared" si="232"/>
        <v/>
      </c>
      <c r="H1899" s="26" t="str">
        <f t="shared" si="239"/>
        <v/>
      </c>
      <c r="I1899" s="26" t="str">
        <f t="shared" si="233"/>
        <v/>
      </c>
      <c r="J1899" t="str">
        <f t="shared" si="234"/>
        <v/>
      </c>
      <c r="K1899" s="26" t="str">
        <f t="shared" si="235"/>
        <v/>
      </c>
      <c r="L1899" s="26" t="str">
        <f t="shared" si="236"/>
        <v/>
      </c>
      <c r="P1899" t="e">
        <f t="shared" si="237"/>
        <v>#N/A</v>
      </c>
      <c r="Q1899" t="e">
        <f t="shared" si="238"/>
        <v>#N/A</v>
      </c>
    </row>
    <row r="1900" spans="1:17">
      <c r="A1900" s="28"/>
      <c r="B1900" s="28"/>
      <c r="C1900" s="28"/>
      <c r="D1900" s="28"/>
      <c r="E1900" s="28"/>
      <c r="F1900" s="28"/>
      <c r="G1900" s="26" t="str">
        <f t="shared" si="232"/>
        <v/>
      </c>
      <c r="H1900" s="26" t="str">
        <f t="shared" si="239"/>
        <v/>
      </c>
      <c r="I1900" s="26" t="str">
        <f t="shared" si="233"/>
        <v/>
      </c>
      <c r="J1900" t="str">
        <f t="shared" si="234"/>
        <v/>
      </c>
      <c r="K1900" s="26" t="str">
        <f t="shared" si="235"/>
        <v/>
      </c>
      <c r="L1900" s="26" t="str">
        <f t="shared" si="236"/>
        <v/>
      </c>
      <c r="P1900" t="e">
        <f t="shared" si="237"/>
        <v>#N/A</v>
      </c>
      <c r="Q1900" t="e">
        <f t="shared" si="238"/>
        <v>#N/A</v>
      </c>
    </row>
    <row r="1901" spans="1:17">
      <c r="A1901" s="28"/>
      <c r="B1901" s="28"/>
      <c r="C1901" s="28"/>
      <c r="D1901" s="28"/>
      <c r="E1901" s="28"/>
      <c r="F1901" s="28"/>
      <c r="G1901" s="26" t="str">
        <f t="shared" si="232"/>
        <v/>
      </c>
      <c r="H1901" s="26" t="str">
        <f t="shared" si="239"/>
        <v/>
      </c>
      <c r="I1901" s="26" t="str">
        <f t="shared" si="233"/>
        <v/>
      </c>
      <c r="J1901" t="str">
        <f t="shared" si="234"/>
        <v/>
      </c>
      <c r="K1901" s="26" t="str">
        <f t="shared" si="235"/>
        <v/>
      </c>
      <c r="L1901" s="26" t="str">
        <f t="shared" si="236"/>
        <v/>
      </c>
      <c r="P1901" t="e">
        <f t="shared" si="237"/>
        <v>#N/A</v>
      </c>
      <c r="Q1901" t="e">
        <f t="shared" si="238"/>
        <v>#N/A</v>
      </c>
    </row>
    <row r="1902" spans="1:17">
      <c r="A1902" s="28"/>
      <c r="B1902" s="28"/>
      <c r="C1902" s="28"/>
      <c r="D1902" s="28"/>
      <c r="E1902" s="28"/>
      <c r="F1902" s="28"/>
      <c r="G1902" s="26" t="str">
        <f t="shared" si="232"/>
        <v/>
      </c>
      <c r="H1902" s="26" t="str">
        <f t="shared" si="239"/>
        <v/>
      </c>
      <c r="I1902" s="26" t="str">
        <f t="shared" si="233"/>
        <v/>
      </c>
      <c r="J1902" t="str">
        <f t="shared" si="234"/>
        <v/>
      </c>
      <c r="K1902" s="26" t="str">
        <f t="shared" si="235"/>
        <v/>
      </c>
      <c r="L1902" s="26" t="str">
        <f t="shared" si="236"/>
        <v/>
      </c>
      <c r="P1902" t="e">
        <f t="shared" si="237"/>
        <v>#N/A</v>
      </c>
      <c r="Q1902" t="e">
        <f t="shared" si="238"/>
        <v>#N/A</v>
      </c>
    </row>
    <row r="1903" spans="1:17">
      <c r="A1903" s="28"/>
      <c r="B1903" s="28"/>
      <c r="C1903" s="28"/>
      <c r="D1903" s="28"/>
      <c r="E1903" s="28"/>
      <c r="F1903" s="28"/>
      <c r="G1903" s="26" t="str">
        <f t="shared" si="232"/>
        <v/>
      </c>
      <c r="H1903" s="26" t="str">
        <f t="shared" si="239"/>
        <v/>
      </c>
      <c r="I1903" s="26" t="str">
        <f t="shared" si="233"/>
        <v/>
      </c>
      <c r="J1903" t="str">
        <f t="shared" si="234"/>
        <v/>
      </c>
      <c r="K1903" s="26" t="str">
        <f t="shared" si="235"/>
        <v/>
      </c>
      <c r="L1903" s="26" t="str">
        <f t="shared" si="236"/>
        <v/>
      </c>
      <c r="P1903" t="e">
        <f t="shared" si="237"/>
        <v>#N/A</v>
      </c>
      <c r="Q1903" t="e">
        <f t="shared" si="238"/>
        <v>#N/A</v>
      </c>
    </row>
    <row r="1904" spans="1:17">
      <c r="A1904" s="28"/>
      <c r="B1904" s="28"/>
      <c r="C1904" s="28"/>
      <c r="D1904" s="28"/>
      <c r="E1904" s="28"/>
      <c r="F1904" s="28"/>
      <c r="G1904" s="26" t="str">
        <f t="shared" si="232"/>
        <v/>
      </c>
      <c r="H1904" s="26" t="str">
        <f t="shared" si="239"/>
        <v/>
      </c>
      <c r="I1904" s="26" t="str">
        <f t="shared" si="233"/>
        <v/>
      </c>
      <c r="J1904" t="str">
        <f t="shared" si="234"/>
        <v/>
      </c>
      <c r="K1904" s="26" t="str">
        <f t="shared" si="235"/>
        <v/>
      </c>
      <c r="L1904" s="26" t="str">
        <f t="shared" si="236"/>
        <v/>
      </c>
      <c r="P1904" t="e">
        <f t="shared" si="237"/>
        <v>#N/A</v>
      </c>
      <c r="Q1904" t="e">
        <f t="shared" si="238"/>
        <v>#N/A</v>
      </c>
    </row>
    <row r="1905" spans="1:17">
      <c r="A1905" s="28"/>
      <c r="B1905" s="28"/>
      <c r="C1905" s="28"/>
      <c r="D1905" s="28"/>
      <c r="E1905" s="28"/>
      <c r="F1905" s="28"/>
      <c r="G1905" s="26" t="str">
        <f t="shared" si="232"/>
        <v/>
      </c>
      <c r="H1905" s="26" t="str">
        <f t="shared" si="239"/>
        <v/>
      </c>
      <c r="I1905" s="26" t="str">
        <f t="shared" si="233"/>
        <v/>
      </c>
      <c r="J1905" t="str">
        <f t="shared" si="234"/>
        <v/>
      </c>
      <c r="K1905" s="26" t="str">
        <f t="shared" si="235"/>
        <v/>
      </c>
      <c r="L1905" s="26" t="str">
        <f t="shared" si="236"/>
        <v/>
      </c>
      <c r="P1905" t="e">
        <f t="shared" si="237"/>
        <v>#N/A</v>
      </c>
      <c r="Q1905" t="e">
        <f t="shared" si="238"/>
        <v>#N/A</v>
      </c>
    </row>
    <row r="1906" spans="1:17">
      <c r="A1906" s="28"/>
      <c r="B1906" s="28"/>
      <c r="C1906" s="28"/>
      <c r="D1906" s="28"/>
      <c r="E1906" s="28"/>
      <c r="F1906" s="28"/>
      <c r="G1906" s="26" t="str">
        <f t="shared" si="232"/>
        <v/>
      </c>
      <c r="H1906" s="26" t="str">
        <f t="shared" si="239"/>
        <v/>
      </c>
      <c r="I1906" s="26" t="str">
        <f t="shared" si="233"/>
        <v/>
      </c>
      <c r="J1906" t="str">
        <f t="shared" si="234"/>
        <v/>
      </c>
      <c r="K1906" s="26" t="str">
        <f t="shared" si="235"/>
        <v/>
      </c>
      <c r="L1906" s="26" t="str">
        <f t="shared" si="236"/>
        <v/>
      </c>
      <c r="P1906" t="e">
        <f t="shared" si="237"/>
        <v>#N/A</v>
      </c>
      <c r="Q1906" t="e">
        <f t="shared" si="238"/>
        <v>#N/A</v>
      </c>
    </row>
    <row r="1907" spans="1:17">
      <c r="A1907" s="28"/>
      <c r="B1907" s="28"/>
      <c r="C1907" s="28"/>
      <c r="D1907" s="28"/>
      <c r="E1907" s="28"/>
      <c r="F1907" s="28"/>
      <c r="G1907" s="26" t="str">
        <f t="shared" si="232"/>
        <v/>
      </c>
      <c r="H1907" s="26" t="str">
        <f t="shared" si="239"/>
        <v/>
      </c>
      <c r="I1907" s="26" t="str">
        <f t="shared" si="233"/>
        <v/>
      </c>
      <c r="J1907" t="str">
        <f t="shared" si="234"/>
        <v/>
      </c>
      <c r="K1907" s="26" t="str">
        <f t="shared" si="235"/>
        <v/>
      </c>
      <c r="L1907" s="26" t="str">
        <f t="shared" si="236"/>
        <v/>
      </c>
      <c r="P1907" t="e">
        <f t="shared" si="237"/>
        <v>#N/A</v>
      </c>
      <c r="Q1907" t="e">
        <f t="shared" si="238"/>
        <v>#N/A</v>
      </c>
    </row>
    <row r="1908" spans="1:17">
      <c r="A1908" s="28"/>
      <c r="B1908" s="28"/>
      <c r="C1908" s="28"/>
      <c r="D1908" s="28"/>
      <c r="E1908" s="28"/>
      <c r="F1908" s="28"/>
      <c r="G1908" s="26" t="str">
        <f t="shared" si="232"/>
        <v/>
      </c>
      <c r="H1908" s="26" t="str">
        <f t="shared" si="239"/>
        <v/>
      </c>
      <c r="I1908" s="26" t="str">
        <f t="shared" si="233"/>
        <v/>
      </c>
      <c r="J1908" t="str">
        <f t="shared" si="234"/>
        <v/>
      </c>
      <c r="K1908" s="26" t="str">
        <f t="shared" si="235"/>
        <v/>
      </c>
      <c r="L1908" s="26" t="str">
        <f t="shared" si="236"/>
        <v/>
      </c>
      <c r="P1908" t="e">
        <f t="shared" si="237"/>
        <v>#N/A</v>
      </c>
      <c r="Q1908" t="e">
        <f t="shared" si="238"/>
        <v>#N/A</v>
      </c>
    </row>
    <row r="1909" spans="1:17">
      <c r="A1909" s="28"/>
      <c r="B1909" s="28"/>
      <c r="C1909" s="28"/>
      <c r="D1909" s="28"/>
      <c r="E1909" s="28"/>
      <c r="F1909" s="28"/>
      <c r="G1909" s="26" t="str">
        <f t="shared" si="232"/>
        <v/>
      </c>
      <c r="H1909" s="26" t="str">
        <f t="shared" si="239"/>
        <v/>
      </c>
      <c r="I1909" s="26" t="str">
        <f t="shared" si="233"/>
        <v/>
      </c>
      <c r="J1909" t="str">
        <f t="shared" si="234"/>
        <v/>
      </c>
      <c r="K1909" s="26" t="str">
        <f t="shared" si="235"/>
        <v/>
      </c>
      <c r="L1909" s="26" t="str">
        <f t="shared" si="236"/>
        <v/>
      </c>
      <c r="P1909" t="e">
        <f t="shared" si="237"/>
        <v>#N/A</v>
      </c>
      <c r="Q1909" t="e">
        <f t="shared" si="238"/>
        <v>#N/A</v>
      </c>
    </row>
    <row r="1910" spans="1:17">
      <c r="A1910" s="28"/>
      <c r="B1910" s="28"/>
      <c r="C1910" s="28"/>
      <c r="D1910" s="28"/>
      <c r="E1910" s="28"/>
      <c r="F1910" s="28"/>
      <c r="G1910" s="26" t="str">
        <f t="shared" si="232"/>
        <v/>
      </c>
      <c r="H1910" s="26" t="str">
        <f t="shared" si="239"/>
        <v/>
      </c>
      <c r="I1910" s="26" t="str">
        <f t="shared" si="233"/>
        <v/>
      </c>
      <c r="J1910" t="str">
        <f t="shared" si="234"/>
        <v/>
      </c>
      <c r="K1910" s="26" t="str">
        <f t="shared" si="235"/>
        <v/>
      </c>
      <c r="L1910" s="26" t="str">
        <f t="shared" si="236"/>
        <v/>
      </c>
      <c r="P1910" t="e">
        <f t="shared" si="237"/>
        <v>#N/A</v>
      </c>
      <c r="Q1910" t="e">
        <f t="shared" si="238"/>
        <v>#N/A</v>
      </c>
    </row>
    <row r="1911" spans="1:17">
      <c r="A1911" s="28"/>
      <c r="B1911" s="28"/>
      <c r="C1911" s="28"/>
      <c r="D1911" s="28"/>
      <c r="E1911" s="28"/>
      <c r="F1911" s="28"/>
      <c r="G1911" s="26" t="str">
        <f t="shared" si="232"/>
        <v/>
      </c>
      <c r="H1911" s="26" t="str">
        <f t="shared" si="239"/>
        <v/>
      </c>
      <c r="I1911" s="26" t="str">
        <f t="shared" si="233"/>
        <v/>
      </c>
      <c r="J1911" t="str">
        <f t="shared" si="234"/>
        <v/>
      </c>
      <c r="K1911" s="26" t="str">
        <f t="shared" si="235"/>
        <v/>
      </c>
      <c r="L1911" s="26" t="str">
        <f t="shared" si="236"/>
        <v/>
      </c>
      <c r="P1911" t="e">
        <f t="shared" si="237"/>
        <v>#N/A</v>
      </c>
      <c r="Q1911" t="e">
        <f t="shared" si="238"/>
        <v>#N/A</v>
      </c>
    </row>
    <row r="1912" spans="1:17">
      <c r="A1912" s="28"/>
      <c r="B1912" s="28"/>
      <c r="C1912" s="28"/>
      <c r="D1912" s="28"/>
      <c r="E1912" s="28"/>
      <c r="F1912" s="28"/>
      <c r="G1912" s="26" t="str">
        <f t="shared" si="232"/>
        <v/>
      </c>
      <c r="H1912" s="26" t="str">
        <f t="shared" si="239"/>
        <v/>
      </c>
      <c r="I1912" s="26" t="str">
        <f t="shared" si="233"/>
        <v/>
      </c>
      <c r="J1912" t="str">
        <f t="shared" si="234"/>
        <v/>
      </c>
      <c r="K1912" s="26" t="str">
        <f t="shared" si="235"/>
        <v/>
      </c>
      <c r="L1912" s="26" t="str">
        <f t="shared" si="236"/>
        <v/>
      </c>
      <c r="P1912" t="e">
        <f t="shared" si="237"/>
        <v>#N/A</v>
      </c>
      <c r="Q1912" t="e">
        <f t="shared" si="238"/>
        <v>#N/A</v>
      </c>
    </row>
    <row r="1913" spans="1:17">
      <c r="A1913" s="28"/>
      <c r="B1913" s="28"/>
      <c r="C1913" s="28"/>
      <c r="D1913" s="28"/>
      <c r="E1913" s="28"/>
      <c r="F1913" s="28"/>
      <c r="G1913" s="26" t="str">
        <f t="shared" si="232"/>
        <v/>
      </c>
      <c r="H1913" s="26" t="str">
        <f t="shared" si="239"/>
        <v/>
      </c>
      <c r="I1913" s="26" t="str">
        <f t="shared" si="233"/>
        <v/>
      </c>
      <c r="J1913" t="str">
        <f t="shared" si="234"/>
        <v/>
      </c>
      <c r="K1913" s="26" t="str">
        <f t="shared" si="235"/>
        <v/>
      </c>
      <c r="L1913" s="26" t="str">
        <f t="shared" si="236"/>
        <v/>
      </c>
      <c r="P1913" t="e">
        <f t="shared" si="237"/>
        <v>#N/A</v>
      </c>
      <c r="Q1913" t="e">
        <f t="shared" si="238"/>
        <v>#N/A</v>
      </c>
    </row>
    <row r="1914" spans="1:17">
      <c r="A1914" s="28"/>
      <c r="B1914" s="28"/>
      <c r="C1914" s="28"/>
      <c r="D1914" s="28"/>
      <c r="E1914" s="28"/>
      <c r="F1914" s="28"/>
      <c r="G1914" s="26" t="str">
        <f t="shared" si="232"/>
        <v/>
      </c>
      <c r="H1914" s="26" t="str">
        <f t="shared" si="239"/>
        <v/>
      </c>
      <c r="I1914" s="26" t="str">
        <f t="shared" si="233"/>
        <v/>
      </c>
      <c r="J1914" t="str">
        <f t="shared" si="234"/>
        <v/>
      </c>
      <c r="K1914" s="26" t="str">
        <f t="shared" si="235"/>
        <v/>
      </c>
      <c r="L1914" s="26" t="str">
        <f t="shared" si="236"/>
        <v/>
      </c>
      <c r="P1914" t="e">
        <f t="shared" si="237"/>
        <v>#N/A</v>
      </c>
      <c r="Q1914" t="e">
        <f t="shared" si="238"/>
        <v>#N/A</v>
      </c>
    </row>
    <row r="1915" spans="1:17">
      <c r="A1915" s="28"/>
      <c r="B1915" s="28"/>
      <c r="C1915" s="28"/>
      <c r="D1915" s="28"/>
      <c r="E1915" s="28"/>
      <c r="F1915" s="28"/>
      <c r="G1915" s="26" t="str">
        <f t="shared" si="232"/>
        <v/>
      </c>
      <c r="H1915" s="26" t="str">
        <f t="shared" si="239"/>
        <v/>
      </c>
      <c r="I1915" s="26" t="str">
        <f t="shared" si="233"/>
        <v/>
      </c>
      <c r="J1915" t="str">
        <f t="shared" si="234"/>
        <v/>
      </c>
      <c r="K1915" s="26" t="str">
        <f t="shared" si="235"/>
        <v/>
      </c>
      <c r="L1915" s="26" t="str">
        <f t="shared" si="236"/>
        <v/>
      </c>
      <c r="P1915" t="e">
        <f t="shared" si="237"/>
        <v>#N/A</v>
      </c>
      <c r="Q1915" t="e">
        <f t="shared" si="238"/>
        <v>#N/A</v>
      </c>
    </row>
    <row r="1916" spans="1:17">
      <c r="A1916" s="28"/>
      <c r="B1916" s="28"/>
      <c r="C1916" s="28"/>
      <c r="D1916" s="28"/>
      <c r="E1916" s="28"/>
      <c r="F1916" s="28"/>
      <c r="G1916" s="26" t="str">
        <f t="shared" si="232"/>
        <v/>
      </c>
      <c r="H1916" s="26" t="str">
        <f t="shared" si="239"/>
        <v/>
      </c>
      <c r="I1916" s="26" t="str">
        <f t="shared" si="233"/>
        <v/>
      </c>
      <c r="J1916" t="str">
        <f t="shared" si="234"/>
        <v/>
      </c>
      <c r="K1916" s="26" t="str">
        <f t="shared" si="235"/>
        <v/>
      </c>
      <c r="L1916" s="26" t="str">
        <f t="shared" si="236"/>
        <v/>
      </c>
      <c r="P1916" t="e">
        <f t="shared" si="237"/>
        <v>#N/A</v>
      </c>
      <c r="Q1916" t="e">
        <f t="shared" si="238"/>
        <v>#N/A</v>
      </c>
    </row>
    <row r="1917" spans="1:17">
      <c r="A1917" s="28"/>
      <c r="B1917" s="28"/>
      <c r="C1917" s="28"/>
      <c r="D1917" s="28"/>
      <c r="E1917" s="28"/>
      <c r="F1917" s="28"/>
      <c r="G1917" s="26" t="str">
        <f t="shared" si="232"/>
        <v/>
      </c>
      <c r="H1917" s="26" t="str">
        <f t="shared" si="239"/>
        <v/>
      </c>
      <c r="I1917" s="26" t="str">
        <f t="shared" si="233"/>
        <v/>
      </c>
      <c r="J1917" t="str">
        <f t="shared" si="234"/>
        <v/>
      </c>
      <c r="K1917" s="26" t="str">
        <f t="shared" si="235"/>
        <v/>
      </c>
      <c r="L1917" s="26" t="str">
        <f t="shared" si="236"/>
        <v/>
      </c>
      <c r="P1917" t="e">
        <f t="shared" si="237"/>
        <v>#N/A</v>
      </c>
      <c r="Q1917" t="e">
        <f t="shared" si="238"/>
        <v>#N/A</v>
      </c>
    </row>
    <row r="1918" spans="1:17">
      <c r="A1918" s="28"/>
      <c r="B1918" s="28"/>
      <c r="C1918" s="28"/>
      <c r="D1918" s="28"/>
      <c r="E1918" s="28"/>
      <c r="F1918" s="28"/>
      <c r="G1918" s="26" t="str">
        <f t="shared" si="232"/>
        <v/>
      </c>
      <c r="H1918" s="26" t="str">
        <f t="shared" si="239"/>
        <v/>
      </c>
      <c r="I1918" s="26" t="str">
        <f t="shared" si="233"/>
        <v/>
      </c>
      <c r="J1918" t="str">
        <f t="shared" si="234"/>
        <v/>
      </c>
      <c r="K1918" s="26" t="str">
        <f t="shared" si="235"/>
        <v/>
      </c>
      <c r="L1918" s="26" t="str">
        <f t="shared" si="236"/>
        <v/>
      </c>
      <c r="P1918" t="e">
        <f t="shared" si="237"/>
        <v>#N/A</v>
      </c>
      <c r="Q1918" t="e">
        <f t="shared" si="238"/>
        <v>#N/A</v>
      </c>
    </row>
    <row r="1919" spans="1:17">
      <c r="A1919" s="28"/>
      <c r="B1919" s="28"/>
      <c r="C1919" s="28"/>
      <c r="D1919" s="28"/>
      <c r="E1919" s="28"/>
      <c r="F1919" s="28"/>
      <c r="G1919" s="26" t="str">
        <f t="shared" si="232"/>
        <v/>
      </c>
      <c r="H1919" s="26" t="str">
        <f t="shared" si="239"/>
        <v/>
      </c>
      <c r="I1919" s="26" t="str">
        <f t="shared" si="233"/>
        <v/>
      </c>
      <c r="J1919" t="str">
        <f t="shared" si="234"/>
        <v/>
      </c>
      <c r="K1919" s="26" t="str">
        <f t="shared" si="235"/>
        <v/>
      </c>
      <c r="L1919" s="26" t="str">
        <f t="shared" si="236"/>
        <v/>
      </c>
      <c r="P1919" t="e">
        <f t="shared" si="237"/>
        <v>#N/A</v>
      </c>
      <c r="Q1919" t="e">
        <f t="shared" si="238"/>
        <v>#N/A</v>
      </c>
    </row>
    <row r="1920" spans="1:17">
      <c r="A1920" s="28"/>
      <c r="B1920" s="28"/>
      <c r="C1920" s="28"/>
      <c r="D1920" s="28"/>
      <c r="E1920" s="28"/>
      <c r="F1920" s="28"/>
      <c r="G1920" s="26" t="str">
        <f t="shared" si="232"/>
        <v/>
      </c>
      <c r="H1920" s="26" t="str">
        <f t="shared" si="239"/>
        <v/>
      </c>
      <c r="I1920" s="26" t="str">
        <f t="shared" si="233"/>
        <v/>
      </c>
      <c r="J1920" t="str">
        <f t="shared" si="234"/>
        <v/>
      </c>
      <c r="K1920" s="26" t="str">
        <f t="shared" si="235"/>
        <v/>
      </c>
      <c r="L1920" s="26" t="str">
        <f t="shared" si="236"/>
        <v/>
      </c>
      <c r="P1920" t="e">
        <f t="shared" si="237"/>
        <v>#N/A</v>
      </c>
      <c r="Q1920" t="e">
        <f t="shared" si="238"/>
        <v>#N/A</v>
      </c>
    </row>
    <row r="1921" spans="1:17">
      <c r="A1921" s="28"/>
      <c r="B1921" s="28"/>
      <c r="C1921" s="28"/>
      <c r="D1921" s="28"/>
      <c r="E1921" s="28"/>
      <c r="F1921" s="28"/>
      <c r="G1921" s="26" t="str">
        <f t="shared" si="232"/>
        <v/>
      </c>
      <c r="H1921" s="26" t="str">
        <f t="shared" si="239"/>
        <v/>
      </c>
      <c r="I1921" s="26" t="str">
        <f t="shared" si="233"/>
        <v/>
      </c>
      <c r="J1921" t="str">
        <f t="shared" si="234"/>
        <v/>
      </c>
      <c r="K1921" s="26" t="str">
        <f t="shared" si="235"/>
        <v/>
      </c>
      <c r="L1921" s="26" t="str">
        <f t="shared" si="236"/>
        <v/>
      </c>
      <c r="P1921" t="e">
        <f t="shared" si="237"/>
        <v>#N/A</v>
      </c>
      <c r="Q1921" t="e">
        <f t="shared" si="238"/>
        <v>#N/A</v>
      </c>
    </row>
    <row r="1922" spans="1:17">
      <c r="A1922" s="28"/>
      <c r="B1922" s="28"/>
      <c r="C1922" s="28"/>
      <c r="D1922" s="28"/>
      <c r="E1922" s="28"/>
      <c r="F1922" s="28"/>
      <c r="G1922" s="26" t="str">
        <f t="shared" ref="G1922:G1985" si="240">IF(B1922="","",243.04*(LN(C1922/100)+17.625*B1922/(243.04+B1922))/(17.625-LN(C1922/100)-17.625*B1922/(243.04+B1922)))</f>
        <v/>
      </c>
      <c r="H1922" s="26" t="str">
        <f t="shared" si="239"/>
        <v/>
      </c>
      <c r="I1922" s="26" t="str">
        <f t="shared" ref="I1922:I1985" si="241">IF(B1922="","",B1922-E1922)</f>
        <v/>
      </c>
      <c r="J1922" t="str">
        <f t="shared" ref="J1922:J1985" si="242">IF(H1922="","",IF(H1922&gt;0.6,"Heating",IF(H1922&lt;-0.2,"Cooling","Steady")))</f>
        <v/>
      </c>
      <c r="K1922" s="26" t="str">
        <f t="shared" ref="K1922:K1985" si="243">IF(J1922="Cooling",I1922,"")</f>
        <v/>
      </c>
      <c r="L1922" s="26" t="str">
        <f t="shared" ref="L1922:L1985" si="244">IF(J1922="Cooling",H1922,"")</f>
        <v/>
      </c>
      <c r="P1922" t="e">
        <f t="shared" ref="P1922:P1985" si="245">IF(K1922="",NA(),K1922)</f>
        <v>#N/A</v>
      </c>
      <c r="Q1922" t="e">
        <f t="shared" ref="Q1922:Q1985" si="246">IF(L1922="",NA(),L1922)</f>
        <v>#N/A</v>
      </c>
    </row>
    <row r="1923" spans="1:17">
      <c r="A1923" s="28"/>
      <c r="B1923" s="28"/>
      <c r="C1923" s="28"/>
      <c r="D1923" s="28"/>
      <c r="E1923" s="28"/>
      <c r="F1923" s="28"/>
      <c r="G1923" s="26" t="str">
        <f t="shared" si="240"/>
        <v/>
      </c>
      <c r="H1923" s="26" t="str">
        <f t="shared" si="239"/>
        <v/>
      </c>
      <c r="I1923" s="26" t="str">
        <f t="shared" si="241"/>
        <v/>
      </c>
      <c r="J1923" t="str">
        <f t="shared" si="242"/>
        <v/>
      </c>
      <c r="K1923" s="26" t="str">
        <f t="shared" si="243"/>
        <v/>
      </c>
      <c r="L1923" s="26" t="str">
        <f t="shared" si="244"/>
        <v/>
      </c>
      <c r="P1923" t="e">
        <f t="shared" si="245"/>
        <v>#N/A</v>
      </c>
      <c r="Q1923" t="e">
        <f t="shared" si="246"/>
        <v>#N/A</v>
      </c>
    </row>
    <row r="1924" spans="1:17">
      <c r="A1924" s="28"/>
      <c r="B1924" s="28"/>
      <c r="C1924" s="28"/>
      <c r="D1924" s="28"/>
      <c r="E1924" s="28"/>
      <c r="F1924" s="28"/>
      <c r="G1924" s="26" t="str">
        <f t="shared" si="240"/>
        <v/>
      </c>
      <c r="H1924" s="26" t="str">
        <f t="shared" ref="H1924:H1987" si="247">IFERROR(IF(OR(B1922="",B1926=""),"",(B1926-B1922)/4*60),"")</f>
        <v/>
      </c>
      <c r="I1924" s="26" t="str">
        <f t="shared" si="241"/>
        <v/>
      </c>
      <c r="J1924" t="str">
        <f t="shared" si="242"/>
        <v/>
      </c>
      <c r="K1924" s="26" t="str">
        <f t="shared" si="243"/>
        <v/>
      </c>
      <c r="L1924" s="26" t="str">
        <f t="shared" si="244"/>
        <v/>
      </c>
      <c r="P1924" t="e">
        <f t="shared" si="245"/>
        <v>#N/A</v>
      </c>
      <c r="Q1924" t="e">
        <f t="shared" si="246"/>
        <v>#N/A</v>
      </c>
    </row>
    <row r="1925" spans="1:17">
      <c r="A1925" s="28"/>
      <c r="B1925" s="28"/>
      <c r="C1925" s="28"/>
      <c r="D1925" s="28"/>
      <c r="E1925" s="28"/>
      <c r="F1925" s="28"/>
      <c r="G1925" s="26" t="str">
        <f t="shared" si="240"/>
        <v/>
      </c>
      <c r="H1925" s="26" t="str">
        <f t="shared" si="247"/>
        <v/>
      </c>
      <c r="I1925" s="26" t="str">
        <f t="shared" si="241"/>
        <v/>
      </c>
      <c r="J1925" t="str">
        <f t="shared" si="242"/>
        <v/>
      </c>
      <c r="K1925" s="26" t="str">
        <f t="shared" si="243"/>
        <v/>
      </c>
      <c r="L1925" s="26" t="str">
        <f t="shared" si="244"/>
        <v/>
      </c>
      <c r="P1925" t="e">
        <f t="shared" si="245"/>
        <v>#N/A</v>
      </c>
      <c r="Q1925" t="e">
        <f t="shared" si="246"/>
        <v>#N/A</v>
      </c>
    </row>
    <row r="1926" spans="1:17">
      <c r="A1926" s="28"/>
      <c r="B1926" s="28"/>
      <c r="C1926" s="28"/>
      <c r="D1926" s="28"/>
      <c r="E1926" s="28"/>
      <c r="F1926" s="28"/>
      <c r="G1926" s="26" t="str">
        <f t="shared" si="240"/>
        <v/>
      </c>
      <c r="H1926" s="26" t="str">
        <f t="shared" si="247"/>
        <v/>
      </c>
      <c r="I1926" s="26" t="str">
        <f t="shared" si="241"/>
        <v/>
      </c>
      <c r="J1926" t="str">
        <f t="shared" si="242"/>
        <v/>
      </c>
      <c r="K1926" s="26" t="str">
        <f t="shared" si="243"/>
        <v/>
      </c>
      <c r="L1926" s="26" t="str">
        <f t="shared" si="244"/>
        <v/>
      </c>
      <c r="P1926" t="e">
        <f t="shared" si="245"/>
        <v>#N/A</v>
      </c>
      <c r="Q1926" t="e">
        <f t="shared" si="246"/>
        <v>#N/A</v>
      </c>
    </row>
    <row r="1927" spans="1:17">
      <c r="A1927" s="28"/>
      <c r="B1927" s="28"/>
      <c r="C1927" s="28"/>
      <c r="D1927" s="28"/>
      <c r="E1927" s="28"/>
      <c r="F1927" s="28"/>
      <c r="G1927" s="26" t="str">
        <f t="shared" si="240"/>
        <v/>
      </c>
      <c r="H1927" s="26" t="str">
        <f t="shared" si="247"/>
        <v/>
      </c>
      <c r="I1927" s="26" t="str">
        <f t="shared" si="241"/>
        <v/>
      </c>
      <c r="J1927" t="str">
        <f t="shared" si="242"/>
        <v/>
      </c>
      <c r="K1927" s="26" t="str">
        <f t="shared" si="243"/>
        <v/>
      </c>
      <c r="L1927" s="26" t="str">
        <f t="shared" si="244"/>
        <v/>
      </c>
      <c r="P1927" t="e">
        <f t="shared" si="245"/>
        <v>#N/A</v>
      </c>
      <c r="Q1927" t="e">
        <f t="shared" si="246"/>
        <v>#N/A</v>
      </c>
    </row>
    <row r="1928" spans="1:17">
      <c r="A1928" s="28"/>
      <c r="B1928" s="28"/>
      <c r="C1928" s="28"/>
      <c r="D1928" s="28"/>
      <c r="E1928" s="28"/>
      <c r="F1928" s="28"/>
      <c r="G1928" s="26" t="str">
        <f t="shared" si="240"/>
        <v/>
      </c>
      <c r="H1928" s="26" t="str">
        <f t="shared" si="247"/>
        <v/>
      </c>
      <c r="I1928" s="26" t="str">
        <f t="shared" si="241"/>
        <v/>
      </c>
      <c r="J1928" t="str">
        <f t="shared" si="242"/>
        <v/>
      </c>
      <c r="K1928" s="26" t="str">
        <f t="shared" si="243"/>
        <v/>
      </c>
      <c r="L1928" s="26" t="str">
        <f t="shared" si="244"/>
        <v/>
      </c>
      <c r="P1928" t="e">
        <f t="shared" si="245"/>
        <v>#N/A</v>
      </c>
      <c r="Q1928" t="e">
        <f t="shared" si="246"/>
        <v>#N/A</v>
      </c>
    </row>
    <row r="1929" spans="1:17">
      <c r="A1929" s="28"/>
      <c r="B1929" s="28"/>
      <c r="C1929" s="28"/>
      <c r="D1929" s="28"/>
      <c r="E1929" s="28"/>
      <c r="F1929" s="28"/>
      <c r="G1929" s="26" t="str">
        <f t="shared" si="240"/>
        <v/>
      </c>
      <c r="H1929" s="26" t="str">
        <f t="shared" si="247"/>
        <v/>
      </c>
      <c r="I1929" s="26" t="str">
        <f t="shared" si="241"/>
        <v/>
      </c>
      <c r="J1929" t="str">
        <f t="shared" si="242"/>
        <v/>
      </c>
      <c r="K1929" s="26" t="str">
        <f t="shared" si="243"/>
        <v/>
      </c>
      <c r="L1929" s="26" t="str">
        <f t="shared" si="244"/>
        <v/>
      </c>
      <c r="P1929" t="e">
        <f t="shared" si="245"/>
        <v>#N/A</v>
      </c>
      <c r="Q1929" t="e">
        <f t="shared" si="246"/>
        <v>#N/A</v>
      </c>
    </row>
    <row r="1930" spans="1:17">
      <c r="A1930" s="28"/>
      <c r="B1930" s="28"/>
      <c r="C1930" s="28"/>
      <c r="D1930" s="28"/>
      <c r="E1930" s="28"/>
      <c r="F1930" s="28"/>
      <c r="G1930" s="26" t="str">
        <f t="shared" si="240"/>
        <v/>
      </c>
      <c r="H1930" s="26" t="str">
        <f t="shared" si="247"/>
        <v/>
      </c>
      <c r="I1930" s="26" t="str">
        <f t="shared" si="241"/>
        <v/>
      </c>
      <c r="J1930" t="str">
        <f t="shared" si="242"/>
        <v/>
      </c>
      <c r="K1930" s="26" t="str">
        <f t="shared" si="243"/>
        <v/>
      </c>
      <c r="L1930" s="26" t="str">
        <f t="shared" si="244"/>
        <v/>
      </c>
      <c r="P1930" t="e">
        <f t="shared" si="245"/>
        <v>#N/A</v>
      </c>
      <c r="Q1930" t="e">
        <f t="shared" si="246"/>
        <v>#N/A</v>
      </c>
    </row>
    <row r="1931" spans="1:17">
      <c r="A1931" s="28"/>
      <c r="B1931" s="28"/>
      <c r="C1931" s="28"/>
      <c r="D1931" s="28"/>
      <c r="E1931" s="28"/>
      <c r="F1931" s="28"/>
      <c r="G1931" s="26" t="str">
        <f t="shared" si="240"/>
        <v/>
      </c>
      <c r="H1931" s="26" t="str">
        <f t="shared" si="247"/>
        <v/>
      </c>
      <c r="I1931" s="26" t="str">
        <f t="shared" si="241"/>
        <v/>
      </c>
      <c r="J1931" t="str">
        <f t="shared" si="242"/>
        <v/>
      </c>
      <c r="K1931" s="26" t="str">
        <f t="shared" si="243"/>
        <v/>
      </c>
      <c r="L1931" s="26" t="str">
        <f t="shared" si="244"/>
        <v/>
      </c>
      <c r="P1931" t="e">
        <f t="shared" si="245"/>
        <v>#N/A</v>
      </c>
      <c r="Q1931" t="e">
        <f t="shared" si="246"/>
        <v>#N/A</v>
      </c>
    </row>
    <row r="1932" spans="1:17">
      <c r="A1932" s="28"/>
      <c r="B1932" s="28"/>
      <c r="C1932" s="28"/>
      <c r="D1932" s="28"/>
      <c r="E1932" s="28"/>
      <c r="F1932" s="28"/>
      <c r="G1932" s="26" t="str">
        <f t="shared" si="240"/>
        <v/>
      </c>
      <c r="H1932" s="26" t="str">
        <f t="shared" si="247"/>
        <v/>
      </c>
      <c r="I1932" s="26" t="str">
        <f t="shared" si="241"/>
        <v/>
      </c>
      <c r="J1932" t="str">
        <f t="shared" si="242"/>
        <v/>
      </c>
      <c r="K1932" s="26" t="str">
        <f t="shared" si="243"/>
        <v/>
      </c>
      <c r="L1932" s="26" t="str">
        <f t="shared" si="244"/>
        <v/>
      </c>
      <c r="P1932" t="e">
        <f t="shared" si="245"/>
        <v>#N/A</v>
      </c>
      <c r="Q1932" t="e">
        <f t="shared" si="246"/>
        <v>#N/A</v>
      </c>
    </row>
    <row r="1933" spans="1:17">
      <c r="A1933" s="28"/>
      <c r="B1933" s="28"/>
      <c r="C1933" s="28"/>
      <c r="D1933" s="28"/>
      <c r="E1933" s="28"/>
      <c r="F1933" s="28"/>
      <c r="G1933" s="26" t="str">
        <f t="shared" si="240"/>
        <v/>
      </c>
      <c r="H1933" s="26" t="str">
        <f t="shared" si="247"/>
        <v/>
      </c>
      <c r="I1933" s="26" t="str">
        <f t="shared" si="241"/>
        <v/>
      </c>
      <c r="J1933" t="str">
        <f t="shared" si="242"/>
        <v/>
      </c>
      <c r="K1933" s="26" t="str">
        <f t="shared" si="243"/>
        <v/>
      </c>
      <c r="L1933" s="26" t="str">
        <f t="shared" si="244"/>
        <v/>
      </c>
      <c r="P1933" t="e">
        <f t="shared" si="245"/>
        <v>#N/A</v>
      </c>
      <c r="Q1933" t="e">
        <f t="shared" si="246"/>
        <v>#N/A</v>
      </c>
    </row>
    <row r="1934" spans="1:17">
      <c r="A1934" s="28"/>
      <c r="B1934" s="28"/>
      <c r="C1934" s="28"/>
      <c r="D1934" s="28"/>
      <c r="E1934" s="28"/>
      <c r="F1934" s="28"/>
      <c r="G1934" s="26" t="str">
        <f t="shared" si="240"/>
        <v/>
      </c>
      <c r="H1934" s="26" t="str">
        <f t="shared" si="247"/>
        <v/>
      </c>
      <c r="I1934" s="26" t="str">
        <f t="shared" si="241"/>
        <v/>
      </c>
      <c r="J1934" t="str">
        <f t="shared" si="242"/>
        <v/>
      </c>
      <c r="K1934" s="26" t="str">
        <f t="shared" si="243"/>
        <v/>
      </c>
      <c r="L1934" s="26" t="str">
        <f t="shared" si="244"/>
        <v/>
      </c>
      <c r="P1934" t="e">
        <f t="shared" si="245"/>
        <v>#N/A</v>
      </c>
      <c r="Q1934" t="e">
        <f t="shared" si="246"/>
        <v>#N/A</v>
      </c>
    </row>
    <row r="1935" spans="1:17">
      <c r="A1935" s="28"/>
      <c r="B1935" s="28"/>
      <c r="C1935" s="28"/>
      <c r="D1935" s="28"/>
      <c r="E1935" s="28"/>
      <c r="F1935" s="28"/>
      <c r="G1935" s="26" t="str">
        <f t="shared" si="240"/>
        <v/>
      </c>
      <c r="H1935" s="26" t="str">
        <f t="shared" si="247"/>
        <v/>
      </c>
      <c r="I1935" s="26" t="str">
        <f t="shared" si="241"/>
        <v/>
      </c>
      <c r="J1935" t="str">
        <f t="shared" si="242"/>
        <v/>
      </c>
      <c r="K1935" s="26" t="str">
        <f t="shared" si="243"/>
        <v/>
      </c>
      <c r="L1935" s="26" t="str">
        <f t="shared" si="244"/>
        <v/>
      </c>
      <c r="P1935" t="e">
        <f t="shared" si="245"/>
        <v>#N/A</v>
      </c>
      <c r="Q1935" t="e">
        <f t="shared" si="246"/>
        <v>#N/A</v>
      </c>
    </row>
    <row r="1936" spans="1:17">
      <c r="A1936" s="28"/>
      <c r="B1936" s="28"/>
      <c r="C1936" s="28"/>
      <c r="D1936" s="28"/>
      <c r="E1936" s="28"/>
      <c r="F1936" s="28"/>
      <c r="G1936" s="26" t="str">
        <f t="shared" si="240"/>
        <v/>
      </c>
      <c r="H1936" s="26" t="str">
        <f t="shared" si="247"/>
        <v/>
      </c>
      <c r="I1936" s="26" t="str">
        <f t="shared" si="241"/>
        <v/>
      </c>
      <c r="J1936" t="str">
        <f t="shared" si="242"/>
        <v/>
      </c>
      <c r="K1936" s="26" t="str">
        <f t="shared" si="243"/>
        <v/>
      </c>
      <c r="L1936" s="26" t="str">
        <f t="shared" si="244"/>
        <v/>
      </c>
      <c r="P1936" t="e">
        <f t="shared" si="245"/>
        <v>#N/A</v>
      </c>
      <c r="Q1936" t="e">
        <f t="shared" si="246"/>
        <v>#N/A</v>
      </c>
    </row>
    <row r="1937" spans="1:17">
      <c r="A1937" s="28"/>
      <c r="B1937" s="28"/>
      <c r="C1937" s="28"/>
      <c r="D1937" s="28"/>
      <c r="E1937" s="28"/>
      <c r="F1937" s="28"/>
      <c r="G1937" s="26" t="str">
        <f t="shared" si="240"/>
        <v/>
      </c>
      <c r="H1937" s="26" t="str">
        <f t="shared" si="247"/>
        <v/>
      </c>
      <c r="I1937" s="26" t="str">
        <f t="shared" si="241"/>
        <v/>
      </c>
      <c r="J1937" t="str">
        <f t="shared" si="242"/>
        <v/>
      </c>
      <c r="K1937" s="26" t="str">
        <f t="shared" si="243"/>
        <v/>
      </c>
      <c r="L1937" s="26" t="str">
        <f t="shared" si="244"/>
        <v/>
      </c>
      <c r="P1937" t="e">
        <f t="shared" si="245"/>
        <v>#N/A</v>
      </c>
      <c r="Q1937" t="e">
        <f t="shared" si="246"/>
        <v>#N/A</v>
      </c>
    </row>
    <row r="1938" spans="1:17">
      <c r="A1938" s="28"/>
      <c r="B1938" s="28"/>
      <c r="C1938" s="28"/>
      <c r="D1938" s="28"/>
      <c r="E1938" s="28"/>
      <c r="F1938" s="28"/>
      <c r="G1938" s="26" t="str">
        <f t="shared" si="240"/>
        <v/>
      </c>
      <c r="H1938" s="26" t="str">
        <f t="shared" si="247"/>
        <v/>
      </c>
      <c r="I1938" s="26" t="str">
        <f t="shared" si="241"/>
        <v/>
      </c>
      <c r="J1938" t="str">
        <f t="shared" si="242"/>
        <v/>
      </c>
      <c r="K1938" s="26" t="str">
        <f t="shared" si="243"/>
        <v/>
      </c>
      <c r="L1938" s="26" t="str">
        <f t="shared" si="244"/>
        <v/>
      </c>
      <c r="P1938" t="e">
        <f t="shared" si="245"/>
        <v>#N/A</v>
      </c>
      <c r="Q1938" t="e">
        <f t="shared" si="246"/>
        <v>#N/A</v>
      </c>
    </row>
    <row r="1939" spans="1:17">
      <c r="A1939" s="28"/>
      <c r="B1939" s="28"/>
      <c r="C1939" s="28"/>
      <c r="D1939" s="28"/>
      <c r="E1939" s="28"/>
      <c r="F1939" s="28"/>
      <c r="G1939" s="26" t="str">
        <f t="shared" si="240"/>
        <v/>
      </c>
      <c r="H1939" s="26" t="str">
        <f t="shared" si="247"/>
        <v/>
      </c>
      <c r="I1939" s="26" t="str">
        <f t="shared" si="241"/>
        <v/>
      </c>
      <c r="J1939" t="str">
        <f t="shared" si="242"/>
        <v/>
      </c>
      <c r="K1939" s="26" t="str">
        <f t="shared" si="243"/>
        <v/>
      </c>
      <c r="L1939" s="26" t="str">
        <f t="shared" si="244"/>
        <v/>
      </c>
      <c r="P1939" t="e">
        <f t="shared" si="245"/>
        <v>#N/A</v>
      </c>
      <c r="Q1939" t="e">
        <f t="shared" si="246"/>
        <v>#N/A</v>
      </c>
    </row>
    <row r="1940" spans="1:17">
      <c r="A1940" s="28"/>
      <c r="B1940" s="28"/>
      <c r="C1940" s="28"/>
      <c r="D1940" s="28"/>
      <c r="E1940" s="28"/>
      <c r="F1940" s="28"/>
      <c r="G1940" s="26" t="str">
        <f t="shared" si="240"/>
        <v/>
      </c>
      <c r="H1940" s="26" t="str">
        <f t="shared" si="247"/>
        <v/>
      </c>
      <c r="I1940" s="26" t="str">
        <f t="shared" si="241"/>
        <v/>
      </c>
      <c r="J1940" t="str">
        <f t="shared" si="242"/>
        <v/>
      </c>
      <c r="K1940" s="26" t="str">
        <f t="shared" si="243"/>
        <v/>
      </c>
      <c r="L1940" s="26" t="str">
        <f t="shared" si="244"/>
        <v/>
      </c>
      <c r="P1940" t="e">
        <f t="shared" si="245"/>
        <v>#N/A</v>
      </c>
      <c r="Q1940" t="e">
        <f t="shared" si="246"/>
        <v>#N/A</v>
      </c>
    </row>
    <row r="1941" spans="1:17">
      <c r="A1941" s="28"/>
      <c r="B1941" s="28"/>
      <c r="C1941" s="28"/>
      <c r="D1941" s="28"/>
      <c r="E1941" s="28"/>
      <c r="F1941" s="28"/>
      <c r="G1941" s="26" t="str">
        <f t="shared" si="240"/>
        <v/>
      </c>
      <c r="H1941" s="26" t="str">
        <f t="shared" si="247"/>
        <v/>
      </c>
      <c r="I1941" s="26" t="str">
        <f t="shared" si="241"/>
        <v/>
      </c>
      <c r="J1941" t="str">
        <f t="shared" si="242"/>
        <v/>
      </c>
      <c r="K1941" s="26" t="str">
        <f t="shared" si="243"/>
        <v/>
      </c>
      <c r="L1941" s="26" t="str">
        <f t="shared" si="244"/>
        <v/>
      </c>
      <c r="P1941" t="e">
        <f t="shared" si="245"/>
        <v>#N/A</v>
      </c>
      <c r="Q1941" t="e">
        <f t="shared" si="246"/>
        <v>#N/A</v>
      </c>
    </row>
    <row r="1942" spans="1:17">
      <c r="A1942" s="28"/>
      <c r="B1942" s="28"/>
      <c r="C1942" s="28"/>
      <c r="D1942" s="28"/>
      <c r="E1942" s="28"/>
      <c r="F1942" s="28"/>
      <c r="G1942" s="26" t="str">
        <f t="shared" si="240"/>
        <v/>
      </c>
      <c r="H1942" s="26" t="str">
        <f t="shared" si="247"/>
        <v/>
      </c>
      <c r="I1942" s="26" t="str">
        <f t="shared" si="241"/>
        <v/>
      </c>
      <c r="J1942" t="str">
        <f t="shared" si="242"/>
        <v/>
      </c>
      <c r="K1942" s="26" t="str">
        <f t="shared" si="243"/>
        <v/>
      </c>
      <c r="L1942" s="26" t="str">
        <f t="shared" si="244"/>
        <v/>
      </c>
      <c r="P1942" t="e">
        <f t="shared" si="245"/>
        <v>#N/A</v>
      </c>
      <c r="Q1942" t="e">
        <f t="shared" si="246"/>
        <v>#N/A</v>
      </c>
    </row>
    <row r="1943" spans="1:17">
      <c r="A1943" s="28"/>
      <c r="B1943" s="28"/>
      <c r="C1943" s="28"/>
      <c r="D1943" s="28"/>
      <c r="E1943" s="28"/>
      <c r="F1943" s="28"/>
      <c r="G1943" s="26" t="str">
        <f t="shared" si="240"/>
        <v/>
      </c>
      <c r="H1943" s="26" t="str">
        <f t="shared" si="247"/>
        <v/>
      </c>
      <c r="I1943" s="26" t="str">
        <f t="shared" si="241"/>
        <v/>
      </c>
      <c r="J1943" t="str">
        <f t="shared" si="242"/>
        <v/>
      </c>
      <c r="K1943" s="26" t="str">
        <f t="shared" si="243"/>
        <v/>
      </c>
      <c r="L1943" s="26" t="str">
        <f t="shared" si="244"/>
        <v/>
      </c>
      <c r="P1943" t="e">
        <f t="shared" si="245"/>
        <v>#N/A</v>
      </c>
      <c r="Q1943" t="e">
        <f t="shared" si="246"/>
        <v>#N/A</v>
      </c>
    </row>
    <row r="1944" spans="1:17">
      <c r="A1944" s="28"/>
      <c r="B1944" s="28"/>
      <c r="C1944" s="28"/>
      <c r="D1944" s="28"/>
      <c r="E1944" s="28"/>
      <c r="F1944" s="28"/>
      <c r="G1944" s="26" t="str">
        <f t="shared" si="240"/>
        <v/>
      </c>
      <c r="H1944" s="26" t="str">
        <f t="shared" si="247"/>
        <v/>
      </c>
      <c r="I1944" s="26" t="str">
        <f t="shared" si="241"/>
        <v/>
      </c>
      <c r="J1944" t="str">
        <f t="shared" si="242"/>
        <v/>
      </c>
      <c r="K1944" s="26" t="str">
        <f t="shared" si="243"/>
        <v/>
      </c>
      <c r="L1944" s="26" t="str">
        <f t="shared" si="244"/>
        <v/>
      </c>
      <c r="P1944" t="e">
        <f t="shared" si="245"/>
        <v>#N/A</v>
      </c>
      <c r="Q1944" t="e">
        <f t="shared" si="246"/>
        <v>#N/A</v>
      </c>
    </row>
    <row r="1945" spans="1:17">
      <c r="A1945" s="28"/>
      <c r="B1945" s="28"/>
      <c r="C1945" s="28"/>
      <c r="D1945" s="28"/>
      <c r="E1945" s="28"/>
      <c r="F1945" s="28"/>
      <c r="G1945" s="26" t="str">
        <f t="shared" si="240"/>
        <v/>
      </c>
      <c r="H1945" s="26" t="str">
        <f t="shared" si="247"/>
        <v/>
      </c>
      <c r="I1945" s="26" t="str">
        <f t="shared" si="241"/>
        <v/>
      </c>
      <c r="J1945" t="str">
        <f t="shared" si="242"/>
        <v/>
      </c>
      <c r="K1945" s="26" t="str">
        <f t="shared" si="243"/>
        <v/>
      </c>
      <c r="L1945" s="26" t="str">
        <f t="shared" si="244"/>
        <v/>
      </c>
      <c r="P1945" t="e">
        <f t="shared" si="245"/>
        <v>#N/A</v>
      </c>
      <c r="Q1945" t="e">
        <f t="shared" si="246"/>
        <v>#N/A</v>
      </c>
    </row>
    <row r="1946" spans="1:17">
      <c r="A1946" s="28"/>
      <c r="B1946" s="28"/>
      <c r="C1946" s="28"/>
      <c r="D1946" s="28"/>
      <c r="E1946" s="28"/>
      <c r="F1946" s="28"/>
      <c r="G1946" s="26" t="str">
        <f t="shared" si="240"/>
        <v/>
      </c>
      <c r="H1946" s="26" t="str">
        <f t="shared" si="247"/>
        <v/>
      </c>
      <c r="I1946" s="26" t="str">
        <f t="shared" si="241"/>
        <v/>
      </c>
      <c r="J1946" t="str">
        <f t="shared" si="242"/>
        <v/>
      </c>
      <c r="K1946" s="26" t="str">
        <f t="shared" si="243"/>
        <v/>
      </c>
      <c r="L1946" s="26" t="str">
        <f t="shared" si="244"/>
        <v/>
      </c>
      <c r="P1946" t="e">
        <f t="shared" si="245"/>
        <v>#N/A</v>
      </c>
      <c r="Q1946" t="e">
        <f t="shared" si="246"/>
        <v>#N/A</v>
      </c>
    </row>
    <row r="1947" spans="1:17">
      <c r="A1947" s="28"/>
      <c r="B1947" s="28"/>
      <c r="C1947" s="28"/>
      <c r="D1947" s="28"/>
      <c r="E1947" s="28"/>
      <c r="F1947" s="28"/>
      <c r="G1947" s="26" t="str">
        <f t="shared" si="240"/>
        <v/>
      </c>
      <c r="H1947" s="26" t="str">
        <f t="shared" si="247"/>
        <v/>
      </c>
      <c r="I1947" s="26" t="str">
        <f t="shared" si="241"/>
        <v/>
      </c>
      <c r="J1947" t="str">
        <f t="shared" si="242"/>
        <v/>
      </c>
      <c r="K1947" s="26" t="str">
        <f t="shared" si="243"/>
        <v/>
      </c>
      <c r="L1947" s="26" t="str">
        <f t="shared" si="244"/>
        <v/>
      </c>
      <c r="P1947" t="e">
        <f t="shared" si="245"/>
        <v>#N/A</v>
      </c>
      <c r="Q1947" t="e">
        <f t="shared" si="246"/>
        <v>#N/A</v>
      </c>
    </row>
    <row r="1948" spans="1:17">
      <c r="A1948" s="28"/>
      <c r="B1948" s="28"/>
      <c r="C1948" s="28"/>
      <c r="D1948" s="28"/>
      <c r="E1948" s="28"/>
      <c r="F1948" s="28"/>
      <c r="G1948" s="26" t="str">
        <f t="shared" si="240"/>
        <v/>
      </c>
      <c r="H1948" s="26" t="str">
        <f t="shared" si="247"/>
        <v/>
      </c>
      <c r="I1948" s="26" t="str">
        <f t="shared" si="241"/>
        <v/>
      </c>
      <c r="J1948" t="str">
        <f t="shared" si="242"/>
        <v/>
      </c>
      <c r="K1948" s="26" t="str">
        <f t="shared" si="243"/>
        <v/>
      </c>
      <c r="L1948" s="26" t="str">
        <f t="shared" si="244"/>
        <v/>
      </c>
      <c r="P1948" t="e">
        <f t="shared" si="245"/>
        <v>#N/A</v>
      </c>
      <c r="Q1948" t="e">
        <f t="shared" si="246"/>
        <v>#N/A</v>
      </c>
    </row>
    <row r="1949" spans="1:17">
      <c r="A1949" s="28"/>
      <c r="B1949" s="28"/>
      <c r="C1949" s="28"/>
      <c r="D1949" s="28"/>
      <c r="E1949" s="28"/>
      <c r="F1949" s="28"/>
      <c r="G1949" s="26" t="str">
        <f t="shared" si="240"/>
        <v/>
      </c>
      <c r="H1949" s="26" t="str">
        <f t="shared" si="247"/>
        <v/>
      </c>
      <c r="I1949" s="26" t="str">
        <f t="shared" si="241"/>
        <v/>
      </c>
      <c r="J1949" t="str">
        <f t="shared" si="242"/>
        <v/>
      </c>
      <c r="K1949" s="26" t="str">
        <f t="shared" si="243"/>
        <v/>
      </c>
      <c r="L1949" s="26" t="str">
        <f t="shared" si="244"/>
        <v/>
      </c>
      <c r="P1949" t="e">
        <f t="shared" si="245"/>
        <v>#N/A</v>
      </c>
      <c r="Q1949" t="e">
        <f t="shared" si="246"/>
        <v>#N/A</v>
      </c>
    </row>
    <row r="1950" spans="1:17">
      <c r="A1950" s="28"/>
      <c r="B1950" s="28"/>
      <c r="C1950" s="28"/>
      <c r="D1950" s="28"/>
      <c r="E1950" s="28"/>
      <c r="F1950" s="28"/>
      <c r="G1950" s="26" t="str">
        <f t="shared" si="240"/>
        <v/>
      </c>
      <c r="H1950" s="26" t="str">
        <f t="shared" si="247"/>
        <v/>
      </c>
      <c r="I1950" s="26" t="str">
        <f t="shared" si="241"/>
        <v/>
      </c>
      <c r="J1950" t="str">
        <f t="shared" si="242"/>
        <v/>
      </c>
      <c r="K1950" s="26" t="str">
        <f t="shared" si="243"/>
        <v/>
      </c>
      <c r="L1950" s="26" t="str">
        <f t="shared" si="244"/>
        <v/>
      </c>
      <c r="P1950" t="e">
        <f t="shared" si="245"/>
        <v>#N/A</v>
      </c>
      <c r="Q1950" t="e">
        <f t="shared" si="246"/>
        <v>#N/A</v>
      </c>
    </row>
    <row r="1951" spans="1:17">
      <c r="A1951" s="28"/>
      <c r="B1951" s="28"/>
      <c r="C1951" s="28"/>
      <c r="D1951" s="28"/>
      <c r="E1951" s="28"/>
      <c r="F1951" s="28"/>
      <c r="G1951" s="26" t="str">
        <f t="shared" si="240"/>
        <v/>
      </c>
      <c r="H1951" s="26" t="str">
        <f t="shared" si="247"/>
        <v/>
      </c>
      <c r="I1951" s="26" t="str">
        <f t="shared" si="241"/>
        <v/>
      </c>
      <c r="J1951" t="str">
        <f t="shared" si="242"/>
        <v/>
      </c>
      <c r="K1951" s="26" t="str">
        <f t="shared" si="243"/>
        <v/>
      </c>
      <c r="L1951" s="26" t="str">
        <f t="shared" si="244"/>
        <v/>
      </c>
      <c r="P1951" t="e">
        <f t="shared" si="245"/>
        <v>#N/A</v>
      </c>
      <c r="Q1951" t="e">
        <f t="shared" si="246"/>
        <v>#N/A</v>
      </c>
    </row>
    <row r="1952" spans="1:17">
      <c r="A1952" s="28"/>
      <c r="B1952" s="28"/>
      <c r="C1952" s="28"/>
      <c r="D1952" s="28"/>
      <c r="E1952" s="28"/>
      <c r="F1952" s="28"/>
      <c r="G1952" s="26" t="str">
        <f t="shared" si="240"/>
        <v/>
      </c>
      <c r="H1952" s="26" t="str">
        <f t="shared" si="247"/>
        <v/>
      </c>
      <c r="I1952" s="26" t="str">
        <f t="shared" si="241"/>
        <v/>
      </c>
      <c r="J1952" t="str">
        <f t="shared" si="242"/>
        <v/>
      </c>
      <c r="K1952" s="26" t="str">
        <f t="shared" si="243"/>
        <v/>
      </c>
      <c r="L1952" s="26" t="str">
        <f t="shared" si="244"/>
        <v/>
      </c>
      <c r="P1952" t="e">
        <f t="shared" si="245"/>
        <v>#N/A</v>
      </c>
      <c r="Q1952" t="e">
        <f t="shared" si="246"/>
        <v>#N/A</v>
      </c>
    </row>
    <row r="1953" spans="1:17">
      <c r="A1953" s="28"/>
      <c r="B1953" s="28"/>
      <c r="C1953" s="28"/>
      <c r="D1953" s="28"/>
      <c r="E1953" s="28"/>
      <c r="F1953" s="28"/>
      <c r="G1953" s="26" t="str">
        <f t="shared" si="240"/>
        <v/>
      </c>
      <c r="H1953" s="26" t="str">
        <f t="shared" si="247"/>
        <v/>
      </c>
      <c r="I1953" s="26" t="str">
        <f t="shared" si="241"/>
        <v/>
      </c>
      <c r="J1953" t="str">
        <f t="shared" si="242"/>
        <v/>
      </c>
      <c r="K1953" s="26" t="str">
        <f t="shared" si="243"/>
        <v/>
      </c>
      <c r="L1953" s="26" t="str">
        <f t="shared" si="244"/>
        <v/>
      </c>
      <c r="P1953" t="e">
        <f t="shared" si="245"/>
        <v>#N/A</v>
      </c>
      <c r="Q1953" t="e">
        <f t="shared" si="246"/>
        <v>#N/A</v>
      </c>
    </row>
    <row r="1954" spans="1:17">
      <c r="A1954" s="28"/>
      <c r="B1954" s="28"/>
      <c r="C1954" s="28"/>
      <c r="D1954" s="28"/>
      <c r="E1954" s="28"/>
      <c r="F1954" s="28"/>
      <c r="G1954" s="26" t="str">
        <f t="shared" si="240"/>
        <v/>
      </c>
      <c r="H1954" s="26" t="str">
        <f t="shared" si="247"/>
        <v/>
      </c>
      <c r="I1954" s="26" t="str">
        <f t="shared" si="241"/>
        <v/>
      </c>
      <c r="J1954" t="str">
        <f t="shared" si="242"/>
        <v/>
      </c>
      <c r="K1954" s="26" t="str">
        <f t="shared" si="243"/>
        <v/>
      </c>
      <c r="L1954" s="26" t="str">
        <f t="shared" si="244"/>
        <v/>
      </c>
      <c r="P1954" t="e">
        <f t="shared" si="245"/>
        <v>#N/A</v>
      </c>
      <c r="Q1954" t="e">
        <f t="shared" si="246"/>
        <v>#N/A</v>
      </c>
    </row>
    <row r="1955" spans="1:17">
      <c r="A1955" s="28"/>
      <c r="B1955" s="28"/>
      <c r="C1955" s="28"/>
      <c r="D1955" s="28"/>
      <c r="E1955" s="28"/>
      <c r="F1955" s="28"/>
      <c r="G1955" s="26" t="str">
        <f t="shared" si="240"/>
        <v/>
      </c>
      <c r="H1955" s="26" t="str">
        <f t="shared" si="247"/>
        <v/>
      </c>
      <c r="I1955" s="26" t="str">
        <f t="shared" si="241"/>
        <v/>
      </c>
      <c r="J1955" t="str">
        <f t="shared" si="242"/>
        <v/>
      </c>
      <c r="K1955" s="26" t="str">
        <f t="shared" si="243"/>
        <v/>
      </c>
      <c r="L1955" s="26" t="str">
        <f t="shared" si="244"/>
        <v/>
      </c>
      <c r="P1955" t="e">
        <f t="shared" si="245"/>
        <v>#N/A</v>
      </c>
      <c r="Q1955" t="e">
        <f t="shared" si="246"/>
        <v>#N/A</v>
      </c>
    </row>
    <row r="1956" spans="1:17">
      <c r="A1956" s="28"/>
      <c r="B1956" s="28"/>
      <c r="C1956" s="28"/>
      <c r="D1956" s="28"/>
      <c r="E1956" s="28"/>
      <c r="F1956" s="28"/>
      <c r="G1956" s="26" t="str">
        <f t="shared" si="240"/>
        <v/>
      </c>
      <c r="H1956" s="26" t="str">
        <f t="shared" si="247"/>
        <v/>
      </c>
      <c r="I1956" s="26" t="str">
        <f t="shared" si="241"/>
        <v/>
      </c>
      <c r="J1956" t="str">
        <f t="shared" si="242"/>
        <v/>
      </c>
      <c r="K1956" s="26" t="str">
        <f t="shared" si="243"/>
        <v/>
      </c>
      <c r="L1956" s="26" t="str">
        <f t="shared" si="244"/>
        <v/>
      </c>
      <c r="P1956" t="e">
        <f t="shared" si="245"/>
        <v>#N/A</v>
      </c>
      <c r="Q1956" t="e">
        <f t="shared" si="246"/>
        <v>#N/A</v>
      </c>
    </row>
    <row r="1957" spans="1:17">
      <c r="A1957" s="28"/>
      <c r="B1957" s="28"/>
      <c r="C1957" s="28"/>
      <c r="D1957" s="28"/>
      <c r="E1957" s="28"/>
      <c r="F1957" s="28"/>
      <c r="G1957" s="26" t="str">
        <f t="shared" si="240"/>
        <v/>
      </c>
      <c r="H1957" s="26" t="str">
        <f t="shared" si="247"/>
        <v/>
      </c>
      <c r="I1957" s="26" t="str">
        <f t="shared" si="241"/>
        <v/>
      </c>
      <c r="J1957" t="str">
        <f t="shared" si="242"/>
        <v/>
      </c>
      <c r="K1957" s="26" t="str">
        <f t="shared" si="243"/>
        <v/>
      </c>
      <c r="L1957" s="26" t="str">
        <f t="shared" si="244"/>
        <v/>
      </c>
      <c r="P1957" t="e">
        <f t="shared" si="245"/>
        <v>#N/A</v>
      </c>
      <c r="Q1957" t="e">
        <f t="shared" si="246"/>
        <v>#N/A</v>
      </c>
    </row>
    <row r="1958" spans="1:17">
      <c r="A1958" s="28"/>
      <c r="B1958" s="28"/>
      <c r="C1958" s="28"/>
      <c r="D1958" s="28"/>
      <c r="E1958" s="28"/>
      <c r="F1958" s="28"/>
      <c r="G1958" s="26" t="str">
        <f t="shared" si="240"/>
        <v/>
      </c>
      <c r="H1958" s="26" t="str">
        <f t="shared" si="247"/>
        <v/>
      </c>
      <c r="I1958" s="26" t="str">
        <f t="shared" si="241"/>
        <v/>
      </c>
      <c r="J1958" t="str">
        <f t="shared" si="242"/>
        <v/>
      </c>
      <c r="K1958" s="26" t="str">
        <f t="shared" si="243"/>
        <v/>
      </c>
      <c r="L1958" s="26" t="str">
        <f t="shared" si="244"/>
        <v/>
      </c>
      <c r="P1958" t="e">
        <f t="shared" si="245"/>
        <v>#N/A</v>
      </c>
      <c r="Q1958" t="e">
        <f t="shared" si="246"/>
        <v>#N/A</v>
      </c>
    </row>
    <row r="1959" spans="1:17">
      <c r="A1959" s="28"/>
      <c r="B1959" s="28"/>
      <c r="C1959" s="28"/>
      <c r="D1959" s="28"/>
      <c r="E1959" s="28"/>
      <c r="F1959" s="28"/>
      <c r="G1959" s="26" t="str">
        <f t="shared" si="240"/>
        <v/>
      </c>
      <c r="H1959" s="26" t="str">
        <f t="shared" si="247"/>
        <v/>
      </c>
      <c r="I1959" s="26" t="str">
        <f t="shared" si="241"/>
        <v/>
      </c>
      <c r="J1959" t="str">
        <f t="shared" si="242"/>
        <v/>
      </c>
      <c r="K1959" s="26" t="str">
        <f t="shared" si="243"/>
        <v/>
      </c>
      <c r="L1959" s="26" t="str">
        <f t="shared" si="244"/>
        <v/>
      </c>
      <c r="P1959" t="e">
        <f t="shared" si="245"/>
        <v>#N/A</v>
      </c>
      <c r="Q1959" t="e">
        <f t="shared" si="246"/>
        <v>#N/A</v>
      </c>
    </row>
    <row r="1960" spans="1:17">
      <c r="A1960" s="28"/>
      <c r="B1960" s="28"/>
      <c r="C1960" s="28"/>
      <c r="D1960" s="28"/>
      <c r="E1960" s="28"/>
      <c r="F1960" s="28"/>
      <c r="G1960" s="26" t="str">
        <f t="shared" si="240"/>
        <v/>
      </c>
      <c r="H1960" s="26" t="str">
        <f t="shared" si="247"/>
        <v/>
      </c>
      <c r="I1960" s="26" t="str">
        <f t="shared" si="241"/>
        <v/>
      </c>
      <c r="J1960" t="str">
        <f t="shared" si="242"/>
        <v/>
      </c>
      <c r="K1960" s="26" t="str">
        <f t="shared" si="243"/>
        <v/>
      </c>
      <c r="L1960" s="26" t="str">
        <f t="shared" si="244"/>
        <v/>
      </c>
      <c r="P1960" t="e">
        <f t="shared" si="245"/>
        <v>#N/A</v>
      </c>
      <c r="Q1960" t="e">
        <f t="shared" si="246"/>
        <v>#N/A</v>
      </c>
    </row>
    <row r="1961" spans="1:17">
      <c r="A1961" s="28"/>
      <c r="B1961" s="28"/>
      <c r="C1961" s="28"/>
      <c r="D1961" s="28"/>
      <c r="E1961" s="28"/>
      <c r="F1961" s="28"/>
      <c r="G1961" s="26" t="str">
        <f t="shared" si="240"/>
        <v/>
      </c>
      <c r="H1961" s="26" t="str">
        <f t="shared" si="247"/>
        <v/>
      </c>
      <c r="I1961" s="26" t="str">
        <f t="shared" si="241"/>
        <v/>
      </c>
      <c r="J1961" t="str">
        <f t="shared" si="242"/>
        <v/>
      </c>
      <c r="K1961" s="26" t="str">
        <f t="shared" si="243"/>
        <v/>
      </c>
      <c r="L1961" s="26" t="str">
        <f t="shared" si="244"/>
        <v/>
      </c>
      <c r="P1961" t="e">
        <f t="shared" si="245"/>
        <v>#N/A</v>
      </c>
      <c r="Q1961" t="e">
        <f t="shared" si="246"/>
        <v>#N/A</v>
      </c>
    </row>
    <row r="1962" spans="1:17">
      <c r="A1962" s="28"/>
      <c r="B1962" s="28"/>
      <c r="C1962" s="28"/>
      <c r="D1962" s="28"/>
      <c r="E1962" s="28"/>
      <c r="F1962" s="28"/>
      <c r="G1962" s="26" t="str">
        <f t="shared" si="240"/>
        <v/>
      </c>
      <c r="H1962" s="26" t="str">
        <f t="shared" si="247"/>
        <v/>
      </c>
      <c r="I1962" s="26" t="str">
        <f t="shared" si="241"/>
        <v/>
      </c>
      <c r="J1962" t="str">
        <f t="shared" si="242"/>
        <v/>
      </c>
      <c r="K1962" s="26" t="str">
        <f t="shared" si="243"/>
        <v/>
      </c>
      <c r="L1962" s="26" t="str">
        <f t="shared" si="244"/>
        <v/>
      </c>
      <c r="P1962" t="e">
        <f t="shared" si="245"/>
        <v>#N/A</v>
      </c>
      <c r="Q1962" t="e">
        <f t="shared" si="246"/>
        <v>#N/A</v>
      </c>
    </row>
    <row r="1963" spans="1:17">
      <c r="A1963" s="28"/>
      <c r="B1963" s="28"/>
      <c r="C1963" s="28"/>
      <c r="D1963" s="28"/>
      <c r="E1963" s="28"/>
      <c r="F1963" s="28"/>
      <c r="G1963" s="26" t="str">
        <f t="shared" si="240"/>
        <v/>
      </c>
      <c r="H1963" s="26" t="str">
        <f t="shared" si="247"/>
        <v/>
      </c>
      <c r="I1963" s="26" t="str">
        <f t="shared" si="241"/>
        <v/>
      </c>
      <c r="J1963" t="str">
        <f t="shared" si="242"/>
        <v/>
      </c>
      <c r="K1963" s="26" t="str">
        <f t="shared" si="243"/>
        <v/>
      </c>
      <c r="L1963" s="26" t="str">
        <f t="shared" si="244"/>
        <v/>
      </c>
      <c r="P1963" t="e">
        <f t="shared" si="245"/>
        <v>#N/A</v>
      </c>
      <c r="Q1963" t="e">
        <f t="shared" si="246"/>
        <v>#N/A</v>
      </c>
    </row>
    <row r="1964" spans="1:17">
      <c r="A1964" s="28"/>
      <c r="B1964" s="28"/>
      <c r="C1964" s="28"/>
      <c r="D1964" s="28"/>
      <c r="E1964" s="28"/>
      <c r="F1964" s="28"/>
      <c r="G1964" s="26" t="str">
        <f t="shared" si="240"/>
        <v/>
      </c>
      <c r="H1964" s="26" t="str">
        <f t="shared" si="247"/>
        <v/>
      </c>
      <c r="I1964" s="26" t="str">
        <f t="shared" si="241"/>
        <v/>
      </c>
      <c r="J1964" t="str">
        <f t="shared" si="242"/>
        <v/>
      </c>
      <c r="K1964" s="26" t="str">
        <f t="shared" si="243"/>
        <v/>
      </c>
      <c r="L1964" s="26" t="str">
        <f t="shared" si="244"/>
        <v/>
      </c>
      <c r="P1964" t="e">
        <f t="shared" si="245"/>
        <v>#N/A</v>
      </c>
      <c r="Q1964" t="e">
        <f t="shared" si="246"/>
        <v>#N/A</v>
      </c>
    </row>
    <row r="1965" spans="1:17">
      <c r="A1965" s="28"/>
      <c r="B1965" s="28"/>
      <c r="C1965" s="28"/>
      <c r="D1965" s="28"/>
      <c r="E1965" s="28"/>
      <c r="F1965" s="28"/>
      <c r="G1965" s="26" t="str">
        <f t="shared" si="240"/>
        <v/>
      </c>
      <c r="H1965" s="26" t="str">
        <f t="shared" si="247"/>
        <v/>
      </c>
      <c r="I1965" s="26" t="str">
        <f t="shared" si="241"/>
        <v/>
      </c>
      <c r="J1965" t="str">
        <f t="shared" si="242"/>
        <v/>
      </c>
      <c r="K1965" s="26" t="str">
        <f t="shared" si="243"/>
        <v/>
      </c>
      <c r="L1965" s="26" t="str">
        <f t="shared" si="244"/>
        <v/>
      </c>
      <c r="P1965" t="e">
        <f t="shared" si="245"/>
        <v>#N/A</v>
      </c>
      <c r="Q1965" t="e">
        <f t="shared" si="246"/>
        <v>#N/A</v>
      </c>
    </row>
    <row r="1966" spans="1:17">
      <c r="A1966" s="28"/>
      <c r="B1966" s="28"/>
      <c r="C1966" s="28"/>
      <c r="D1966" s="28"/>
      <c r="E1966" s="28"/>
      <c r="F1966" s="28"/>
      <c r="G1966" s="26" t="str">
        <f t="shared" si="240"/>
        <v/>
      </c>
      <c r="H1966" s="26" t="str">
        <f t="shared" si="247"/>
        <v/>
      </c>
      <c r="I1966" s="26" t="str">
        <f t="shared" si="241"/>
        <v/>
      </c>
      <c r="J1966" t="str">
        <f t="shared" si="242"/>
        <v/>
      </c>
      <c r="K1966" s="26" t="str">
        <f t="shared" si="243"/>
        <v/>
      </c>
      <c r="L1966" s="26" t="str">
        <f t="shared" si="244"/>
        <v/>
      </c>
      <c r="P1966" t="e">
        <f t="shared" si="245"/>
        <v>#N/A</v>
      </c>
      <c r="Q1966" t="e">
        <f t="shared" si="246"/>
        <v>#N/A</v>
      </c>
    </row>
    <row r="1967" spans="1:17">
      <c r="A1967" s="28"/>
      <c r="B1967" s="28"/>
      <c r="C1967" s="28"/>
      <c r="D1967" s="28"/>
      <c r="E1967" s="28"/>
      <c r="F1967" s="28"/>
      <c r="G1967" s="26" t="str">
        <f t="shared" si="240"/>
        <v/>
      </c>
      <c r="H1967" s="26" t="str">
        <f t="shared" si="247"/>
        <v/>
      </c>
      <c r="I1967" s="26" t="str">
        <f t="shared" si="241"/>
        <v/>
      </c>
      <c r="J1967" t="str">
        <f t="shared" si="242"/>
        <v/>
      </c>
      <c r="K1967" s="26" t="str">
        <f t="shared" si="243"/>
        <v/>
      </c>
      <c r="L1967" s="26" t="str">
        <f t="shared" si="244"/>
        <v/>
      </c>
      <c r="P1967" t="e">
        <f t="shared" si="245"/>
        <v>#N/A</v>
      </c>
      <c r="Q1967" t="e">
        <f t="shared" si="246"/>
        <v>#N/A</v>
      </c>
    </row>
    <row r="1968" spans="1:17">
      <c r="A1968" s="28"/>
      <c r="B1968" s="28"/>
      <c r="C1968" s="28"/>
      <c r="D1968" s="28"/>
      <c r="E1968" s="28"/>
      <c r="F1968" s="28"/>
      <c r="G1968" s="26" t="str">
        <f t="shared" si="240"/>
        <v/>
      </c>
      <c r="H1968" s="26" t="str">
        <f t="shared" si="247"/>
        <v/>
      </c>
      <c r="I1968" s="26" t="str">
        <f t="shared" si="241"/>
        <v/>
      </c>
      <c r="J1968" t="str">
        <f t="shared" si="242"/>
        <v/>
      </c>
      <c r="K1968" s="26" t="str">
        <f t="shared" si="243"/>
        <v/>
      </c>
      <c r="L1968" s="26" t="str">
        <f t="shared" si="244"/>
        <v/>
      </c>
      <c r="P1968" t="e">
        <f t="shared" si="245"/>
        <v>#N/A</v>
      </c>
      <c r="Q1968" t="e">
        <f t="shared" si="246"/>
        <v>#N/A</v>
      </c>
    </row>
    <row r="1969" spans="1:17">
      <c r="A1969" s="28"/>
      <c r="B1969" s="28"/>
      <c r="C1969" s="28"/>
      <c r="D1969" s="28"/>
      <c r="E1969" s="28"/>
      <c r="F1969" s="28"/>
      <c r="G1969" s="26" t="str">
        <f t="shared" si="240"/>
        <v/>
      </c>
      <c r="H1969" s="26" t="str">
        <f t="shared" si="247"/>
        <v/>
      </c>
      <c r="I1969" s="26" t="str">
        <f t="shared" si="241"/>
        <v/>
      </c>
      <c r="J1969" t="str">
        <f t="shared" si="242"/>
        <v/>
      </c>
      <c r="K1969" s="26" t="str">
        <f t="shared" si="243"/>
        <v/>
      </c>
      <c r="L1969" s="26" t="str">
        <f t="shared" si="244"/>
        <v/>
      </c>
      <c r="P1969" t="e">
        <f t="shared" si="245"/>
        <v>#N/A</v>
      </c>
      <c r="Q1969" t="e">
        <f t="shared" si="246"/>
        <v>#N/A</v>
      </c>
    </row>
    <row r="1970" spans="1:17">
      <c r="A1970" s="28"/>
      <c r="B1970" s="28"/>
      <c r="C1970" s="28"/>
      <c r="D1970" s="28"/>
      <c r="E1970" s="28"/>
      <c r="F1970" s="28"/>
      <c r="G1970" s="26" t="str">
        <f t="shared" si="240"/>
        <v/>
      </c>
      <c r="H1970" s="26" t="str">
        <f t="shared" si="247"/>
        <v/>
      </c>
      <c r="I1970" s="26" t="str">
        <f t="shared" si="241"/>
        <v/>
      </c>
      <c r="J1970" t="str">
        <f t="shared" si="242"/>
        <v/>
      </c>
      <c r="K1970" s="26" t="str">
        <f t="shared" si="243"/>
        <v/>
      </c>
      <c r="L1970" s="26" t="str">
        <f t="shared" si="244"/>
        <v/>
      </c>
      <c r="P1970" t="e">
        <f t="shared" si="245"/>
        <v>#N/A</v>
      </c>
      <c r="Q1970" t="e">
        <f t="shared" si="246"/>
        <v>#N/A</v>
      </c>
    </row>
    <row r="1971" spans="1:17">
      <c r="A1971" s="28"/>
      <c r="B1971" s="28"/>
      <c r="C1971" s="28"/>
      <c r="D1971" s="28"/>
      <c r="E1971" s="28"/>
      <c r="F1971" s="28"/>
      <c r="G1971" s="26" t="str">
        <f t="shared" si="240"/>
        <v/>
      </c>
      <c r="H1971" s="26" t="str">
        <f t="shared" si="247"/>
        <v/>
      </c>
      <c r="I1971" s="26" t="str">
        <f t="shared" si="241"/>
        <v/>
      </c>
      <c r="J1971" t="str">
        <f t="shared" si="242"/>
        <v/>
      </c>
      <c r="K1971" s="26" t="str">
        <f t="shared" si="243"/>
        <v/>
      </c>
      <c r="L1971" s="26" t="str">
        <f t="shared" si="244"/>
        <v/>
      </c>
      <c r="P1971" t="e">
        <f t="shared" si="245"/>
        <v>#N/A</v>
      </c>
      <c r="Q1971" t="e">
        <f t="shared" si="246"/>
        <v>#N/A</v>
      </c>
    </row>
    <row r="1972" spans="1:17">
      <c r="A1972" s="28"/>
      <c r="B1972" s="28"/>
      <c r="C1972" s="28"/>
      <c r="D1972" s="28"/>
      <c r="E1972" s="28"/>
      <c r="F1972" s="28"/>
      <c r="G1972" s="26" t="str">
        <f t="shared" si="240"/>
        <v/>
      </c>
      <c r="H1972" s="26" t="str">
        <f t="shared" si="247"/>
        <v/>
      </c>
      <c r="I1972" s="26" t="str">
        <f t="shared" si="241"/>
        <v/>
      </c>
      <c r="J1972" t="str">
        <f t="shared" si="242"/>
        <v/>
      </c>
      <c r="K1972" s="26" t="str">
        <f t="shared" si="243"/>
        <v/>
      </c>
      <c r="L1972" s="26" t="str">
        <f t="shared" si="244"/>
        <v/>
      </c>
      <c r="P1972" t="e">
        <f t="shared" si="245"/>
        <v>#N/A</v>
      </c>
      <c r="Q1972" t="e">
        <f t="shared" si="246"/>
        <v>#N/A</v>
      </c>
    </row>
    <row r="1973" spans="1:17">
      <c r="A1973" s="28"/>
      <c r="B1973" s="28"/>
      <c r="C1973" s="28"/>
      <c r="D1973" s="28"/>
      <c r="E1973" s="28"/>
      <c r="F1973" s="28"/>
      <c r="G1973" s="26" t="str">
        <f t="shared" si="240"/>
        <v/>
      </c>
      <c r="H1973" s="26" t="str">
        <f t="shared" si="247"/>
        <v/>
      </c>
      <c r="I1973" s="26" t="str">
        <f t="shared" si="241"/>
        <v/>
      </c>
      <c r="J1973" t="str">
        <f t="shared" si="242"/>
        <v/>
      </c>
      <c r="K1973" s="26" t="str">
        <f t="shared" si="243"/>
        <v/>
      </c>
      <c r="L1973" s="26" t="str">
        <f t="shared" si="244"/>
        <v/>
      </c>
      <c r="P1973" t="e">
        <f t="shared" si="245"/>
        <v>#N/A</v>
      </c>
      <c r="Q1973" t="e">
        <f t="shared" si="246"/>
        <v>#N/A</v>
      </c>
    </row>
    <row r="1974" spans="1:17">
      <c r="A1974" s="28"/>
      <c r="B1974" s="28"/>
      <c r="C1974" s="28"/>
      <c r="D1974" s="28"/>
      <c r="E1974" s="28"/>
      <c r="F1974" s="28"/>
      <c r="G1974" s="26" t="str">
        <f t="shared" si="240"/>
        <v/>
      </c>
      <c r="H1974" s="26" t="str">
        <f t="shared" si="247"/>
        <v/>
      </c>
      <c r="I1974" s="26" t="str">
        <f t="shared" si="241"/>
        <v/>
      </c>
      <c r="J1974" t="str">
        <f t="shared" si="242"/>
        <v/>
      </c>
      <c r="K1974" s="26" t="str">
        <f t="shared" si="243"/>
        <v/>
      </c>
      <c r="L1974" s="26" t="str">
        <f t="shared" si="244"/>
        <v/>
      </c>
      <c r="P1974" t="e">
        <f t="shared" si="245"/>
        <v>#N/A</v>
      </c>
      <c r="Q1974" t="e">
        <f t="shared" si="246"/>
        <v>#N/A</v>
      </c>
    </row>
    <row r="1975" spans="1:17">
      <c r="A1975" s="28"/>
      <c r="B1975" s="28"/>
      <c r="C1975" s="28"/>
      <c r="D1975" s="28"/>
      <c r="E1975" s="28"/>
      <c r="F1975" s="28"/>
      <c r="G1975" s="26" t="str">
        <f t="shared" si="240"/>
        <v/>
      </c>
      <c r="H1975" s="26" t="str">
        <f t="shared" si="247"/>
        <v/>
      </c>
      <c r="I1975" s="26" t="str">
        <f t="shared" si="241"/>
        <v/>
      </c>
      <c r="J1975" t="str">
        <f t="shared" si="242"/>
        <v/>
      </c>
      <c r="K1975" s="26" t="str">
        <f t="shared" si="243"/>
        <v/>
      </c>
      <c r="L1975" s="26" t="str">
        <f t="shared" si="244"/>
        <v/>
      </c>
      <c r="P1975" t="e">
        <f t="shared" si="245"/>
        <v>#N/A</v>
      </c>
      <c r="Q1975" t="e">
        <f t="shared" si="246"/>
        <v>#N/A</v>
      </c>
    </row>
    <row r="1976" spans="1:17">
      <c r="A1976" s="28"/>
      <c r="B1976" s="28"/>
      <c r="C1976" s="28"/>
      <c r="D1976" s="28"/>
      <c r="E1976" s="28"/>
      <c r="F1976" s="28"/>
      <c r="G1976" s="26" t="str">
        <f t="shared" si="240"/>
        <v/>
      </c>
      <c r="H1976" s="26" t="str">
        <f t="shared" si="247"/>
        <v/>
      </c>
      <c r="I1976" s="26" t="str">
        <f t="shared" si="241"/>
        <v/>
      </c>
      <c r="J1976" t="str">
        <f t="shared" si="242"/>
        <v/>
      </c>
      <c r="K1976" s="26" t="str">
        <f t="shared" si="243"/>
        <v/>
      </c>
      <c r="L1976" s="26" t="str">
        <f t="shared" si="244"/>
        <v/>
      </c>
      <c r="P1976" t="e">
        <f t="shared" si="245"/>
        <v>#N/A</v>
      </c>
      <c r="Q1976" t="e">
        <f t="shared" si="246"/>
        <v>#N/A</v>
      </c>
    </row>
    <row r="1977" spans="1:17">
      <c r="A1977" s="28"/>
      <c r="B1977" s="28"/>
      <c r="C1977" s="28"/>
      <c r="D1977" s="28"/>
      <c r="E1977" s="28"/>
      <c r="F1977" s="28"/>
      <c r="G1977" s="26" t="str">
        <f t="shared" si="240"/>
        <v/>
      </c>
      <c r="H1977" s="26" t="str">
        <f t="shared" si="247"/>
        <v/>
      </c>
      <c r="I1977" s="26" t="str">
        <f t="shared" si="241"/>
        <v/>
      </c>
      <c r="J1977" t="str">
        <f t="shared" si="242"/>
        <v/>
      </c>
      <c r="K1977" s="26" t="str">
        <f t="shared" si="243"/>
        <v/>
      </c>
      <c r="L1977" s="26" t="str">
        <f t="shared" si="244"/>
        <v/>
      </c>
      <c r="P1977" t="e">
        <f t="shared" si="245"/>
        <v>#N/A</v>
      </c>
      <c r="Q1977" t="e">
        <f t="shared" si="246"/>
        <v>#N/A</v>
      </c>
    </row>
    <row r="1978" spans="1:17">
      <c r="A1978" s="28"/>
      <c r="B1978" s="28"/>
      <c r="C1978" s="28"/>
      <c r="D1978" s="28"/>
      <c r="E1978" s="28"/>
      <c r="F1978" s="28"/>
      <c r="G1978" s="26" t="str">
        <f t="shared" si="240"/>
        <v/>
      </c>
      <c r="H1978" s="26" t="str">
        <f t="shared" si="247"/>
        <v/>
      </c>
      <c r="I1978" s="26" t="str">
        <f t="shared" si="241"/>
        <v/>
      </c>
      <c r="J1978" t="str">
        <f t="shared" si="242"/>
        <v/>
      </c>
      <c r="K1978" s="26" t="str">
        <f t="shared" si="243"/>
        <v/>
      </c>
      <c r="L1978" s="26" t="str">
        <f t="shared" si="244"/>
        <v/>
      </c>
      <c r="P1978" t="e">
        <f t="shared" si="245"/>
        <v>#N/A</v>
      </c>
      <c r="Q1978" t="e">
        <f t="shared" si="246"/>
        <v>#N/A</v>
      </c>
    </row>
    <row r="1979" spans="1:17">
      <c r="A1979" s="28"/>
      <c r="B1979" s="28"/>
      <c r="C1979" s="28"/>
      <c r="D1979" s="28"/>
      <c r="E1979" s="28"/>
      <c r="F1979" s="28"/>
      <c r="G1979" s="26" t="str">
        <f t="shared" si="240"/>
        <v/>
      </c>
      <c r="H1979" s="26" t="str">
        <f t="shared" si="247"/>
        <v/>
      </c>
      <c r="I1979" s="26" t="str">
        <f t="shared" si="241"/>
        <v/>
      </c>
      <c r="J1979" t="str">
        <f t="shared" si="242"/>
        <v/>
      </c>
      <c r="K1979" s="26" t="str">
        <f t="shared" si="243"/>
        <v/>
      </c>
      <c r="L1979" s="26" t="str">
        <f t="shared" si="244"/>
        <v/>
      </c>
      <c r="P1979" t="e">
        <f t="shared" si="245"/>
        <v>#N/A</v>
      </c>
      <c r="Q1979" t="e">
        <f t="shared" si="246"/>
        <v>#N/A</v>
      </c>
    </row>
    <row r="1980" spans="1:17">
      <c r="A1980" s="28"/>
      <c r="B1980" s="28"/>
      <c r="C1980" s="28"/>
      <c r="D1980" s="28"/>
      <c r="E1980" s="28"/>
      <c r="F1980" s="28"/>
      <c r="G1980" s="26" t="str">
        <f t="shared" si="240"/>
        <v/>
      </c>
      <c r="H1980" s="26" t="str">
        <f t="shared" si="247"/>
        <v/>
      </c>
      <c r="I1980" s="26" t="str">
        <f t="shared" si="241"/>
        <v/>
      </c>
      <c r="J1980" t="str">
        <f t="shared" si="242"/>
        <v/>
      </c>
      <c r="K1980" s="26" t="str">
        <f t="shared" si="243"/>
        <v/>
      </c>
      <c r="L1980" s="26" t="str">
        <f t="shared" si="244"/>
        <v/>
      </c>
      <c r="P1980" t="e">
        <f t="shared" si="245"/>
        <v>#N/A</v>
      </c>
      <c r="Q1980" t="e">
        <f t="shared" si="246"/>
        <v>#N/A</v>
      </c>
    </row>
    <row r="1981" spans="1:17">
      <c r="A1981" s="28"/>
      <c r="B1981" s="28"/>
      <c r="C1981" s="28"/>
      <c r="D1981" s="28"/>
      <c r="E1981" s="28"/>
      <c r="F1981" s="28"/>
      <c r="G1981" s="26" t="str">
        <f t="shared" si="240"/>
        <v/>
      </c>
      <c r="H1981" s="26" t="str">
        <f t="shared" si="247"/>
        <v/>
      </c>
      <c r="I1981" s="26" t="str">
        <f t="shared" si="241"/>
        <v/>
      </c>
      <c r="J1981" t="str">
        <f t="shared" si="242"/>
        <v/>
      </c>
      <c r="K1981" s="26" t="str">
        <f t="shared" si="243"/>
        <v/>
      </c>
      <c r="L1981" s="26" t="str">
        <f t="shared" si="244"/>
        <v/>
      </c>
      <c r="P1981" t="e">
        <f t="shared" si="245"/>
        <v>#N/A</v>
      </c>
      <c r="Q1981" t="e">
        <f t="shared" si="246"/>
        <v>#N/A</v>
      </c>
    </row>
    <row r="1982" spans="1:17">
      <c r="A1982" s="28"/>
      <c r="B1982" s="28"/>
      <c r="C1982" s="28"/>
      <c r="D1982" s="28"/>
      <c r="E1982" s="28"/>
      <c r="F1982" s="28"/>
      <c r="G1982" s="26" t="str">
        <f t="shared" si="240"/>
        <v/>
      </c>
      <c r="H1982" s="26" t="str">
        <f t="shared" si="247"/>
        <v/>
      </c>
      <c r="I1982" s="26" t="str">
        <f t="shared" si="241"/>
        <v/>
      </c>
      <c r="J1982" t="str">
        <f t="shared" si="242"/>
        <v/>
      </c>
      <c r="K1982" s="26" t="str">
        <f t="shared" si="243"/>
        <v/>
      </c>
      <c r="L1982" s="26" t="str">
        <f t="shared" si="244"/>
        <v/>
      </c>
      <c r="P1982" t="e">
        <f t="shared" si="245"/>
        <v>#N/A</v>
      </c>
      <c r="Q1982" t="e">
        <f t="shared" si="246"/>
        <v>#N/A</v>
      </c>
    </row>
    <row r="1983" spans="1:17">
      <c r="A1983" s="28"/>
      <c r="B1983" s="28"/>
      <c r="C1983" s="28"/>
      <c r="D1983" s="28"/>
      <c r="E1983" s="28"/>
      <c r="F1983" s="28"/>
      <c r="G1983" s="26" t="str">
        <f t="shared" si="240"/>
        <v/>
      </c>
      <c r="H1983" s="26" t="str">
        <f t="shared" si="247"/>
        <v/>
      </c>
      <c r="I1983" s="26" t="str">
        <f t="shared" si="241"/>
        <v/>
      </c>
      <c r="J1983" t="str">
        <f t="shared" si="242"/>
        <v/>
      </c>
      <c r="K1983" s="26" t="str">
        <f t="shared" si="243"/>
        <v/>
      </c>
      <c r="L1983" s="26" t="str">
        <f t="shared" si="244"/>
        <v/>
      </c>
      <c r="P1983" t="e">
        <f t="shared" si="245"/>
        <v>#N/A</v>
      </c>
      <c r="Q1983" t="e">
        <f t="shared" si="246"/>
        <v>#N/A</v>
      </c>
    </row>
    <row r="1984" spans="1:17">
      <c r="A1984" s="28"/>
      <c r="B1984" s="28"/>
      <c r="C1984" s="28"/>
      <c r="D1984" s="28"/>
      <c r="E1984" s="28"/>
      <c r="F1984" s="28"/>
      <c r="G1984" s="26" t="str">
        <f t="shared" si="240"/>
        <v/>
      </c>
      <c r="H1984" s="26" t="str">
        <f t="shared" si="247"/>
        <v/>
      </c>
      <c r="I1984" s="26" t="str">
        <f t="shared" si="241"/>
        <v/>
      </c>
      <c r="J1984" t="str">
        <f t="shared" si="242"/>
        <v/>
      </c>
      <c r="K1984" s="26" t="str">
        <f t="shared" si="243"/>
        <v/>
      </c>
      <c r="L1984" s="26" t="str">
        <f t="shared" si="244"/>
        <v/>
      </c>
      <c r="P1984" t="e">
        <f t="shared" si="245"/>
        <v>#N/A</v>
      </c>
      <c r="Q1984" t="e">
        <f t="shared" si="246"/>
        <v>#N/A</v>
      </c>
    </row>
    <row r="1985" spans="1:17">
      <c r="A1985" s="28"/>
      <c r="B1985" s="28"/>
      <c r="C1985" s="28"/>
      <c r="D1985" s="28"/>
      <c r="E1985" s="28"/>
      <c r="F1985" s="28"/>
      <c r="G1985" s="26" t="str">
        <f t="shared" si="240"/>
        <v/>
      </c>
      <c r="H1985" s="26" t="str">
        <f t="shared" si="247"/>
        <v/>
      </c>
      <c r="I1985" s="26" t="str">
        <f t="shared" si="241"/>
        <v/>
      </c>
      <c r="J1985" t="str">
        <f t="shared" si="242"/>
        <v/>
      </c>
      <c r="K1985" s="26" t="str">
        <f t="shared" si="243"/>
        <v/>
      </c>
      <c r="L1985" s="26" t="str">
        <f t="shared" si="244"/>
        <v/>
      </c>
      <c r="P1985" t="e">
        <f t="shared" si="245"/>
        <v>#N/A</v>
      </c>
      <c r="Q1985" t="e">
        <f t="shared" si="246"/>
        <v>#N/A</v>
      </c>
    </row>
    <row r="1986" spans="1:17">
      <c r="A1986" s="28"/>
      <c r="B1986" s="28"/>
      <c r="C1986" s="28"/>
      <c r="D1986" s="28"/>
      <c r="E1986" s="28"/>
      <c r="F1986" s="28"/>
      <c r="G1986" s="26" t="str">
        <f t="shared" ref="G1986:G2001" si="248">IF(B1986="","",243.04*(LN(C1986/100)+17.625*B1986/(243.04+B1986))/(17.625-LN(C1986/100)-17.625*B1986/(243.04+B1986)))</f>
        <v/>
      </c>
      <c r="H1986" s="26" t="str">
        <f t="shared" si="247"/>
        <v/>
      </c>
      <c r="I1986" s="26" t="str">
        <f t="shared" ref="I1986:I2001" si="249">IF(B1986="","",B1986-E1986)</f>
        <v/>
      </c>
      <c r="J1986" t="str">
        <f t="shared" ref="J1986:J2001" si="250">IF(H1986="","",IF(H1986&gt;0.6,"Heating",IF(H1986&lt;-0.2,"Cooling","Steady")))</f>
        <v/>
      </c>
      <c r="K1986" s="26" t="str">
        <f t="shared" ref="K1986:K2049" si="251">IF(J1986="Cooling",I1986,"")</f>
        <v/>
      </c>
      <c r="L1986" s="26" t="str">
        <f t="shared" ref="L1986:L2001" si="252">IF(J1986="Cooling",H1986,"")</f>
        <v/>
      </c>
      <c r="P1986" t="e">
        <f t="shared" ref="P1986:P2001" si="253">IF(K1986="",NA(),K1986)</f>
        <v>#N/A</v>
      </c>
      <c r="Q1986" t="e">
        <f t="shared" ref="Q1986:Q2001" si="254">IF(L1986="",NA(),L1986)</f>
        <v>#N/A</v>
      </c>
    </row>
    <row r="1987" spans="1:17">
      <c r="A1987" s="28"/>
      <c r="B1987" s="28"/>
      <c r="C1987" s="28"/>
      <c r="D1987" s="28"/>
      <c r="E1987" s="28"/>
      <c r="F1987" s="28"/>
      <c r="G1987" s="26" t="str">
        <f t="shared" si="248"/>
        <v/>
      </c>
      <c r="H1987" s="26" t="str">
        <f t="shared" si="247"/>
        <v/>
      </c>
      <c r="I1987" s="26" t="str">
        <f t="shared" si="249"/>
        <v/>
      </c>
      <c r="J1987" t="str">
        <f t="shared" si="250"/>
        <v/>
      </c>
      <c r="K1987" s="26" t="str">
        <f t="shared" si="251"/>
        <v/>
      </c>
      <c r="L1987" s="26" t="str">
        <f t="shared" si="252"/>
        <v/>
      </c>
      <c r="P1987" t="e">
        <f t="shared" si="253"/>
        <v>#N/A</v>
      </c>
      <c r="Q1987" t="e">
        <f t="shared" si="254"/>
        <v>#N/A</v>
      </c>
    </row>
    <row r="1988" spans="1:17">
      <c r="A1988" s="28"/>
      <c r="B1988" s="28"/>
      <c r="C1988" s="28"/>
      <c r="D1988" s="28"/>
      <c r="E1988" s="28"/>
      <c r="F1988" s="28"/>
      <c r="G1988" s="26" t="str">
        <f t="shared" si="248"/>
        <v/>
      </c>
      <c r="H1988" s="26" t="str">
        <f t="shared" ref="H1988:H2051" si="255">IFERROR(IF(OR(B1986="",B1990=""),"",(B1990-B1986)/4*60),"")</f>
        <v/>
      </c>
      <c r="I1988" s="26" t="str">
        <f t="shared" si="249"/>
        <v/>
      </c>
      <c r="J1988" t="str">
        <f t="shared" si="250"/>
        <v/>
      </c>
      <c r="K1988" s="26" t="str">
        <f t="shared" si="251"/>
        <v/>
      </c>
      <c r="L1988" s="26" t="str">
        <f t="shared" si="252"/>
        <v/>
      </c>
      <c r="P1988" t="e">
        <f t="shared" si="253"/>
        <v>#N/A</v>
      </c>
      <c r="Q1988" t="e">
        <f t="shared" si="254"/>
        <v>#N/A</v>
      </c>
    </row>
    <row r="1989" spans="1:17">
      <c r="A1989" s="28"/>
      <c r="B1989" s="28"/>
      <c r="C1989" s="28"/>
      <c r="D1989" s="28"/>
      <c r="E1989" s="28"/>
      <c r="F1989" s="28"/>
      <c r="G1989" s="26" t="str">
        <f t="shared" si="248"/>
        <v/>
      </c>
      <c r="H1989" s="26" t="str">
        <f t="shared" si="255"/>
        <v/>
      </c>
      <c r="I1989" s="26" t="str">
        <f t="shared" si="249"/>
        <v/>
      </c>
      <c r="J1989" t="str">
        <f t="shared" si="250"/>
        <v/>
      </c>
      <c r="K1989" s="26" t="str">
        <f t="shared" si="251"/>
        <v/>
      </c>
      <c r="L1989" s="26" t="str">
        <f t="shared" si="252"/>
        <v/>
      </c>
      <c r="P1989" t="e">
        <f t="shared" si="253"/>
        <v>#N/A</v>
      </c>
      <c r="Q1989" t="e">
        <f t="shared" si="254"/>
        <v>#N/A</v>
      </c>
    </row>
    <row r="1990" spans="1:17">
      <c r="A1990" s="28"/>
      <c r="B1990" s="28"/>
      <c r="C1990" s="28"/>
      <c r="D1990" s="28"/>
      <c r="E1990" s="28"/>
      <c r="F1990" s="28"/>
      <c r="G1990" s="26" t="str">
        <f t="shared" si="248"/>
        <v/>
      </c>
      <c r="H1990" s="26" t="str">
        <f t="shared" si="255"/>
        <v/>
      </c>
      <c r="I1990" s="26" t="str">
        <f t="shared" si="249"/>
        <v/>
      </c>
      <c r="J1990" t="str">
        <f t="shared" si="250"/>
        <v/>
      </c>
      <c r="K1990" s="26" t="str">
        <f t="shared" si="251"/>
        <v/>
      </c>
      <c r="L1990" s="26" t="str">
        <f t="shared" si="252"/>
        <v/>
      </c>
      <c r="P1990" t="e">
        <f t="shared" si="253"/>
        <v>#N/A</v>
      </c>
      <c r="Q1990" t="e">
        <f t="shared" si="254"/>
        <v>#N/A</v>
      </c>
    </row>
    <row r="1991" spans="1:17">
      <c r="A1991" s="28"/>
      <c r="B1991" s="28"/>
      <c r="C1991" s="28"/>
      <c r="D1991" s="28"/>
      <c r="E1991" s="28"/>
      <c r="F1991" s="28"/>
      <c r="G1991" s="26" t="str">
        <f t="shared" si="248"/>
        <v/>
      </c>
      <c r="H1991" s="26" t="str">
        <f t="shared" si="255"/>
        <v/>
      </c>
      <c r="I1991" s="26" t="str">
        <f t="shared" si="249"/>
        <v/>
      </c>
      <c r="J1991" t="str">
        <f t="shared" si="250"/>
        <v/>
      </c>
      <c r="K1991" s="26" t="str">
        <f t="shared" si="251"/>
        <v/>
      </c>
      <c r="L1991" s="26" t="str">
        <f t="shared" si="252"/>
        <v/>
      </c>
      <c r="P1991" t="e">
        <f t="shared" si="253"/>
        <v>#N/A</v>
      </c>
      <c r="Q1991" t="e">
        <f t="shared" si="254"/>
        <v>#N/A</v>
      </c>
    </row>
    <row r="1992" spans="1:17">
      <c r="A1992" s="28"/>
      <c r="B1992" s="28"/>
      <c r="C1992" s="28"/>
      <c r="D1992" s="28"/>
      <c r="E1992" s="28"/>
      <c r="F1992" s="28"/>
      <c r="G1992" s="26" t="str">
        <f t="shared" si="248"/>
        <v/>
      </c>
      <c r="H1992" s="26" t="str">
        <f t="shared" si="255"/>
        <v/>
      </c>
      <c r="I1992" s="26" t="str">
        <f t="shared" si="249"/>
        <v/>
      </c>
      <c r="J1992" t="str">
        <f t="shared" si="250"/>
        <v/>
      </c>
      <c r="K1992" s="26" t="str">
        <f t="shared" si="251"/>
        <v/>
      </c>
      <c r="L1992" s="26" t="str">
        <f t="shared" si="252"/>
        <v/>
      </c>
      <c r="P1992" t="e">
        <f t="shared" si="253"/>
        <v>#N/A</v>
      </c>
      <c r="Q1992" t="e">
        <f t="shared" si="254"/>
        <v>#N/A</v>
      </c>
    </row>
    <row r="1993" spans="1:17">
      <c r="A1993" s="28"/>
      <c r="B1993" s="28"/>
      <c r="C1993" s="28"/>
      <c r="D1993" s="28"/>
      <c r="E1993" s="28"/>
      <c r="F1993" s="28"/>
      <c r="G1993" s="26" t="str">
        <f t="shared" si="248"/>
        <v/>
      </c>
      <c r="H1993" s="26" t="str">
        <f t="shared" si="255"/>
        <v/>
      </c>
      <c r="I1993" s="26" t="str">
        <f t="shared" si="249"/>
        <v/>
      </c>
      <c r="J1993" t="str">
        <f t="shared" si="250"/>
        <v/>
      </c>
      <c r="K1993" s="26" t="str">
        <f t="shared" si="251"/>
        <v/>
      </c>
      <c r="L1993" s="26" t="str">
        <f t="shared" si="252"/>
        <v/>
      </c>
      <c r="P1993" t="e">
        <f t="shared" si="253"/>
        <v>#N/A</v>
      </c>
      <c r="Q1993" t="e">
        <f t="shared" si="254"/>
        <v>#N/A</v>
      </c>
    </row>
    <row r="1994" spans="1:17">
      <c r="A1994" s="28"/>
      <c r="B1994" s="28"/>
      <c r="C1994" s="28"/>
      <c r="D1994" s="28"/>
      <c r="E1994" s="28"/>
      <c r="F1994" s="28"/>
      <c r="G1994" s="26" t="str">
        <f t="shared" si="248"/>
        <v/>
      </c>
      <c r="H1994" s="26" t="str">
        <f t="shared" si="255"/>
        <v/>
      </c>
      <c r="I1994" s="26" t="str">
        <f t="shared" si="249"/>
        <v/>
      </c>
      <c r="J1994" t="str">
        <f t="shared" si="250"/>
        <v/>
      </c>
      <c r="K1994" s="26" t="str">
        <f t="shared" si="251"/>
        <v/>
      </c>
      <c r="L1994" s="26" t="str">
        <f t="shared" si="252"/>
        <v/>
      </c>
      <c r="P1994" t="e">
        <f t="shared" si="253"/>
        <v>#N/A</v>
      </c>
      <c r="Q1994" t="e">
        <f t="shared" si="254"/>
        <v>#N/A</v>
      </c>
    </row>
    <row r="1995" spans="1:17">
      <c r="A1995" s="28"/>
      <c r="B1995" s="28"/>
      <c r="C1995" s="28"/>
      <c r="D1995" s="28"/>
      <c r="E1995" s="28"/>
      <c r="F1995" s="28"/>
      <c r="G1995" s="26" t="str">
        <f t="shared" si="248"/>
        <v/>
      </c>
      <c r="H1995" s="26" t="str">
        <f t="shared" si="255"/>
        <v/>
      </c>
      <c r="I1995" s="26" t="str">
        <f t="shared" si="249"/>
        <v/>
      </c>
      <c r="J1995" t="str">
        <f t="shared" si="250"/>
        <v/>
      </c>
      <c r="K1995" s="26" t="str">
        <f t="shared" si="251"/>
        <v/>
      </c>
      <c r="L1995" s="26" t="str">
        <f t="shared" si="252"/>
        <v/>
      </c>
      <c r="P1995" t="e">
        <f t="shared" si="253"/>
        <v>#N/A</v>
      </c>
      <c r="Q1995" t="e">
        <f t="shared" si="254"/>
        <v>#N/A</v>
      </c>
    </row>
    <row r="1996" spans="1:17">
      <c r="A1996" s="28"/>
      <c r="B1996" s="28"/>
      <c r="C1996" s="28"/>
      <c r="D1996" s="28"/>
      <c r="E1996" s="28"/>
      <c r="F1996" s="28"/>
      <c r="G1996" s="26" t="str">
        <f t="shared" si="248"/>
        <v/>
      </c>
      <c r="H1996" s="26" t="str">
        <f t="shared" si="255"/>
        <v/>
      </c>
      <c r="I1996" s="26" t="str">
        <f t="shared" si="249"/>
        <v/>
      </c>
      <c r="J1996" t="str">
        <f t="shared" si="250"/>
        <v/>
      </c>
      <c r="K1996" s="26" t="str">
        <f t="shared" si="251"/>
        <v/>
      </c>
      <c r="L1996" s="26" t="str">
        <f t="shared" si="252"/>
        <v/>
      </c>
      <c r="P1996" t="e">
        <f t="shared" si="253"/>
        <v>#N/A</v>
      </c>
      <c r="Q1996" t="e">
        <f t="shared" si="254"/>
        <v>#N/A</v>
      </c>
    </row>
    <row r="1997" spans="1:17">
      <c r="A1997" s="28"/>
      <c r="B1997" s="28"/>
      <c r="C1997" s="28"/>
      <c r="D1997" s="28"/>
      <c r="E1997" s="28"/>
      <c r="F1997" s="28"/>
      <c r="G1997" s="26" t="str">
        <f t="shared" si="248"/>
        <v/>
      </c>
      <c r="H1997" s="26" t="str">
        <f t="shared" si="255"/>
        <v/>
      </c>
      <c r="I1997" s="26" t="str">
        <f t="shared" si="249"/>
        <v/>
      </c>
      <c r="J1997" t="str">
        <f t="shared" si="250"/>
        <v/>
      </c>
      <c r="K1997" s="26" t="str">
        <f t="shared" si="251"/>
        <v/>
      </c>
      <c r="L1997" s="26" t="str">
        <f t="shared" si="252"/>
        <v/>
      </c>
      <c r="P1997" t="e">
        <f t="shared" si="253"/>
        <v>#N/A</v>
      </c>
      <c r="Q1997" t="e">
        <f t="shared" si="254"/>
        <v>#N/A</v>
      </c>
    </row>
    <row r="1998" spans="1:17">
      <c r="A1998" s="28"/>
      <c r="B1998" s="28"/>
      <c r="C1998" s="28"/>
      <c r="D1998" s="28"/>
      <c r="E1998" s="28"/>
      <c r="F1998" s="28"/>
      <c r="G1998" s="26" t="str">
        <f t="shared" si="248"/>
        <v/>
      </c>
      <c r="H1998" s="26" t="str">
        <f t="shared" si="255"/>
        <v/>
      </c>
      <c r="I1998" s="26" t="str">
        <f t="shared" si="249"/>
        <v/>
      </c>
      <c r="J1998" t="str">
        <f t="shared" si="250"/>
        <v/>
      </c>
      <c r="K1998" s="26" t="str">
        <f t="shared" si="251"/>
        <v/>
      </c>
      <c r="L1998" s="26" t="str">
        <f t="shared" si="252"/>
        <v/>
      </c>
      <c r="P1998" t="e">
        <f t="shared" si="253"/>
        <v>#N/A</v>
      </c>
      <c r="Q1998" t="e">
        <f t="shared" si="254"/>
        <v>#N/A</v>
      </c>
    </row>
    <row r="1999" spans="1:17">
      <c r="A1999" s="28"/>
      <c r="B1999" s="28"/>
      <c r="C1999" s="28"/>
      <c r="D1999" s="28"/>
      <c r="E1999" s="28"/>
      <c r="F1999" s="28"/>
      <c r="G1999" s="26" t="str">
        <f t="shared" si="248"/>
        <v/>
      </c>
      <c r="H1999" s="26" t="str">
        <f t="shared" si="255"/>
        <v/>
      </c>
      <c r="I1999" s="26" t="str">
        <f t="shared" si="249"/>
        <v/>
      </c>
      <c r="J1999" t="str">
        <f t="shared" si="250"/>
        <v/>
      </c>
      <c r="K1999" s="26" t="str">
        <f t="shared" si="251"/>
        <v/>
      </c>
      <c r="L1999" s="26" t="str">
        <f t="shared" si="252"/>
        <v/>
      </c>
      <c r="P1999" t="e">
        <f t="shared" si="253"/>
        <v>#N/A</v>
      </c>
      <c r="Q1999" t="e">
        <f t="shared" si="254"/>
        <v>#N/A</v>
      </c>
    </row>
    <row r="2000" spans="1:17">
      <c r="A2000" s="28"/>
      <c r="B2000" s="28"/>
      <c r="C2000" s="28"/>
      <c r="D2000" s="28"/>
      <c r="E2000" s="28"/>
      <c r="F2000" s="28"/>
      <c r="G2000" s="26" t="str">
        <f t="shared" si="248"/>
        <v/>
      </c>
      <c r="H2000" s="26" t="str">
        <f t="shared" si="255"/>
        <v/>
      </c>
      <c r="I2000" s="26" t="str">
        <f t="shared" si="249"/>
        <v/>
      </c>
      <c r="J2000" t="str">
        <f t="shared" si="250"/>
        <v/>
      </c>
      <c r="K2000" s="26" t="str">
        <f t="shared" si="251"/>
        <v/>
      </c>
      <c r="L2000" s="26" t="str">
        <f t="shared" si="252"/>
        <v/>
      </c>
      <c r="P2000" t="e">
        <f t="shared" si="253"/>
        <v>#N/A</v>
      </c>
      <c r="Q2000" t="e">
        <f t="shared" si="254"/>
        <v>#N/A</v>
      </c>
    </row>
    <row r="2001" spans="1:17">
      <c r="A2001" s="28"/>
      <c r="B2001" s="28"/>
      <c r="C2001" s="28"/>
      <c r="D2001" s="28"/>
      <c r="E2001" s="28"/>
      <c r="F2001" s="28"/>
      <c r="G2001" s="26" t="str">
        <f t="shared" si="248"/>
        <v/>
      </c>
      <c r="H2001" s="26" t="str">
        <f t="shared" si="255"/>
        <v/>
      </c>
      <c r="I2001" s="26" t="str">
        <f t="shared" si="249"/>
        <v/>
      </c>
      <c r="J2001" t="str">
        <f t="shared" si="250"/>
        <v/>
      </c>
      <c r="K2001" s="26" t="str">
        <f t="shared" si="251"/>
        <v/>
      </c>
      <c r="L2001" s="26" t="str">
        <f t="shared" si="252"/>
        <v/>
      </c>
      <c r="P2001" t="e">
        <f t="shared" si="253"/>
        <v>#N/A</v>
      </c>
      <c r="Q2001" t="e">
        <f t="shared" si="254"/>
        <v>#N/A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A9D8F"/>
  </sheetPr>
  <dimension ref="A1:D19"/>
  <sheetViews>
    <sheetView workbookViewId="0"/>
  </sheetViews>
  <sheetFormatPr defaultRowHeight="14.4"/>
  <cols>
    <col min="1" max="1" width="18" customWidth="1"/>
    <col min="2" max="2" width="16" customWidth="1"/>
    <col min="3" max="3" width="14" customWidth="1"/>
    <col min="4" max="4" width="13" customWidth="1"/>
  </cols>
  <sheetData>
    <row r="1" spans="1:4" ht="30" customHeight="1">
      <c r="A1" s="14" t="s">
        <v>69</v>
      </c>
      <c r="B1" s="14" t="s">
        <v>70</v>
      </c>
      <c r="C1" s="14" t="s">
        <v>59</v>
      </c>
      <c r="D1" s="14" t="s">
        <v>71</v>
      </c>
    </row>
    <row r="2" spans="1:4">
      <c r="A2" s="25">
        <v>46298.958333333343</v>
      </c>
      <c r="B2">
        <v>7.1</v>
      </c>
      <c r="C2">
        <v>0</v>
      </c>
      <c r="D2">
        <v>4.9000000000000004</v>
      </c>
    </row>
    <row r="3" spans="1:4">
      <c r="A3" s="25">
        <v>46299</v>
      </c>
      <c r="B3">
        <v>5</v>
      </c>
      <c r="C3">
        <v>0</v>
      </c>
      <c r="D3">
        <v>5</v>
      </c>
    </row>
    <row r="4" spans="1:4">
      <c r="A4" s="25">
        <v>46299.041666666657</v>
      </c>
      <c r="B4">
        <v>4.4000000000000004</v>
      </c>
      <c r="C4">
        <v>0</v>
      </c>
      <c r="D4">
        <v>4.9000000000000004</v>
      </c>
    </row>
    <row r="5" spans="1:4">
      <c r="A5" s="25">
        <v>46299.083333333343</v>
      </c>
      <c r="B5">
        <v>3.9</v>
      </c>
      <c r="C5">
        <v>0</v>
      </c>
      <c r="D5">
        <v>5.3</v>
      </c>
    </row>
    <row r="6" spans="1:4">
      <c r="A6" s="25">
        <v>46299.125</v>
      </c>
      <c r="B6">
        <v>3.8</v>
      </c>
      <c r="C6">
        <v>0</v>
      </c>
      <c r="D6">
        <v>6.1</v>
      </c>
    </row>
    <row r="7" spans="1:4">
      <c r="A7" s="25">
        <v>46299.166666666657</v>
      </c>
      <c r="B7">
        <v>3.3</v>
      </c>
      <c r="C7">
        <v>0</v>
      </c>
      <c r="D7">
        <v>3.7</v>
      </c>
    </row>
    <row r="8" spans="1:4">
      <c r="A8" s="25">
        <v>46299.208333333343</v>
      </c>
      <c r="B8">
        <v>3.2</v>
      </c>
      <c r="C8">
        <v>0</v>
      </c>
      <c r="D8">
        <v>4.5999999999999996</v>
      </c>
    </row>
    <row r="9" spans="1:4">
      <c r="A9" s="25">
        <v>46299.25</v>
      </c>
      <c r="B9">
        <v>2.8</v>
      </c>
      <c r="C9">
        <v>0</v>
      </c>
      <c r="D9">
        <v>5.4</v>
      </c>
    </row>
    <row r="10" spans="1:4">
      <c r="A10" s="25">
        <v>46299.291666666657</v>
      </c>
      <c r="B10">
        <v>2.7</v>
      </c>
      <c r="C10">
        <v>0</v>
      </c>
      <c r="D10">
        <v>6</v>
      </c>
    </row>
    <row r="11" spans="1:4">
      <c r="A11" s="25">
        <v>46299.333333333343</v>
      </c>
      <c r="B11">
        <v>3</v>
      </c>
      <c r="C11">
        <v>2</v>
      </c>
      <c r="D11">
        <v>7.3</v>
      </c>
    </row>
    <row r="12" spans="1:4">
      <c r="A12" s="25">
        <v>46299.375</v>
      </c>
      <c r="B12">
        <v>4.7</v>
      </c>
      <c r="C12">
        <v>72</v>
      </c>
      <c r="D12">
        <v>9.4</v>
      </c>
    </row>
    <row r="13" spans="1:4">
      <c r="A13" s="25">
        <v>46299.416666666657</v>
      </c>
      <c r="B13">
        <v>6.9</v>
      </c>
      <c r="C13">
        <v>189</v>
      </c>
      <c r="D13">
        <v>10</v>
      </c>
    </row>
    <row r="14" spans="1:4">
      <c r="A14" s="25">
        <v>46299.458333333343</v>
      </c>
      <c r="B14">
        <v>9.1999999999999993</v>
      </c>
      <c r="C14">
        <v>304</v>
      </c>
      <c r="D14">
        <v>8</v>
      </c>
    </row>
    <row r="15" spans="1:4">
      <c r="A15" s="25">
        <v>46299.5</v>
      </c>
      <c r="B15">
        <v>12.5</v>
      </c>
      <c r="C15">
        <v>438</v>
      </c>
      <c r="D15">
        <v>9.8000000000000007</v>
      </c>
    </row>
    <row r="16" spans="1:4">
      <c r="A16" s="25">
        <v>46299.541666666657</v>
      </c>
      <c r="B16">
        <v>14.5</v>
      </c>
      <c r="C16">
        <v>493</v>
      </c>
      <c r="D16">
        <v>12.4</v>
      </c>
    </row>
    <row r="17" spans="1:4">
      <c r="A17" s="25">
        <v>46299.583333333343</v>
      </c>
      <c r="B17">
        <v>15.7</v>
      </c>
      <c r="C17">
        <v>497</v>
      </c>
      <c r="D17">
        <v>14</v>
      </c>
    </row>
    <row r="18" spans="1:4">
      <c r="A18" s="25">
        <v>46299.625</v>
      </c>
      <c r="B18">
        <v>16.600000000000001</v>
      </c>
      <c r="C18">
        <v>466</v>
      </c>
      <c r="D18">
        <v>14.2</v>
      </c>
    </row>
    <row r="19" spans="1:4">
      <c r="A19" s="25">
        <v>46299.666666666657</v>
      </c>
      <c r="B19">
        <v>17.2</v>
      </c>
      <c r="C19">
        <v>411</v>
      </c>
      <c r="D19">
        <v>14.4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9A23B"/>
  </sheetPr>
  <dimension ref="A1:K1441"/>
  <sheetViews>
    <sheetView workbookViewId="0"/>
  </sheetViews>
  <sheetFormatPr defaultRowHeight="14.4"/>
  <cols>
    <col min="1" max="1" width="18" customWidth="1"/>
    <col min="2" max="3" width="15" customWidth="1"/>
    <col min="4" max="4" width="12" customWidth="1"/>
    <col min="5" max="5" width="15" customWidth="1"/>
    <col min="6" max="7" width="14" customWidth="1"/>
    <col min="8" max="8" width="13" customWidth="1"/>
    <col min="10" max="10" width="30" customWidth="1"/>
    <col min="11" max="11" width="16" customWidth="1"/>
  </cols>
  <sheetData>
    <row r="1" spans="1:11" ht="30" customHeight="1">
      <c r="A1" s="14" t="s">
        <v>54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77</v>
      </c>
      <c r="H1" s="14" t="s">
        <v>78</v>
      </c>
    </row>
    <row r="2" spans="1:11" ht="19.2">
      <c r="A2" s="28"/>
      <c r="B2" s="28"/>
      <c r="C2" s="28"/>
      <c r="D2" s="26" t="str">
        <f t="shared" ref="D2:D65" si="0">IF(OR(B2="",C2=""),"",C2-B2)</f>
        <v/>
      </c>
      <c r="E2" s="26" t="str">
        <f t="shared" ref="E2:E65" si="1">IF(OR(B2="",C2=""),"",(B2+C2)/2)</f>
        <v/>
      </c>
      <c r="F2" s="28"/>
      <c r="G2" s="28"/>
      <c r="H2" s="29" t="str">
        <f t="shared" ref="H2:H65" si="2">IF(OR(F2="",G2=""),"",G2-F2)</f>
        <v/>
      </c>
      <c r="J2" s="3" t="s">
        <v>79</v>
      </c>
    </row>
    <row r="3" spans="1:11" ht="15">
      <c r="A3" s="28"/>
      <c r="B3" s="28"/>
      <c r="C3" s="28"/>
      <c r="D3" s="26" t="str">
        <f t="shared" si="0"/>
        <v/>
      </c>
      <c r="E3" s="26" t="str">
        <f t="shared" si="1"/>
        <v/>
      </c>
      <c r="F3" s="28"/>
      <c r="G3" s="28"/>
      <c r="H3" s="29" t="str">
        <f t="shared" si="2"/>
        <v/>
      </c>
      <c r="J3" s="30" t="s">
        <v>80</v>
      </c>
      <c r="K3" s="31" t="str">
        <f>IFERROR(AVERAGE(D2:D1441),"PENDING")</f>
        <v>PENDING</v>
      </c>
    </row>
    <row r="4" spans="1:11" ht="15">
      <c r="A4" s="28"/>
      <c r="B4" s="28"/>
      <c r="C4" s="28"/>
      <c r="D4" s="26" t="str">
        <f t="shared" si="0"/>
        <v/>
      </c>
      <c r="E4" s="26" t="str">
        <f t="shared" si="1"/>
        <v/>
      </c>
      <c r="F4" s="28"/>
      <c r="G4" s="28"/>
      <c r="H4" s="29" t="str">
        <f t="shared" si="2"/>
        <v/>
      </c>
      <c r="J4" s="30" t="s">
        <v>81</v>
      </c>
      <c r="K4" s="31" t="str">
        <f>IFERROR(_xlfn.STDEV.S(D2:D1441),"PENDING")</f>
        <v>PENDING</v>
      </c>
    </row>
    <row r="5" spans="1:11" ht="15">
      <c r="A5" s="28"/>
      <c r="B5" s="28"/>
      <c r="C5" s="28"/>
      <c r="D5" s="26" t="str">
        <f t="shared" si="0"/>
        <v/>
      </c>
      <c r="E5" s="26" t="str">
        <f t="shared" si="1"/>
        <v/>
      </c>
      <c r="F5" s="28"/>
      <c r="G5" s="28"/>
      <c r="H5" s="29" t="str">
        <f t="shared" si="2"/>
        <v/>
      </c>
      <c r="J5" s="30" t="s">
        <v>82</v>
      </c>
      <c r="K5" s="31" t="str">
        <f>IFERROR(IF(_xlfn.STDEV.S(D2:D1441)*2&lt;=0.2,"PASS","FAIL"),"PENDING")</f>
        <v>PENDING</v>
      </c>
    </row>
    <row r="6" spans="1:11" ht="15">
      <c r="A6" s="28"/>
      <c r="B6" s="28"/>
      <c r="C6" s="28"/>
      <c r="D6" s="26" t="str">
        <f t="shared" si="0"/>
        <v/>
      </c>
      <c r="E6" s="26" t="str">
        <f t="shared" si="1"/>
        <v/>
      </c>
      <c r="F6" s="28"/>
      <c r="G6" s="28"/>
      <c r="H6" s="29" t="str">
        <f t="shared" si="2"/>
        <v/>
      </c>
      <c r="J6" s="30" t="s">
        <v>83</v>
      </c>
      <c r="K6" s="31" t="str">
        <f>IFERROR(AVERAGE(H2:H1441),"PENDING")</f>
        <v>PENDING</v>
      </c>
    </row>
    <row r="7" spans="1:11" ht="15">
      <c r="A7" s="28"/>
      <c r="B7" s="28"/>
      <c r="C7" s="28"/>
      <c r="D7" s="26" t="str">
        <f t="shared" si="0"/>
        <v/>
      </c>
      <c r="E7" s="26" t="str">
        <f t="shared" si="1"/>
        <v/>
      </c>
      <c r="F7" s="28"/>
      <c r="G7" s="28"/>
      <c r="H7" s="29" t="str">
        <f t="shared" si="2"/>
        <v/>
      </c>
      <c r="J7" s="30" t="s">
        <v>84</v>
      </c>
      <c r="K7" s="31" t="str">
        <f>IFERROR(IF(_xlfn.STDEV.S(H2:H1441)*2&lt;=2,"PASS","FAIL"),"PENDING")</f>
        <v>PENDING</v>
      </c>
    </row>
    <row r="8" spans="1:11">
      <c r="A8" s="28"/>
      <c r="B8" s="28"/>
      <c r="C8" s="28"/>
      <c r="D8" s="26" t="str">
        <f t="shared" si="0"/>
        <v/>
      </c>
      <c r="E8" s="26" t="str">
        <f t="shared" si="1"/>
        <v/>
      </c>
      <c r="F8" s="28"/>
      <c r="G8" s="28"/>
      <c r="H8" s="29" t="str">
        <f t="shared" si="2"/>
        <v/>
      </c>
    </row>
    <row r="9" spans="1:11">
      <c r="A9" s="28"/>
      <c r="B9" s="28"/>
      <c r="C9" s="28"/>
      <c r="D9" s="26" t="str">
        <f t="shared" si="0"/>
        <v/>
      </c>
      <c r="E9" s="26" t="str">
        <f t="shared" si="1"/>
        <v/>
      </c>
      <c r="F9" s="28"/>
      <c r="G9" s="28"/>
      <c r="H9" s="29" t="str">
        <f t="shared" si="2"/>
        <v/>
      </c>
    </row>
    <row r="10" spans="1:11">
      <c r="A10" s="28"/>
      <c r="B10" s="28"/>
      <c r="C10" s="28"/>
      <c r="D10" s="26" t="str">
        <f t="shared" si="0"/>
        <v/>
      </c>
      <c r="E10" s="26" t="str">
        <f t="shared" si="1"/>
        <v/>
      </c>
      <c r="F10" s="28"/>
      <c r="G10" s="28"/>
      <c r="H10" s="29" t="str">
        <f t="shared" si="2"/>
        <v/>
      </c>
    </row>
    <row r="11" spans="1:11">
      <c r="A11" s="28"/>
      <c r="B11" s="28"/>
      <c r="C11" s="28"/>
      <c r="D11" s="26" t="str">
        <f t="shared" si="0"/>
        <v/>
      </c>
      <c r="E11" s="26" t="str">
        <f t="shared" si="1"/>
        <v/>
      </c>
      <c r="F11" s="28"/>
      <c r="G11" s="28"/>
      <c r="H11" s="29" t="str">
        <f t="shared" si="2"/>
        <v/>
      </c>
    </row>
    <row r="12" spans="1:11">
      <c r="A12" s="28"/>
      <c r="B12" s="28"/>
      <c r="C12" s="28"/>
      <c r="D12" s="26" t="str">
        <f t="shared" si="0"/>
        <v/>
      </c>
      <c r="E12" s="26" t="str">
        <f t="shared" si="1"/>
        <v/>
      </c>
      <c r="F12" s="28"/>
      <c r="G12" s="28"/>
      <c r="H12" s="29" t="str">
        <f t="shared" si="2"/>
        <v/>
      </c>
    </row>
    <row r="13" spans="1:11">
      <c r="A13" s="28"/>
      <c r="B13" s="28"/>
      <c r="C13" s="28"/>
      <c r="D13" s="26" t="str">
        <f t="shared" si="0"/>
        <v/>
      </c>
      <c r="E13" s="26" t="str">
        <f t="shared" si="1"/>
        <v/>
      </c>
      <c r="F13" s="28"/>
      <c r="G13" s="28"/>
      <c r="H13" s="29" t="str">
        <f t="shared" si="2"/>
        <v/>
      </c>
    </row>
    <row r="14" spans="1:11">
      <c r="A14" s="28"/>
      <c r="B14" s="28"/>
      <c r="C14" s="28"/>
      <c r="D14" s="26" t="str">
        <f t="shared" si="0"/>
        <v/>
      </c>
      <c r="E14" s="26" t="str">
        <f t="shared" si="1"/>
        <v/>
      </c>
      <c r="F14" s="28"/>
      <c r="G14" s="28"/>
      <c r="H14" s="29" t="str">
        <f t="shared" si="2"/>
        <v/>
      </c>
    </row>
    <row r="15" spans="1:11">
      <c r="A15" s="28"/>
      <c r="B15" s="28"/>
      <c r="C15" s="28"/>
      <c r="D15" s="26" t="str">
        <f t="shared" si="0"/>
        <v/>
      </c>
      <c r="E15" s="26" t="str">
        <f t="shared" si="1"/>
        <v/>
      </c>
      <c r="F15" s="28"/>
      <c r="G15" s="28"/>
      <c r="H15" s="29" t="str">
        <f t="shared" si="2"/>
        <v/>
      </c>
    </row>
    <row r="16" spans="1:11">
      <c r="A16" s="28"/>
      <c r="B16" s="28"/>
      <c r="C16" s="28"/>
      <c r="D16" s="26" t="str">
        <f t="shared" si="0"/>
        <v/>
      </c>
      <c r="E16" s="26" t="str">
        <f t="shared" si="1"/>
        <v/>
      </c>
      <c r="F16" s="28"/>
      <c r="G16" s="28"/>
      <c r="H16" s="29" t="str">
        <f t="shared" si="2"/>
        <v/>
      </c>
    </row>
    <row r="17" spans="1:8">
      <c r="A17" s="28"/>
      <c r="B17" s="28"/>
      <c r="C17" s="28"/>
      <c r="D17" s="26" t="str">
        <f t="shared" si="0"/>
        <v/>
      </c>
      <c r="E17" s="26" t="str">
        <f t="shared" si="1"/>
        <v/>
      </c>
      <c r="F17" s="28"/>
      <c r="G17" s="28"/>
      <c r="H17" s="29" t="str">
        <f t="shared" si="2"/>
        <v/>
      </c>
    </row>
    <row r="18" spans="1:8">
      <c r="A18" s="28"/>
      <c r="B18" s="28"/>
      <c r="C18" s="28"/>
      <c r="D18" s="26" t="str">
        <f t="shared" si="0"/>
        <v/>
      </c>
      <c r="E18" s="26" t="str">
        <f t="shared" si="1"/>
        <v/>
      </c>
      <c r="F18" s="28"/>
      <c r="G18" s="28"/>
      <c r="H18" s="29" t="str">
        <f t="shared" si="2"/>
        <v/>
      </c>
    </row>
    <row r="19" spans="1:8">
      <c r="A19" s="28"/>
      <c r="B19" s="28"/>
      <c r="C19" s="28"/>
      <c r="D19" s="26" t="str">
        <f t="shared" si="0"/>
        <v/>
      </c>
      <c r="E19" s="26" t="str">
        <f t="shared" si="1"/>
        <v/>
      </c>
      <c r="F19" s="28"/>
      <c r="G19" s="28"/>
      <c r="H19" s="29" t="str">
        <f t="shared" si="2"/>
        <v/>
      </c>
    </row>
    <row r="20" spans="1:8">
      <c r="A20" s="28"/>
      <c r="B20" s="28"/>
      <c r="C20" s="28"/>
      <c r="D20" s="26" t="str">
        <f t="shared" si="0"/>
        <v/>
      </c>
      <c r="E20" s="26" t="str">
        <f t="shared" si="1"/>
        <v/>
      </c>
      <c r="F20" s="28"/>
      <c r="G20" s="28"/>
      <c r="H20" s="29" t="str">
        <f t="shared" si="2"/>
        <v/>
      </c>
    </row>
    <row r="21" spans="1:8">
      <c r="A21" s="28"/>
      <c r="B21" s="28"/>
      <c r="C21" s="28"/>
      <c r="D21" s="26" t="str">
        <f t="shared" si="0"/>
        <v/>
      </c>
      <c r="E21" s="26" t="str">
        <f t="shared" si="1"/>
        <v/>
      </c>
      <c r="F21" s="28"/>
      <c r="G21" s="28"/>
      <c r="H21" s="29" t="str">
        <f t="shared" si="2"/>
        <v/>
      </c>
    </row>
    <row r="22" spans="1:8">
      <c r="A22" s="28"/>
      <c r="B22" s="28"/>
      <c r="C22" s="28"/>
      <c r="D22" s="26" t="str">
        <f t="shared" si="0"/>
        <v/>
      </c>
      <c r="E22" s="26" t="str">
        <f t="shared" si="1"/>
        <v/>
      </c>
      <c r="F22" s="28"/>
      <c r="G22" s="28"/>
      <c r="H22" s="29" t="str">
        <f t="shared" si="2"/>
        <v/>
      </c>
    </row>
    <row r="23" spans="1:8">
      <c r="A23" s="28"/>
      <c r="B23" s="28"/>
      <c r="C23" s="28"/>
      <c r="D23" s="26" t="str">
        <f t="shared" si="0"/>
        <v/>
      </c>
      <c r="E23" s="26" t="str">
        <f t="shared" si="1"/>
        <v/>
      </c>
      <c r="F23" s="28"/>
      <c r="G23" s="28"/>
      <c r="H23" s="29" t="str">
        <f t="shared" si="2"/>
        <v/>
      </c>
    </row>
    <row r="24" spans="1:8">
      <c r="A24" s="28"/>
      <c r="B24" s="28"/>
      <c r="C24" s="28"/>
      <c r="D24" s="26" t="str">
        <f t="shared" si="0"/>
        <v/>
      </c>
      <c r="E24" s="26" t="str">
        <f t="shared" si="1"/>
        <v/>
      </c>
      <c r="F24" s="28"/>
      <c r="G24" s="28"/>
      <c r="H24" s="29" t="str">
        <f t="shared" si="2"/>
        <v/>
      </c>
    </row>
    <row r="25" spans="1:8">
      <c r="A25" s="28"/>
      <c r="B25" s="28"/>
      <c r="C25" s="28"/>
      <c r="D25" s="26" t="str">
        <f t="shared" si="0"/>
        <v/>
      </c>
      <c r="E25" s="26" t="str">
        <f t="shared" si="1"/>
        <v/>
      </c>
      <c r="F25" s="28"/>
      <c r="G25" s="28"/>
      <c r="H25" s="29" t="str">
        <f t="shared" si="2"/>
        <v/>
      </c>
    </row>
    <row r="26" spans="1:8">
      <c r="A26" s="28"/>
      <c r="B26" s="28"/>
      <c r="C26" s="28"/>
      <c r="D26" s="26" t="str">
        <f t="shared" si="0"/>
        <v/>
      </c>
      <c r="E26" s="26" t="str">
        <f t="shared" si="1"/>
        <v/>
      </c>
      <c r="F26" s="28"/>
      <c r="G26" s="28"/>
      <c r="H26" s="29" t="str">
        <f t="shared" si="2"/>
        <v/>
      </c>
    </row>
    <row r="27" spans="1:8">
      <c r="A27" s="28"/>
      <c r="B27" s="28"/>
      <c r="C27" s="28"/>
      <c r="D27" s="26" t="str">
        <f t="shared" si="0"/>
        <v/>
      </c>
      <c r="E27" s="26" t="str">
        <f t="shared" si="1"/>
        <v/>
      </c>
      <c r="F27" s="28"/>
      <c r="G27" s="28"/>
      <c r="H27" s="29" t="str">
        <f t="shared" si="2"/>
        <v/>
      </c>
    </row>
    <row r="28" spans="1:8">
      <c r="A28" s="28"/>
      <c r="B28" s="28"/>
      <c r="C28" s="28"/>
      <c r="D28" s="26" t="str">
        <f t="shared" si="0"/>
        <v/>
      </c>
      <c r="E28" s="26" t="str">
        <f t="shared" si="1"/>
        <v/>
      </c>
      <c r="F28" s="28"/>
      <c r="G28" s="28"/>
      <c r="H28" s="29" t="str">
        <f t="shared" si="2"/>
        <v/>
      </c>
    </row>
    <row r="29" spans="1:8">
      <c r="A29" s="28"/>
      <c r="B29" s="28"/>
      <c r="C29" s="28"/>
      <c r="D29" s="26" t="str">
        <f t="shared" si="0"/>
        <v/>
      </c>
      <c r="E29" s="26" t="str">
        <f t="shared" si="1"/>
        <v/>
      </c>
      <c r="F29" s="28"/>
      <c r="G29" s="28"/>
      <c r="H29" s="29" t="str">
        <f t="shared" si="2"/>
        <v/>
      </c>
    </row>
    <row r="30" spans="1:8">
      <c r="A30" s="28"/>
      <c r="B30" s="28"/>
      <c r="C30" s="28"/>
      <c r="D30" s="26" t="str">
        <f t="shared" si="0"/>
        <v/>
      </c>
      <c r="E30" s="26" t="str">
        <f t="shared" si="1"/>
        <v/>
      </c>
      <c r="F30" s="28"/>
      <c r="G30" s="28"/>
      <c r="H30" s="29" t="str">
        <f t="shared" si="2"/>
        <v/>
      </c>
    </row>
    <row r="31" spans="1:8">
      <c r="A31" s="28"/>
      <c r="B31" s="28"/>
      <c r="C31" s="28"/>
      <c r="D31" s="26" t="str">
        <f t="shared" si="0"/>
        <v/>
      </c>
      <c r="E31" s="26" t="str">
        <f t="shared" si="1"/>
        <v/>
      </c>
      <c r="F31" s="28"/>
      <c r="G31" s="28"/>
      <c r="H31" s="29" t="str">
        <f t="shared" si="2"/>
        <v/>
      </c>
    </row>
    <row r="32" spans="1:8">
      <c r="A32" s="28"/>
      <c r="B32" s="28"/>
      <c r="C32" s="28"/>
      <c r="D32" s="26" t="str">
        <f t="shared" si="0"/>
        <v/>
      </c>
      <c r="E32" s="26" t="str">
        <f t="shared" si="1"/>
        <v/>
      </c>
      <c r="F32" s="28"/>
      <c r="G32" s="28"/>
      <c r="H32" s="29" t="str">
        <f t="shared" si="2"/>
        <v/>
      </c>
    </row>
    <row r="33" spans="1:8">
      <c r="A33" s="28"/>
      <c r="B33" s="28"/>
      <c r="C33" s="28"/>
      <c r="D33" s="26" t="str">
        <f t="shared" si="0"/>
        <v/>
      </c>
      <c r="E33" s="26" t="str">
        <f t="shared" si="1"/>
        <v/>
      </c>
      <c r="F33" s="28"/>
      <c r="G33" s="28"/>
      <c r="H33" s="29" t="str">
        <f t="shared" si="2"/>
        <v/>
      </c>
    </row>
    <row r="34" spans="1:8">
      <c r="A34" s="28"/>
      <c r="B34" s="28"/>
      <c r="C34" s="28"/>
      <c r="D34" s="26" t="str">
        <f t="shared" si="0"/>
        <v/>
      </c>
      <c r="E34" s="26" t="str">
        <f t="shared" si="1"/>
        <v/>
      </c>
      <c r="F34" s="28"/>
      <c r="G34" s="28"/>
      <c r="H34" s="29" t="str">
        <f t="shared" si="2"/>
        <v/>
      </c>
    </row>
    <row r="35" spans="1:8">
      <c r="A35" s="28"/>
      <c r="B35" s="28"/>
      <c r="C35" s="28"/>
      <c r="D35" s="26" t="str">
        <f t="shared" si="0"/>
        <v/>
      </c>
      <c r="E35" s="26" t="str">
        <f t="shared" si="1"/>
        <v/>
      </c>
      <c r="F35" s="28"/>
      <c r="G35" s="28"/>
      <c r="H35" s="29" t="str">
        <f t="shared" si="2"/>
        <v/>
      </c>
    </row>
    <row r="36" spans="1:8">
      <c r="A36" s="28"/>
      <c r="B36" s="28"/>
      <c r="C36" s="28"/>
      <c r="D36" s="26" t="str">
        <f t="shared" si="0"/>
        <v/>
      </c>
      <c r="E36" s="26" t="str">
        <f t="shared" si="1"/>
        <v/>
      </c>
      <c r="F36" s="28"/>
      <c r="G36" s="28"/>
      <c r="H36" s="29" t="str">
        <f t="shared" si="2"/>
        <v/>
      </c>
    </row>
    <row r="37" spans="1:8">
      <c r="A37" s="28"/>
      <c r="B37" s="28"/>
      <c r="C37" s="28"/>
      <c r="D37" s="26" t="str">
        <f t="shared" si="0"/>
        <v/>
      </c>
      <c r="E37" s="26" t="str">
        <f t="shared" si="1"/>
        <v/>
      </c>
      <c r="F37" s="28"/>
      <c r="G37" s="28"/>
      <c r="H37" s="29" t="str">
        <f t="shared" si="2"/>
        <v/>
      </c>
    </row>
    <row r="38" spans="1:8">
      <c r="A38" s="28"/>
      <c r="B38" s="28"/>
      <c r="C38" s="28"/>
      <c r="D38" s="26" t="str">
        <f t="shared" si="0"/>
        <v/>
      </c>
      <c r="E38" s="26" t="str">
        <f t="shared" si="1"/>
        <v/>
      </c>
      <c r="F38" s="28"/>
      <c r="G38" s="28"/>
      <c r="H38" s="29" t="str">
        <f t="shared" si="2"/>
        <v/>
      </c>
    </row>
    <row r="39" spans="1:8">
      <c r="A39" s="28"/>
      <c r="B39" s="28"/>
      <c r="C39" s="28"/>
      <c r="D39" s="26" t="str">
        <f t="shared" si="0"/>
        <v/>
      </c>
      <c r="E39" s="26" t="str">
        <f t="shared" si="1"/>
        <v/>
      </c>
      <c r="F39" s="28"/>
      <c r="G39" s="28"/>
      <c r="H39" s="29" t="str">
        <f t="shared" si="2"/>
        <v/>
      </c>
    </row>
    <row r="40" spans="1:8">
      <c r="A40" s="28"/>
      <c r="B40" s="28"/>
      <c r="C40" s="28"/>
      <c r="D40" s="26" t="str">
        <f t="shared" si="0"/>
        <v/>
      </c>
      <c r="E40" s="26" t="str">
        <f t="shared" si="1"/>
        <v/>
      </c>
      <c r="F40" s="28"/>
      <c r="G40" s="28"/>
      <c r="H40" s="29" t="str">
        <f t="shared" si="2"/>
        <v/>
      </c>
    </row>
    <row r="41" spans="1:8">
      <c r="A41" s="28"/>
      <c r="B41" s="28"/>
      <c r="C41" s="28"/>
      <c r="D41" s="26" t="str">
        <f t="shared" si="0"/>
        <v/>
      </c>
      <c r="E41" s="26" t="str">
        <f t="shared" si="1"/>
        <v/>
      </c>
      <c r="F41" s="28"/>
      <c r="G41" s="28"/>
      <c r="H41" s="29" t="str">
        <f t="shared" si="2"/>
        <v/>
      </c>
    </row>
    <row r="42" spans="1:8">
      <c r="A42" s="28"/>
      <c r="B42" s="28"/>
      <c r="C42" s="28"/>
      <c r="D42" s="26" t="str">
        <f t="shared" si="0"/>
        <v/>
      </c>
      <c r="E42" s="26" t="str">
        <f t="shared" si="1"/>
        <v/>
      </c>
      <c r="F42" s="28"/>
      <c r="G42" s="28"/>
      <c r="H42" s="29" t="str">
        <f t="shared" si="2"/>
        <v/>
      </c>
    </row>
    <row r="43" spans="1:8">
      <c r="A43" s="28"/>
      <c r="B43" s="28"/>
      <c r="C43" s="28"/>
      <c r="D43" s="26" t="str">
        <f t="shared" si="0"/>
        <v/>
      </c>
      <c r="E43" s="26" t="str">
        <f t="shared" si="1"/>
        <v/>
      </c>
      <c r="F43" s="28"/>
      <c r="G43" s="28"/>
      <c r="H43" s="29" t="str">
        <f t="shared" si="2"/>
        <v/>
      </c>
    </row>
    <row r="44" spans="1:8">
      <c r="A44" s="28"/>
      <c r="B44" s="28"/>
      <c r="C44" s="28"/>
      <c r="D44" s="26" t="str">
        <f t="shared" si="0"/>
        <v/>
      </c>
      <c r="E44" s="26" t="str">
        <f t="shared" si="1"/>
        <v/>
      </c>
      <c r="F44" s="28"/>
      <c r="G44" s="28"/>
      <c r="H44" s="29" t="str">
        <f t="shared" si="2"/>
        <v/>
      </c>
    </row>
    <row r="45" spans="1:8">
      <c r="A45" s="28"/>
      <c r="B45" s="28"/>
      <c r="C45" s="28"/>
      <c r="D45" s="26" t="str">
        <f t="shared" si="0"/>
        <v/>
      </c>
      <c r="E45" s="26" t="str">
        <f t="shared" si="1"/>
        <v/>
      </c>
      <c r="F45" s="28"/>
      <c r="G45" s="28"/>
      <c r="H45" s="29" t="str">
        <f t="shared" si="2"/>
        <v/>
      </c>
    </row>
    <row r="46" spans="1:8">
      <c r="A46" s="28"/>
      <c r="B46" s="28"/>
      <c r="C46" s="28"/>
      <c r="D46" s="26" t="str">
        <f t="shared" si="0"/>
        <v/>
      </c>
      <c r="E46" s="26" t="str">
        <f t="shared" si="1"/>
        <v/>
      </c>
      <c r="F46" s="28"/>
      <c r="G46" s="28"/>
      <c r="H46" s="29" t="str">
        <f t="shared" si="2"/>
        <v/>
      </c>
    </row>
    <row r="47" spans="1:8">
      <c r="A47" s="28"/>
      <c r="B47" s="28"/>
      <c r="C47" s="28"/>
      <c r="D47" s="26" t="str">
        <f t="shared" si="0"/>
        <v/>
      </c>
      <c r="E47" s="26" t="str">
        <f t="shared" si="1"/>
        <v/>
      </c>
      <c r="F47" s="28"/>
      <c r="G47" s="28"/>
      <c r="H47" s="29" t="str">
        <f t="shared" si="2"/>
        <v/>
      </c>
    </row>
    <row r="48" spans="1:8">
      <c r="A48" s="28"/>
      <c r="B48" s="28"/>
      <c r="C48" s="28"/>
      <c r="D48" s="26" t="str">
        <f t="shared" si="0"/>
        <v/>
      </c>
      <c r="E48" s="26" t="str">
        <f t="shared" si="1"/>
        <v/>
      </c>
      <c r="F48" s="28"/>
      <c r="G48" s="28"/>
      <c r="H48" s="29" t="str">
        <f t="shared" si="2"/>
        <v/>
      </c>
    </row>
    <row r="49" spans="1:8">
      <c r="A49" s="28"/>
      <c r="B49" s="28"/>
      <c r="C49" s="28"/>
      <c r="D49" s="26" t="str">
        <f t="shared" si="0"/>
        <v/>
      </c>
      <c r="E49" s="26" t="str">
        <f t="shared" si="1"/>
        <v/>
      </c>
      <c r="F49" s="28"/>
      <c r="G49" s="28"/>
      <c r="H49" s="29" t="str">
        <f t="shared" si="2"/>
        <v/>
      </c>
    </row>
    <row r="50" spans="1:8">
      <c r="A50" s="28"/>
      <c r="B50" s="28"/>
      <c r="C50" s="28"/>
      <c r="D50" s="26" t="str">
        <f t="shared" si="0"/>
        <v/>
      </c>
      <c r="E50" s="26" t="str">
        <f t="shared" si="1"/>
        <v/>
      </c>
      <c r="F50" s="28"/>
      <c r="G50" s="28"/>
      <c r="H50" s="29" t="str">
        <f t="shared" si="2"/>
        <v/>
      </c>
    </row>
    <row r="51" spans="1:8">
      <c r="A51" s="28"/>
      <c r="B51" s="28"/>
      <c r="C51" s="28"/>
      <c r="D51" s="26" t="str">
        <f t="shared" si="0"/>
        <v/>
      </c>
      <c r="E51" s="26" t="str">
        <f t="shared" si="1"/>
        <v/>
      </c>
      <c r="F51" s="28"/>
      <c r="G51" s="28"/>
      <c r="H51" s="29" t="str">
        <f t="shared" si="2"/>
        <v/>
      </c>
    </row>
    <row r="52" spans="1:8">
      <c r="A52" s="28"/>
      <c r="B52" s="28"/>
      <c r="C52" s="28"/>
      <c r="D52" s="26" t="str">
        <f t="shared" si="0"/>
        <v/>
      </c>
      <c r="E52" s="26" t="str">
        <f t="shared" si="1"/>
        <v/>
      </c>
      <c r="F52" s="28"/>
      <c r="G52" s="28"/>
      <c r="H52" s="29" t="str">
        <f t="shared" si="2"/>
        <v/>
      </c>
    </row>
    <row r="53" spans="1:8">
      <c r="A53" s="28"/>
      <c r="B53" s="28"/>
      <c r="C53" s="28"/>
      <c r="D53" s="26" t="str">
        <f t="shared" si="0"/>
        <v/>
      </c>
      <c r="E53" s="26" t="str">
        <f t="shared" si="1"/>
        <v/>
      </c>
      <c r="F53" s="28"/>
      <c r="G53" s="28"/>
      <c r="H53" s="29" t="str">
        <f t="shared" si="2"/>
        <v/>
      </c>
    </row>
    <row r="54" spans="1:8">
      <c r="A54" s="28"/>
      <c r="B54" s="28"/>
      <c r="C54" s="28"/>
      <c r="D54" s="26" t="str">
        <f t="shared" si="0"/>
        <v/>
      </c>
      <c r="E54" s="26" t="str">
        <f t="shared" si="1"/>
        <v/>
      </c>
      <c r="F54" s="28"/>
      <c r="G54" s="28"/>
      <c r="H54" s="29" t="str">
        <f t="shared" si="2"/>
        <v/>
      </c>
    </row>
    <row r="55" spans="1:8">
      <c r="A55" s="28"/>
      <c r="B55" s="28"/>
      <c r="C55" s="28"/>
      <c r="D55" s="26" t="str">
        <f t="shared" si="0"/>
        <v/>
      </c>
      <c r="E55" s="26" t="str">
        <f t="shared" si="1"/>
        <v/>
      </c>
      <c r="F55" s="28"/>
      <c r="G55" s="28"/>
      <c r="H55" s="29" t="str">
        <f t="shared" si="2"/>
        <v/>
      </c>
    </row>
    <row r="56" spans="1:8">
      <c r="A56" s="28"/>
      <c r="B56" s="28"/>
      <c r="C56" s="28"/>
      <c r="D56" s="26" t="str">
        <f t="shared" si="0"/>
        <v/>
      </c>
      <c r="E56" s="26" t="str">
        <f t="shared" si="1"/>
        <v/>
      </c>
      <c r="F56" s="28"/>
      <c r="G56" s="28"/>
      <c r="H56" s="29" t="str">
        <f t="shared" si="2"/>
        <v/>
      </c>
    </row>
    <row r="57" spans="1:8">
      <c r="A57" s="28"/>
      <c r="B57" s="28"/>
      <c r="C57" s="28"/>
      <c r="D57" s="26" t="str">
        <f t="shared" si="0"/>
        <v/>
      </c>
      <c r="E57" s="26" t="str">
        <f t="shared" si="1"/>
        <v/>
      </c>
      <c r="F57" s="28"/>
      <c r="G57" s="28"/>
      <c r="H57" s="29" t="str">
        <f t="shared" si="2"/>
        <v/>
      </c>
    </row>
    <row r="58" spans="1:8">
      <c r="A58" s="28"/>
      <c r="B58" s="28"/>
      <c r="C58" s="28"/>
      <c r="D58" s="26" t="str">
        <f t="shared" si="0"/>
        <v/>
      </c>
      <c r="E58" s="26" t="str">
        <f t="shared" si="1"/>
        <v/>
      </c>
      <c r="F58" s="28"/>
      <c r="G58" s="28"/>
      <c r="H58" s="29" t="str">
        <f t="shared" si="2"/>
        <v/>
      </c>
    </row>
    <row r="59" spans="1:8">
      <c r="A59" s="28"/>
      <c r="B59" s="28"/>
      <c r="C59" s="28"/>
      <c r="D59" s="26" t="str">
        <f t="shared" si="0"/>
        <v/>
      </c>
      <c r="E59" s="26" t="str">
        <f t="shared" si="1"/>
        <v/>
      </c>
      <c r="F59" s="28"/>
      <c r="G59" s="28"/>
      <c r="H59" s="29" t="str">
        <f t="shared" si="2"/>
        <v/>
      </c>
    </row>
    <row r="60" spans="1:8">
      <c r="A60" s="28"/>
      <c r="B60" s="28"/>
      <c r="C60" s="28"/>
      <c r="D60" s="26" t="str">
        <f t="shared" si="0"/>
        <v/>
      </c>
      <c r="E60" s="26" t="str">
        <f t="shared" si="1"/>
        <v/>
      </c>
      <c r="F60" s="28"/>
      <c r="G60" s="28"/>
      <c r="H60" s="29" t="str">
        <f t="shared" si="2"/>
        <v/>
      </c>
    </row>
    <row r="61" spans="1:8">
      <c r="A61" s="28"/>
      <c r="B61" s="28"/>
      <c r="C61" s="28"/>
      <c r="D61" s="26" t="str">
        <f t="shared" si="0"/>
        <v/>
      </c>
      <c r="E61" s="26" t="str">
        <f t="shared" si="1"/>
        <v/>
      </c>
      <c r="F61" s="28"/>
      <c r="G61" s="28"/>
      <c r="H61" s="29" t="str">
        <f t="shared" si="2"/>
        <v/>
      </c>
    </row>
    <row r="62" spans="1:8">
      <c r="A62" s="28"/>
      <c r="B62" s="28"/>
      <c r="C62" s="28"/>
      <c r="D62" s="26" t="str">
        <f t="shared" si="0"/>
        <v/>
      </c>
      <c r="E62" s="26" t="str">
        <f t="shared" si="1"/>
        <v/>
      </c>
      <c r="F62" s="28"/>
      <c r="G62" s="28"/>
      <c r="H62" s="29" t="str">
        <f t="shared" si="2"/>
        <v/>
      </c>
    </row>
    <row r="63" spans="1:8">
      <c r="A63" s="28"/>
      <c r="B63" s="28"/>
      <c r="C63" s="28"/>
      <c r="D63" s="26" t="str">
        <f t="shared" si="0"/>
        <v/>
      </c>
      <c r="E63" s="26" t="str">
        <f t="shared" si="1"/>
        <v/>
      </c>
      <c r="F63" s="28"/>
      <c r="G63" s="28"/>
      <c r="H63" s="29" t="str">
        <f t="shared" si="2"/>
        <v/>
      </c>
    </row>
    <row r="64" spans="1:8">
      <c r="A64" s="28"/>
      <c r="B64" s="28"/>
      <c r="C64" s="28"/>
      <c r="D64" s="26" t="str">
        <f t="shared" si="0"/>
        <v/>
      </c>
      <c r="E64" s="26" t="str">
        <f t="shared" si="1"/>
        <v/>
      </c>
      <c r="F64" s="28"/>
      <c r="G64" s="28"/>
      <c r="H64" s="29" t="str">
        <f t="shared" si="2"/>
        <v/>
      </c>
    </row>
    <row r="65" spans="1:8">
      <c r="A65" s="28"/>
      <c r="B65" s="28"/>
      <c r="C65" s="28"/>
      <c r="D65" s="26" t="str">
        <f t="shared" si="0"/>
        <v/>
      </c>
      <c r="E65" s="26" t="str">
        <f t="shared" si="1"/>
        <v/>
      </c>
      <c r="F65" s="28"/>
      <c r="G65" s="28"/>
      <c r="H65" s="29" t="str">
        <f t="shared" si="2"/>
        <v/>
      </c>
    </row>
    <row r="66" spans="1:8">
      <c r="A66" s="28"/>
      <c r="B66" s="28"/>
      <c r="C66" s="28"/>
      <c r="D66" s="26" t="str">
        <f t="shared" ref="D66:D129" si="3">IF(OR(B66="",C66=""),"",C66-B66)</f>
        <v/>
      </c>
      <c r="E66" s="26" t="str">
        <f t="shared" ref="E66:E129" si="4">IF(OR(B66="",C66=""),"",(B66+C66)/2)</f>
        <v/>
      </c>
      <c r="F66" s="28"/>
      <c r="G66" s="28"/>
      <c r="H66" s="29" t="str">
        <f t="shared" ref="H66:H129" si="5">IF(OR(F66="",G66=""),"",G66-F66)</f>
        <v/>
      </c>
    </row>
    <row r="67" spans="1:8">
      <c r="A67" s="28"/>
      <c r="B67" s="28"/>
      <c r="C67" s="28"/>
      <c r="D67" s="26" t="str">
        <f t="shared" si="3"/>
        <v/>
      </c>
      <c r="E67" s="26" t="str">
        <f t="shared" si="4"/>
        <v/>
      </c>
      <c r="F67" s="28"/>
      <c r="G67" s="28"/>
      <c r="H67" s="29" t="str">
        <f t="shared" si="5"/>
        <v/>
      </c>
    </row>
    <row r="68" spans="1:8">
      <c r="A68" s="28"/>
      <c r="B68" s="28"/>
      <c r="C68" s="28"/>
      <c r="D68" s="26" t="str">
        <f t="shared" si="3"/>
        <v/>
      </c>
      <c r="E68" s="26" t="str">
        <f t="shared" si="4"/>
        <v/>
      </c>
      <c r="F68" s="28"/>
      <c r="G68" s="28"/>
      <c r="H68" s="29" t="str">
        <f t="shared" si="5"/>
        <v/>
      </c>
    </row>
    <row r="69" spans="1:8">
      <c r="A69" s="28"/>
      <c r="B69" s="28"/>
      <c r="C69" s="28"/>
      <c r="D69" s="26" t="str">
        <f t="shared" si="3"/>
        <v/>
      </c>
      <c r="E69" s="26" t="str">
        <f t="shared" si="4"/>
        <v/>
      </c>
      <c r="F69" s="28"/>
      <c r="G69" s="28"/>
      <c r="H69" s="29" t="str">
        <f t="shared" si="5"/>
        <v/>
      </c>
    </row>
    <row r="70" spans="1:8">
      <c r="A70" s="28"/>
      <c r="B70" s="28"/>
      <c r="C70" s="28"/>
      <c r="D70" s="26" t="str">
        <f t="shared" si="3"/>
        <v/>
      </c>
      <c r="E70" s="26" t="str">
        <f t="shared" si="4"/>
        <v/>
      </c>
      <c r="F70" s="28"/>
      <c r="G70" s="28"/>
      <c r="H70" s="29" t="str">
        <f t="shared" si="5"/>
        <v/>
      </c>
    </row>
    <row r="71" spans="1:8">
      <c r="A71" s="28"/>
      <c r="B71" s="28"/>
      <c r="C71" s="28"/>
      <c r="D71" s="26" t="str">
        <f t="shared" si="3"/>
        <v/>
      </c>
      <c r="E71" s="26" t="str">
        <f t="shared" si="4"/>
        <v/>
      </c>
      <c r="F71" s="28"/>
      <c r="G71" s="28"/>
      <c r="H71" s="29" t="str">
        <f t="shared" si="5"/>
        <v/>
      </c>
    </row>
    <row r="72" spans="1:8">
      <c r="A72" s="28"/>
      <c r="B72" s="28"/>
      <c r="C72" s="28"/>
      <c r="D72" s="26" t="str">
        <f t="shared" si="3"/>
        <v/>
      </c>
      <c r="E72" s="26" t="str">
        <f t="shared" si="4"/>
        <v/>
      </c>
      <c r="F72" s="28"/>
      <c r="G72" s="28"/>
      <c r="H72" s="29" t="str">
        <f t="shared" si="5"/>
        <v/>
      </c>
    </row>
    <row r="73" spans="1:8">
      <c r="A73" s="28"/>
      <c r="B73" s="28"/>
      <c r="C73" s="28"/>
      <c r="D73" s="26" t="str">
        <f t="shared" si="3"/>
        <v/>
      </c>
      <c r="E73" s="26" t="str">
        <f t="shared" si="4"/>
        <v/>
      </c>
      <c r="F73" s="28"/>
      <c r="G73" s="28"/>
      <c r="H73" s="29" t="str">
        <f t="shared" si="5"/>
        <v/>
      </c>
    </row>
    <row r="74" spans="1:8">
      <c r="A74" s="28"/>
      <c r="B74" s="28"/>
      <c r="C74" s="28"/>
      <c r="D74" s="26" t="str">
        <f t="shared" si="3"/>
        <v/>
      </c>
      <c r="E74" s="26" t="str">
        <f t="shared" si="4"/>
        <v/>
      </c>
      <c r="F74" s="28"/>
      <c r="G74" s="28"/>
      <c r="H74" s="29" t="str">
        <f t="shared" si="5"/>
        <v/>
      </c>
    </row>
    <row r="75" spans="1:8">
      <c r="A75" s="28"/>
      <c r="B75" s="28"/>
      <c r="C75" s="28"/>
      <c r="D75" s="26" t="str">
        <f t="shared" si="3"/>
        <v/>
      </c>
      <c r="E75" s="26" t="str">
        <f t="shared" si="4"/>
        <v/>
      </c>
      <c r="F75" s="28"/>
      <c r="G75" s="28"/>
      <c r="H75" s="29" t="str">
        <f t="shared" si="5"/>
        <v/>
      </c>
    </row>
    <row r="76" spans="1:8">
      <c r="A76" s="28"/>
      <c r="B76" s="28"/>
      <c r="C76" s="28"/>
      <c r="D76" s="26" t="str">
        <f t="shared" si="3"/>
        <v/>
      </c>
      <c r="E76" s="26" t="str">
        <f t="shared" si="4"/>
        <v/>
      </c>
      <c r="F76" s="28"/>
      <c r="G76" s="28"/>
      <c r="H76" s="29" t="str">
        <f t="shared" si="5"/>
        <v/>
      </c>
    </row>
    <row r="77" spans="1:8">
      <c r="A77" s="28"/>
      <c r="B77" s="28"/>
      <c r="C77" s="28"/>
      <c r="D77" s="26" t="str">
        <f t="shared" si="3"/>
        <v/>
      </c>
      <c r="E77" s="26" t="str">
        <f t="shared" si="4"/>
        <v/>
      </c>
      <c r="F77" s="28"/>
      <c r="G77" s="28"/>
      <c r="H77" s="29" t="str">
        <f t="shared" si="5"/>
        <v/>
      </c>
    </row>
    <row r="78" spans="1:8">
      <c r="A78" s="28"/>
      <c r="B78" s="28"/>
      <c r="C78" s="28"/>
      <c r="D78" s="26" t="str">
        <f t="shared" si="3"/>
        <v/>
      </c>
      <c r="E78" s="26" t="str">
        <f t="shared" si="4"/>
        <v/>
      </c>
      <c r="F78" s="28"/>
      <c r="G78" s="28"/>
      <c r="H78" s="29" t="str">
        <f t="shared" si="5"/>
        <v/>
      </c>
    </row>
    <row r="79" spans="1:8">
      <c r="A79" s="28"/>
      <c r="B79" s="28"/>
      <c r="C79" s="28"/>
      <c r="D79" s="26" t="str">
        <f t="shared" si="3"/>
        <v/>
      </c>
      <c r="E79" s="26" t="str">
        <f t="shared" si="4"/>
        <v/>
      </c>
      <c r="F79" s="28"/>
      <c r="G79" s="28"/>
      <c r="H79" s="29" t="str">
        <f t="shared" si="5"/>
        <v/>
      </c>
    </row>
    <row r="80" spans="1:8">
      <c r="A80" s="28"/>
      <c r="B80" s="28"/>
      <c r="C80" s="28"/>
      <c r="D80" s="26" t="str">
        <f t="shared" si="3"/>
        <v/>
      </c>
      <c r="E80" s="26" t="str">
        <f t="shared" si="4"/>
        <v/>
      </c>
      <c r="F80" s="28"/>
      <c r="G80" s="28"/>
      <c r="H80" s="29" t="str">
        <f t="shared" si="5"/>
        <v/>
      </c>
    </row>
    <row r="81" spans="1:8">
      <c r="A81" s="28"/>
      <c r="B81" s="28"/>
      <c r="C81" s="28"/>
      <c r="D81" s="26" t="str">
        <f t="shared" si="3"/>
        <v/>
      </c>
      <c r="E81" s="26" t="str">
        <f t="shared" si="4"/>
        <v/>
      </c>
      <c r="F81" s="28"/>
      <c r="G81" s="28"/>
      <c r="H81" s="29" t="str">
        <f t="shared" si="5"/>
        <v/>
      </c>
    </row>
    <row r="82" spans="1:8">
      <c r="A82" s="28"/>
      <c r="B82" s="28"/>
      <c r="C82" s="28"/>
      <c r="D82" s="26" t="str">
        <f t="shared" si="3"/>
        <v/>
      </c>
      <c r="E82" s="26" t="str">
        <f t="shared" si="4"/>
        <v/>
      </c>
      <c r="F82" s="28"/>
      <c r="G82" s="28"/>
      <c r="H82" s="29" t="str">
        <f t="shared" si="5"/>
        <v/>
      </c>
    </row>
    <row r="83" spans="1:8">
      <c r="A83" s="28"/>
      <c r="B83" s="28"/>
      <c r="C83" s="28"/>
      <c r="D83" s="26" t="str">
        <f t="shared" si="3"/>
        <v/>
      </c>
      <c r="E83" s="26" t="str">
        <f t="shared" si="4"/>
        <v/>
      </c>
      <c r="F83" s="28"/>
      <c r="G83" s="28"/>
      <c r="H83" s="29" t="str">
        <f t="shared" si="5"/>
        <v/>
      </c>
    </row>
    <row r="84" spans="1:8">
      <c r="A84" s="28"/>
      <c r="B84" s="28"/>
      <c r="C84" s="28"/>
      <c r="D84" s="26" t="str">
        <f t="shared" si="3"/>
        <v/>
      </c>
      <c r="E84" s="26" t="str">
        <f t="shared" si="4"/>
        <v/>
      </c>
      <c r="F84" s="28"/>
      <c r="G84" s="28"/>
      <c r="H84" s="29" t="str">
        <f t="shared" si="5"/>
        <v/>
      </c>
    </row>
    <row r="85" spans="1:8">
      <c r="A85" s="28"/>
      <c r="B85" s="28"/>
      <c r="C85" s="28"/>
      <c r="D85" s="26" t="str">
        <f t="shared" si="3"/>
        <v/>
      </c>
      <c r="E85" s="26" t="str">
        <f t="shared" si="4"/>
        <v/>
      </c>
      <c r="F85" s="28"/>
      <c r="G85" s="28"/>
      <c r="H85" s="29" t="str">
        <f t="shared" si="5"/>
        <v/>
      </c>
    </row>
    <row r="86" spans="1:8">
      <c r="A86" s="28"/>
      <c r="B86" s="28"/>
      <c r="C86" s="28"/>
      <c r="D86" s="26" t="str">
        <f t="shared" si="3"/>
        <v/>
      </c>
      <c r="E86" s="26" t="str">
        <f t="shared" si="4"/>
        <v/>
      </c>
      <c r="F86" s="28"/>
      <c r="G86" s="28"/>
      <c r="H86" s="29" t="str">
        <f t="shared" si="5"/>
        <v/>
      </c>
    </row>
    <row r="87" spans="1:8">
      <c r="A87" s="28"/>
      <c r="B87" s="28"/>
      <c r="C87" s="28"/>
      <c r="D87" s="26" t="str">
        <f t="shared" si="3"/>
        <v/>
      </c>
      <c r="E87" s="26" t="str">
        <f t="shared" si="4"/>
        <v/>
      </c>
      <c r="F87" s="28"/>
      <c r="G87" s="28"/>
      <c r="H87" s="29" t="str">
        <f t="shared" si="5"/>
        <v/>
      </c>
    </row>
    <row r="88" spans="1:8">
      <c r="A88" s="28"/>
      <c r="B88" s="28"/>
      <c r="C88" s="28"/>
      <c r="D88" s="26" t="str">
        <f t="shared" si="3"/>
        <v/>
      </c>
      <c r="E88" s="26" t="str">
        <f t="shared" si="4"/>
        <v/>
      </c>
      <c r="F88" s="28"/>
      <c r="G88" s="28"/>
      <c r="H88" s="29" t="str">
        <f t="shared" si="5"/>
        <v/>
      </c>
    </row>
    <row r="89" spans="1:8">
      <c r="A89" s="28"/>
      <c r="B89" s="28"/>
      <c r="C89" s="28"/>
      <c r="D89" s="26" t="str">
        <f t="shared" si="3"/>
        <v/>
      </c>
      <c r="E89" s="26" t="str">
        <f t="shared" si="4"/>
        <v/>
      </c>
      <c r="F89" s="28"/>
      <c r="G89" s="28"/>
      <c r="H89" s="29" t="str">
        <f t="shared" si="5"/>
        <v/>
      </c>
    </row>
    <row r="90" spans="1:8">
      <c r="A90" s="28"/>
      <c r="B90" s="28"/>
      <c r="C90" s="28"/>
      <c r="D90" s="26" t="str">
        <f t="shared" si="3"/>
        <v/>
      </c>
      <c r="E90" s="26" t="str">
        <f t="shared" si="4"/>
        <v/>
      </c>
      <c r="F90" s="28"/>
      <c r="G90" s="28"/>
      <c r="H90" s="29" t="str">
        <f t="shared" si="5"/>
        <v/>
      </c>
    </row>
    <row r="91" spans="1:8">
      <c r="A91" s="28"/>
      <c r="B91" s="28"/>
      <c r="C91" s="28"/>
      <c r="D91" s="26" t="str">
        <f t="shared" si="3"/>
        <v/>
      </c>
      <c r="E91" s="26" t="str">
        <f t="shared" si="4"/>
        <v/>
      </c>
      <c r="F91" s="28"/>
      <c r="G91" s="28"/>
      <c r="H91" s="29" t="str">
        <f t="shared" si="5"/>
        <v/>
      </c>
    </row>
    <row r="92" spans="1:8">
      <c r="A92" s="28"/>
      <c r="B92" s="28"/>
      <c r="C92" s="28"/>
      <c r="D92" s="26" t="str">
        <f t="shared" si="3"/>
        <v/>
      </c>
      <c r="E92" s="26" t="str">
        <f t="shared" si="4"/>
        <v/>
      </c>
      <c r="F92" s="28"/>
      <c r="G92" s="28"/>
      <c r="H92" s="29" t="str">
        <f t="shared" si="5"/>
        <v/>
      </c>
    </row>
    <row r="93" spans="1:8">
      <c r="A93" s="28"/>
      <c r="B93" s="28"/>
      <c r="C93" s="28"/>
      <c r="D93" s="26" t="str">
        <f t="shared" si="3"/>
        <v/>
      </c>
      <c r="E93" s="26" t="str">
        <f t="shared" si="4"/>
        <v/>
      </c>
      <c r="F93" s="28"/>
      <c r="G93" s="28"/>
      <c r="H93" s="29" t="str">
        <f t="shared" si="5"/>
        <v/>
      </c>
    </row>
    <row r="94" spans="1:8">
      <c r="A94" s="28"/>
      <c r="B94" s="28"/>
      <c r="C94" s="28"/>
      <c r="D94" s="26" t="str">
        <f t="shared" si="3"/>
        <v/>
      </c>
      <c r="E94" s="26" t="str">
        <f t="shared" si="4"/>
        <v/>
      </c>
      <c r="F94" s="28"/>
      <c r="G94" s="28"/>
      <c r="H94" s="29" t="str">
        <f t="shared" si="5"/>
        <v/>
      </c>
    </row>
    <row r="95" spans="1:8">
      <c r="A95" s="28"/>
      <c r="B95" s="28"/>
      <c r="C95" s="28"/>
      <c r="D95" s="26" t="str">
        <f t="shared" si="3"/>
        <v/>
      </c>
      <c r="E95" s="26" t="str">
        <f t="shared" si="4"/>
        <v/>
      </c>
      <c r="F95" s="28"/>
      <c r="G95" s="28"/>
      <c r="H95" s="29" t="str">
        <f t="shared" si="5"/>
        <v/>
      </c>
    </row>
    <row r="96" spans="1:8">
      <c r="A96" s="28"/>
      <c r="B96" s="28"/>
      <c r="C96" s="28"/>
      <c r="D96" s="26" t="str">
        <f t="shared" si="3"/>
        <v/>
      </c>
      <c r="E96" s="26" t="str">
        <f t="shared" si="4"/>
        <v/>
      </c>
      <c r="F96" s="28"/>
      <c r="G96" s="28"/>
      <c r="H96" s="29" t="str">
        <f t="shared" si="5"/>
        <v/>
      </c>
    </row>
    <row r="97" spans="1:8">
      <c r="A97" s="28"/>
      <c r="B97" s="28"/>
      <c r="C97" s="28"/>
      <c r="D97" s="26" t="str">
        <f t="shared" si="3"/>
        <v/>
      </c>
      <c r="E97" s="26" t="str">
        <f t="shared" si="4"/>
        <v/>
      </c>
      <c r="F97" s="28"/>
      <c r="G97" s="28"/>
      <c r="H97" s="29" t="str">
        <f t="shared" si="5"/>
        <v/>
      </c>
    </row>
    <row r="98" spans="1:8">
      <c r="A98" s="28"/>
      <c r="B98" s="28"/>
      <c r="C98" s="28"/>
      <c r="D98" s="26" t="str">
        <f t="shared" si="3"/>
        <v/>
      </c>
      <c r="E98" s="26" t="str">
        <f t="shared" si="4"/>
        <v/>
      </c>
      <c r="F98" s="28"/>
      <c r="G98" s="28"/>
      <c r="H98" s="29" t="str">
        <f t="shared" si="5"/>
        <v/>
      </c>
    </row>
    <row r="99" spans="1:8">
      <c r="A99" s="28"/>
      <c r="B99" s="28"/>
      <c r="C99" s="28"/>
      <c r="D99" s="26" t="str">
        <f t="shared" si="3"/>
        <v/>
      </c>
      <c r="E99" s="26" t="str">
        <f t="shared" si="4"/>
        <v/>
      </c>
      <c r="F99" s="28"/>
      <c r="G99" s="28"/>
      <c r="H99" s="29" t="str">
        <f t="shared" si="5"/>
        <v/>
      </c>
    </row>
    <row r="100" spans="1:8">
      <c r="A100" s="28"/>
      <c r="B100" s="28"/>
      <c r="C100" s="28"/>
      <c r="D100" s="26" t="str">
        <f t="shared" si="3"/>
        <v/>
      </c>
      <c r="E100" s="26" t="str">
        <f t="shared" si="4"/>
        <v/>
      </c>
      <c r="F100" s="28"/>
      <c r="G100" s="28"/>
      <c r="H100" s="29" t="str">
        <f t="shared" si="5"/>
        <v/>
      </c>
    </row>
    <row r="101" spans="1:8">
      <c r="A101" s="28"/>
      <c r="B101" s="28"/>
      <c r="C101" s="28"/>
      <c r="D101" s="26" t="str">
        <f t="shared" si="3"/>
        <v/>
      </c>
      <c r="E101" s="26" t="str">
        <f t="shared" si="4"/>
        <v/>
      </c>
      <c r="F101" s="28"/>
      <c r="G101" s="28"/>
      <c r="H101" s="29" t="str">
        <f t="shared" si="5"/>
        <v/>
      </c>
    </row>
    <row r="102" spans="1:8">
      <c r="A102" s="28"/>
      <c r="B102" s="28"/>
      <c r="C102" s="28"/>
      <c r="D102" s="26" t="str">
        <f t="shared" si="3"/>
        <v/>
      </c>
      <c r="E102" s="26" t="str">
        <f t="shared" si="4"/>
        <v/>
      </c>
      <c r="F102" s="28"/>
      <c r="G102" s="28"/>
      <c r="H102" s="29" t="str">
        <f t="shared" si="5"/>
        <v/>
      </c>
    </row>
    <row r="103" spans="1:8">
      <c r="A103" s="28"/>
      <c r="B103" s="28"/>
      <c r="C103" s="28"/>
      <c r="D103" s="26" t="str">
        <f t="shared" si="3"/>
        <v/>
      </c>
      <c r="E103" s="26" t="str">
        <f t="shared" si="4"/>
        <v/>
      </c>
      <c r="F103" s="28"/>
      <c r="G103" s="28"/>
      <c r="H103" s="29" t="str">
        <f t="shared" si="5"/>
        <v/>
      </c>
    </row>
    <row r="104" spans="1:8">
      <c r="A104" s="28"/>
      <c r="B104" s="28"/>
      <c r="C104" s="28"/>
      <c r="D104" s="26" t="str">
        <f t="shared" si="3"/>
        <v/>
      </c>
      <c r="E104" s="26" t="str">
        <f t="shared" si="4"/>
        <v/>
      </c>
      <c r="F104" s="28"/>
      <c r="G104" s="28"/>
      <c r="H104" s="29" t="str">
        <f t="shared" si="5"/>
        <v/>
      </c>
    </row>
    <row r="105" spans="1:8">
      <c r="A105" s="28"/>
      <c r="B105" s="28"/>
      <c r="C105" s="28"/>
      <c r="D105" s="26" t="str">
        <f t="shared" si="3"/>
        <v/>
      </c>
      <c r="E105" s="26" t="str">
        <f t="shared" si="4"/>
        <v/>
      </c>
      <c r="F105" s="28"/>
      <c r="G105" s="28"/>
      <c r="H105" s="29" t="str">
        <f t="shared" si="5"/>
        <v/>
      </c>
    </row>
    <row r="106" spans="1:8">
      <c r="A106" s="28"/>
      <c r="B106" s="28"/>
      <c r="C106" s="28"/>
      <c r="D106" s="26" t="str">
        <f t="shared" si="3"/>
        <v/>
      </c>
      <c r="E106" s="26" t="str">
        <f t="shared" si="4"/>
        <v/>
      </c>
      <c r="F106" s="28"/>
      <c r="G106" s="28"/>
      <c r="H106" s="29" t="str">
        <f t="shared" si="5"/>
        <v/>
      </c>
    </row>
    <row r="107" spans="1:8">
      <c r="A107" s="28"/>
      <c r="B107" s="28"/>
      <c r="C107" s="28"/>
      <c r="D107" s="26" t="str">
        <f t="shared" si="3"/>
        <v/>
      </c>
      <c r="E107" s="26" t="str">
        <f t="shared" si="4"/>
        <v/>
      </c>
      <c r="F107" s="28"/>
      <c r="G107" s="28"/>
      <c r="H107" s="29" t="str">
        <f t="shared" si="5"/>
        <v/>
      </c>
    </row>
    <row r="108" spans="1:8">
      <c r="A108" s="28"/>
      <c r="B108" s="28"/>
      <c r="C108" s="28"/>
      <c r="D108" s="26" t="str">
        <f t="shared" si="3"/>
        <v/>
      </c>
      <c r="E108" s="26" t="str">
        <f t="shared" si="4"/>
        <v/>
      </c>
      <c r="F108" s="28"/>
      <c r="G108" s="28"/>
      <c r="H108" s="29" t="str">
        <f t="shared" si="5"/>
        <v/>
      </c>
    </row>
    <row r="109" spans="1:8">
      <c r="A109" s="28"/>
      <c r="B109" s="28"/>
      <c r="C109" s="28"/>
      <c r="D109" s="26" t="str">
        <f t="shared" si="3"/>
        <v/>
      </c>
      <c r="E109" s="26" t="str">
        <f t="shared" si="4"/>
        <v/>
      </c>
      <c r="F109" s="28"/>
      <c r="G109" s="28"/>
      <c r="H109" s="29" t="str">
        <f t="shared" si="5"/>
        <v/>
      </c>
    </row>
    <row r="110" spans="1:8">
      <c r="A110" s="28"/>
      <c r="B110" s="28"/>
      <c r="C110" s="28"/>
      <c r="D110" s="26" t="str">
        <f t="shared" si="3"/>
        <v/>
      </c>
      <c r="E110" s="26" t="str">
        <f t="shared" si="4"/>
        <v/>
      </c>
      <c r="F110" s="28"/>
      <c r="G110" s="28"/>
      <c r="H110" s="29" t="str">
        <f t="shared" si="5"/>
        <v/>
      </c>
    </row>
    <row r="111" spans="1:8">
      <c r="A111" s="28"/>
      <c r="B111" s="28"/>
      <c r="C111" s="28"/>
      <c r="D111" s="26" t="str">
        <f t="shared" si="3"/>
        <v/>
      </c>
      <c r="E111" s="26" t="str">
        <f t="shared" si="4"/>
        <v/>
      </c>
      <c r="F111" s="28"/>
      <c r="G111" s="28"/>
      <c r="H111" s="29" t="str">
        <f t="shared" si="5"/>
        <v/>
      </c>
    </row>
    <row r="112" spans="1:8">
      <c r="A112" s="28"/>
      <c r="B112" s="28"/>
      <c r="C112" s="28"/>
      <c r="D112" s="26" t="str">
        <f t="shared" si="3"/>
        <v/>
      </c>
      <c r="E112" s="26" t="str">
        <f t="shared" si="4"/>
        <v/>
      </c>
      <c r="F112" s="28"/>
      <c r="G112" s="28"/>
      <c r="H112" s="29" t="str">
        <f t="shared" si="5"/>
        <v/>
      </c>
    </row>
    <row r="113" spans="1:8">
      <c r="A113" s="28"/>
      <c r="B113" s="28"/>
      <c r="C113" s="28"/>
      <c r="D113" s="26" t="str">
        <f t="shared" si="3"/>
        <v/>
      </c>
      <c r="E113" s="26" t="str">
        <f t="shared" si="4"/>
        <v/>
      </c>
      <c r="F113" s="28"/>
      <c r="G113" s="28"/>
      <c r="H113" s="29" t="str">
        <f t="shared" si="5"/>
        <v/>
      </c>
    </row>
    <row r="114" spans="1:8">
      <c r="A114" s="28"/>
      <c r="B114" s="28"/>
      <c r="C114" s="28"/>
      <c r="D114" s="26" t="str">
        <f t="shared" si="3"/>
        <v/>
      </c>
      <c r="E114" s="26" t="str">
        <f t="shared" si="4"/>
        <v/>
      </c>
      <c r="F114" s="28"/>
      <c r="G114" s="28"/>
      <c r="H114" s="29" t="str">
        <f t="shared" si="5"/>
        <v/>
      </c>
    </row>
    <row r="115" spans="1:8">
      <c r="A115" s="28"/>
      <c r="B115" s="28"/>
      <c r="C115" s="28"/>
      <c r="D115" s="26" t="str">
        <f t="shared" si="3"/>
        <v/>
      </c>
      <c r="E115" s="26" t="str">
        <f t="shared" si="4"/>
        <v/>
      </c>
      <c r="F115" s="28"/>
      <c r="G115" s="28"/>
      <c r="H115" s="29" t="str">
        <f t="shared" si="5"/>
        <v/>
      </c>
    </row>
    <row r="116" spans="1:8">
      <c r="A116" s="28"/>
      <c r="B116" s="28"/>
      <c r="C116" s="28"/>
      <c r="D116" s="26" t="str">
        <f t="shared" si="3"/>
        <v/>
      </c>
      <c r="E116" s="26" t="str">
        <f t="shared" si="4"/>
        <v/>
      </c>
      <c r="F116" s="28"/>
      <c r="G116" s="28"/>
      <c r="H116" s="29" t="str">
        <f t="shared" si="5"/>
        <v/>
      </c>
    </row>
    <row r="117" spans="1:8">
      <c r="A117" s="28"/>
      <c r="B117" s="28"/>
      <c r="C117" s="28"/>
      <c r="D117" s="26" t="str">
        <f t="shared" si="3"/>
        <v/>
      </c>
      <c r="E117" s="26" t="str">
        <f t="shared" si="4"/>
        <v/>
      </c>
      <c r="F117" s="28"/>
      <c r="G117" s="28"/>
      <c r="H117" s="29" t="str">
        <f t="shared" si="5"/>
        <v/>
      </c>
    </row>
    <row r="118" spans="1:8">
      <c r="A118" s="28"/>
      <c r="B118" s="28"/>
      <c r="C118" s="28"/>
      <c r="D118" s="26" t="str">
        <f t="shared" si="3"/>
        <v/>
      </c>
      <c r="E118" s="26" t="str">
        <f t="shared" si="4"/>
        <v/>
      </c>
      <c r="F118" s="28"/>
      <c r="G118" s="28"/>
      <c r="H118" s="29" t="str">
        <f t="shared" si="5"/>
        <v/>
      </c>
    </row>
    <row r="119" spans="1:8">
      <c r="A119" s="28"/>
      <c r="B119" s="28"/>
      <c r="C119" s="28"/>
      <c r="D119" s="26" t="str">
        <f t="shared" si="3"/>
        <v/>
      </c>
      <c r="E119" s="26" t="str">
        <f t="shared" si="4"/>
        <v/>
      </c>
      <c r="F119" s="28"/>
      <c r="G119" s="28"/>
      <c r="H119" s="29" t="str">
        <f t="shared" si="5"/>
        <v/>
      </c>
    </row>
    <row r="120" spans="1:8">
      <c r="A120" s="28"/>
      <c r="B120" s="28"/>
      <c r="C120" s="28"/>
      <c r="D120" s="26" t="str">
        <f t="shared" si="3"/>
        <v/>
      </c>
      <c r="E120" s="26" t="str">
        <f t="shared" si="4"/>
        <v/>
      </c>
      <c r="F120" s="28"/>
      <c r="G120" s="28"/>
      <c r="H120" s="29" t="str">
        <f t="shared" si="5"/>
        <v/>
      </c>
    </row>
    <row r="121" spans="1:8">
      <c r="A121" s="28"/>
      <c r="B121" s="28"/>
      <c r="C121" s="28"/>
      <c r="D121" s="26" t="str">
        <f t="shared" si="3"/>
        <v/>
      </c>
      <c r="E121" s="26" t="str">
        <f t="shared" si="4"/>
        <v/>
      </c>
      <c r="F121" s="28"/>
      <c r="G121" s="28"/>
      <c r="H121" s="29" t="str">
        <f t="shared" si="5"/>
        <v/>
      </c>
    </row>
    <row r="122" spans="1:8">
      <c r="A122" s="28"/>
      <c r="B122" s="28"/>
      <c r="C122" s="28"/>
      <c r="D122" s="26" t="str">
        <f t="shared" si="3"/>
        <v/>
      </c>
      <c r="E122" s="26" t="str">
        <f t="shared" si="4"/>
        <v/>
      </c>
      <c r="F122" s="28"/>
      <c r="G122" s="28"/>
      <c r="H122" s="29" t="str">
        <f t="shared" si="5"/>
        <v/>
      </c>
    </row>
    <row r="123" spans="1:8">
      <c r="A123" s="28"/>
      <c r="B123" s="28"/>
      <c r="C123" s="28"/>
      <c r="D123" s="26" t="str">
        <f t="shared" si="3"/>
        <v/>
      </c>
      <c r="E123" s="26" t="str">
        <f t="shared" si="4"/>
        <v/>
      </c>
      <c r="F123" s="28"/>
      <c r="G123" s="28"/>
      <c r="H123" s="29" t="str">
        <f t="shared" si="5"/>
        <v/>
      </c>
    </row>
    <row r="124" spans="1:8">
      <c r="A124" s="28"/>
      <c r="B124" s="28"/>
      <c r="C124" s="28"/>
      <c r="D124" s="26" t="str">
        <f t="shared" si="3"/>
        <v/>
      </c>
      <c r="E124" s="26" t="str">
        <f t="shared" si="4"/>
        <v/>
      </c>
      <c r="F124" s="28"/>
      <c r="G124" s="28"/>
      <c r="H124" s="29" t="str">
        <f t="shared" si="5"/>
        <v/>
      </c>
    </row>
    <row r="125" spans="1:8">
      <c r="A125" s="28"/>
      <c r="B125" s="28"/>
      <c r="C125" s="28"/>
      <c r="D125" s="26" t="str">
        <f t="shared" si="3"/>
        <v/>
      </c>
      <c r="E125" s="26" t="str">
        <f t="shared" si="4"/>
        <v/>
      </c>
      <c r="F125" s="28"/>
      <c r="G125" s="28"/>
      <c r="H125" s="29" t="str">
        <f t="shared" si="5"/>
        <v/>
      </c>
    </row>
    <row r="126" spans="1:8">
      <c r="A126" s="28"/>
      <c r="B126" s="28"/>
      <c r="C126" s="28"/>
      <c r="D126" s="26" t="str">
        <f t="shared" si="3"/>
        <v/>
      </c>
      <c r="E126" s="26" t="str">
        <f t="shared" si="4"/>
        <v/>
      </c>
      <c r="F126" s="28"/>
      <c r="G126" s="28"/>
      <c r="H126" s="29" t="str">
        <f t="shared" si="5"/>
        <v/>
      </c>
    </row>
    <row r="127" spans="1:8">
      <c r="A127" s="28"/>
      <c r="B127" s="28"/>
      <c r="C127" s="28"/>
      <c r="D127" s="26" t="str">
        <f t="shared" si="3"/>
        <v/>
      </c>
      <c r="E127" s="26" t="str">
        <f t="shared" si="4"/>
        <v/>
      </c>
      <c r="F127" s="28"/>
      <c r="G127" s="28"/>
      <c r="H127" s="29" t="str">
        <f t="shared" si="5"/>
        <v/>
      </c>
    </row>
    <row r="128" spans="1:8">
      <c r="A128" s="28"/>
      <c r="B128" s="28"/>
      <c r="C128" s="28"/>
      <c r="D128" s="26" t="str">
        <f t="shared" si="3"/>
        <v/>
      </c>
      <c r="E128" s="26" t="str">
        <f t="shared" si="4"/>
        <v/>
      </c>
      <c r="F128" s="28"/>
      <c r="G128" s="28"/>
      <c r="H128" s="29" t="str">
        <f t="shared" si="5"/>
        <v/>
      </c>
    </row>
    <row r="129" spans="1:8">
      <c r="A129" s="28"/>
      <c r="B129" s="28"/>
      <c r="C129" s="28"/>
      <c r="D129" s="26" t="str">
        <f t="shared" si="3"/>
        <v/>
      </c>
      <c r="E129" s="26" t="str">
        <f t="shared" si="4"/>
        <v/>
      </c>
      <c r="F129" s="28"/>
      <c r="G129" s="28"/>
      <c r="H129" s="29" t="str">
        <f t="shared" si="5"/>
        <v/>
      </c>
    </row>
    <row r="130" spans="1:8">
      <c r="A130" s="28"/>
      <c r="B130" s="28"/>
      <c r="C130" s="28"/>
      <c r="D130" s="26" t="str">
        <f t="shared" ref="D130:D193" si="6">IF(OR(B130="",C130=""),"",C130-B130)</f>
        <v/>
      </c>
      <c r="E130" s="26" t="str">
        <f t="shared" ref="E130:E193" si="7">IF(OR(B130="",C130=""),"",(B130+C130)/2)</f>
        <v/>
      </c>
      <c r="F130" s="28"/>
      <c r="G130" s="28"/>
      <c r="H130" s="29" t="str">
        <f t="shared" ref="H130:H193" si="8">IF(OR(F130="",G130=""),"",G130-F130)</f>
        <v/>
      </c>
    </row>
    <row r="131" spans="1:8">
      <c r="A131" s="28"/>
      <c r="B131" s="28"/>
      <c r="C131" s="28"/>
      <c r="D131" s="26" t="str">
        <f t="shared" si="6"/>
        <v/>
      </c>
      <c r="E131" s="26" t="str">
        <f t="shared" si="7"/>
        <v/>
      </c>
      <c r="F131" s="28"/>
      <c r="G131" s="28"/>
      <c r="H131" s="29" t="str">
        <f t="shared" si="8"/>
        <v/>
      </c>
    </row>
    <row r="132" spans="1:8">
      <c r="A132" s="28"/>
      <c r="B132" s="28"/>
      <c r="C132" s="28"/>
      <c r="D132" s="26" t="str">
        <f t="shared" si="6"/>
        <v/>
      </c>
      <c r="E132" s="26" t="str">
        <f t="shared" si="7"/>
        <v/>
      </c>
      <c r="F132" s="28"/>
      <c r="G132" s="28"/>
      <c r="H132" s="29" t="str">
        <f t="shared" si="8"/>
        <v/>
      </c>
    </row>
    <row r="133" spans="1:8">
      <c r="A133" s="28"/>
      <c r="B133" s="28"/>
      <c r="C133" s="28"/>
      <c r="D133" s="26" t="str">
        <f t="shared" si="6"/>
        <v/>
      </c>
      <c r="E133" s="26" t="str">
        <f t="shared" si="7"/>
        <v/>
      </c>
      <c r="F133" s="28"/>
      <c r="G133" s="28"/>
      <c r="H133" s="29" t="str">
        <f t="shared" si="8"/>
        <v/>
      </c>
    </row>
    <row r="134" spans="1:8">
      <c r="A134" s="28"/>
      <c r="B134" s="28"/>
      <c r="C134" s="28"/>
      <c r="D134" s="26" t="str">
        <f t="shared" si="6"/>
        <v/>
      </c>
      <c r="E134" s="26" t="str">
        <f t="shared" si="7"/>
        <v/>
      </c>
      <c r="F134" s="28"/>
      <c r="G134" s="28"/>
      <c r="H134" s="29" t="str">
        <f t="shared" si="8"/>
        <v/>
      </c>
    </row>
    <row r="135" spans="1:8">
      <c r="A135" s="28"/>
      <c r="B135" s="28"/>
      <c r="C135" s="28"/>
      <c r="D135" s="26" t="str">
        <f t="shared" si="6"/>
        <v/>
      </c>
      <c r="E135" s="26" t="str">
        <f t="shared" si="7"/>
        <v/>
      </c>
      <c r="F135" s="28"/>
      <c r="G135" s="28"/>
      <c r="H135" s="29" t="str">
        <f t="shared" si="8"/>
        <v/>
      </c>
    </row>
    <row r="136" spans="1:8">
      <c r="A136" s="28"/>
      <c r="B136" s="28"/>
      <c r="C136" s="28"/>
      <c r="D136" s="26" t="str">
        <f t="shared" si="6"/>
        <v/>
      </c>
      <c r="E136" s="26" t="str">
        <f t="shared" si="7"/>
        <v/>
      </c>
      <c r="F136" s="28"/>
      <c r="G136" s="28"/>
      <c r="H136" s="29" t="str">
        <f t="shared" si="8"/>
        <v/>
      </c>
    </row>
    <row r="137" spans="1:8">
      <c r="A137" s="28"/>
      <c r="B137" s="28"/>
      <c r="C137" s="28"/>
      <c r="D137" s="26" t="str">
        <f t="shared" si="6"/>
        <v/>
      </c>
      <c r="E137" s="26" t="str">
        <f t="shared" si="7"/>
        <v/>
      </c>
      <c r="F137" s="28"/>
      <c r="G137" s="28"/>
      <c r="H137" s="29" t="str">
        <f t="shared" si="8"/>
        <v/>
      </c>
    </row>
    <row r="138" spans="1:8">
      <c r="A138" s="28"/>
      <c r="B138" s="28"/>
      <c r="C138" s="28"/>
      <c r="D138" s="26" t="str">
        <f t="shared" si="6"/>
        <v/>
      </c>
      <c r="E138" s="26" t="str">
        <f t="shared" si="7"/>
        <v/>
      </c>
      <c r="F138" s="28"/>
      <c r="G138" s="28"/>
      <c r="H138" s="29" t="str">
        <f t="shared" si="8"/>
        <v/>
      </c>
    </row>
    <row r="139" spans="1:8">
      <c r="A139" s="28"/>
      <c r="B139" s="28"/>
      <c r="C139" s="28"/>
      <c r="D139" s="26" t="str">
        <f t="shared" si="6"/>
        <v/>
      </c>
      <c r="E139" s="26" t="str">
        <f t="shared" si="7"/>
        <v/>
      </c>
      <c r="F139" s="28"/>
      <c r="G139" s="28"/>
      <c r="H139" s="29" t="str">
        <f t="shared" si="8"/>
        <v/>
      </c>
    </row>
    <row r="140" spans="1:8">
      <c r="A140" s="28"/>
      <c r="B140" s="28"/>
      <c r="C140" s="28"/>
      <c r="D140" s="26" t="str">
        <f t="shared" si="6"/>
        <v/>
      </c>
      <c r="E140" s="26" t="str">
        <f t="shared" si="7"/>
        <v/>
      </c>
      <c r="F140" s="28"/>
      <c r="G140" s="28"/>
      <c r="H140" s="29" t="str">
        <f t="shared" si="8"/>
        <v/>
      </c>
    </row>
    <row r="141" spans="1:8">
      <c r="A141" s="28"/>
      <c r="B141" s="28"/>
      <c r="C141" s="28"/>
      <c r="D141" s="26" t="str">
        <f t="shared" si="6"/>
        <v/>
      </c>
      <c r="E141" s="26" t="str">
        <f t="shared" si="7"/>
        <v/>
      </c>
      <c r="F141" s="28"/>
      <c r="G141" s="28"/>
      <c r="H141" s="29" t="str">
        <f t="shared" si="8"/>
        <v/>
      </c>
    </row>
    <row r="142" spans="1:8">
      <c r="A142" s="28"/>
      <c r="B142" s="28"/>
      <c r="C142" s="28"/>
      <c r="D142" s="26" t="str">
        <f t="shared" si="6"/>
        <v/>
      </c>
      <c r="E142" s="26" t="str">
        <f t="shared" si="7"/>
        <v/>
      </c>
      <c r="F142" s="28"/>
      <c r="G142" s="28"/>
      <c r="H142" s="29" t="str">
        <f t="shared" si="8"/>
        <v/>
      </c>
    </row>
    <row r="143" spans="1:8">
      <c r="A143" s="28"/>
      <c r="B143" s="28"/>
      <c r="C143" s="28"/>
      <c r="D143" s="26" t="str">
        <f t="shared" si="6"/>
        <v/>
      </c>
      <c r="E143" s="26" t="str">
        <f t="shared" si="7"/>
        <v/>
      </c>
      <c r="F143" s="28"/>
      <c r="G143" s="28"/>
      <c r="H143" s="29" t="str">
        <f t="shared" si="8"/>
        <v/>
      </c>
    </row>
    <row r="144" spans="1:8">
      <c r="A144" s="28"/>
      <c r="B144" s="28"/>
      <c r="C144" s="28"/>
      <c r="D144" s="26" t="str">
        <f t="shared" si="6"/>
        <v/>
      </c>
      <c r="E144" s="26" t="str">
        <f t="shared" si="7"/>
        <v/>
      </c>
      <c r="F144" s="28"/>
      <c r="G144" s="28"/>
      <c r="H144" s="29" t="str">
        <f t="shared" si="8"/>
        <v/>
      </c>
    </row>
    <row r="145" spans="1:8">
      <c r="A145" s="28"/>
      <c r="B145" s="28"/>
      <c r="C145" s="28"/>
      <c r="D145" s="26" t="str">
        <f t="shared" si="6"/>
        <v/>
      </c>
      <c r="E145" s="26" t="str">
        <f t="shared" si="7"/>
        <v/>
      </c>
      <c r="F145" s="28"/>
      <c r="G145" s="28"/>
      <c r="H145" s="29" t="str">
        <f t="shared" si="8"/>
        <v/>
      </c>
    </row>
    <row r="146" spans="1:8">
      <c r="A146" s="28"/>
      <c r="B146" s="28"/>
      <c r="C146" s="28"/>
      <c r="D146" s="26" t="str">
        <f t="shared" si="6"/>
        <v/>
      </c>
      <c r="E146" s="26" t="str">
        <f t="shared" si="7"/>
        <v/>
      </c>
      <c r="F146" s="28"/>
      <c r="G146" s="28"/>
      <c r="H146" s="29" t="str">
        <f t="shared" si="8"/>
        <v/>
      </c>
    </row>
    <row r="147" spans="1:8">
      <c r="A147" s="28"/>
      <c r="B147" s="28"/>
      <c r="C147" s="28"/>
      <c r="D147" s="26" t="str">
        <f t="shared" si="6"/>
        <v/>
      </c>
      <c r="E147" s="26" t="str">
        <f t="shared" si="7"/>
        <v/>
      </c>
      <c r="F147" s="28"/>
      <c r="G147" s="28"/>
      <c r="H147" s="29" t="str">
        <f t="shared" si="8"/>
        <v/>
      </c>
    </row>
    <row r="148" spans="1:8">
      <c r="A148" s="28"/>
      <c r="B148" s="28"/>
      <c r="C148" s="28"/>
      <c r="D148" s="26" t="str">
        <f t="shared" si="6"/>
        <v/>
      </c>
      <c r="E148" s="26" t="str">
        <f t="shared" si="7"/>
        <v/>
      </c>
      <c r="F148" s="28"/>
      <c r="G148" s="28"/>
      <c r="H148" s="29" t="str">
        <f t="shared" si="8"/>
        <v/>
      </c>
    </row>
    <row r="149" spans="1:8">
      <c r="A149" s="28"/>
      <c r="B149" s="28"/>
      <c r="C149" s="28"/>
      <c r="D149" s="26" t="str">
        <f t="shared" si="6"/>
        <v/>
      </c>
      <c r="E149" s="26" t="str">
        <f t="shared" si="7"/>
        <v/>
      </c>
      <c r="F149" s="28"/>
      <c r="G149" s="28"/>
      <c r="H149" s="29" t="str">
        <f t="shared" si="8"/>
        <v/>
      </c>
    </row>
    <row r="150" spans="1:8">
      <c r="A150" s="28"/>
      <c r="B150" s="28"/>
      <c r="C150" s="28"/>
      <c r="D150" s="26" t="str">
        <f t="shared" si="6"/>
        <v/>
      </c>
      <c r="E150" s="26" t="str">
        <f t="shared" si="7"/>
        <v/>
      </c>
      <c r="F150" s="28"/>
      <c r="G150" s="28"/>
      <c r="H150" s="29" t="str">
        <f t="shared" si="8"/>
        <v/>
      </c>
    </row>
    <row r="151" spans="1:8">
      <c r="A151" s="28"/>
      <c r="B151" s="28"/>
      <c r="C151" s="28"/>
      <c r="D151" s="26" t="str">
        <f t="shared" si="6"/>
        <v/>
      </c>
      <c r="E151" s="26" t="str">
        <f t="shared" si="7"/>
        <v/>
      </c>
      <c r="F151" s="28"/>
      <c r="G151" s="28"/>
      <c r="H151" s="29" t="str">
        <f t="shared" si="8"/>
        <v/>
      </c>
    </row>
    <row r="152" spans="1:8">
      <c r="A152" s="28"/>
      <c r="B152" s="28"/>
      <c r="C152" s="28"/>
      <c r="D152" s="26" t="str">
        <f t="shared" si="6"/>
        <v/>
      </c>
      <c r="E152" s="26" t="str">
        <f t="shared" si="7"/>
        <v/>
      </c>
      <c r="F152" s="28"/>
      <c r="G152" s="28"/>
      <c r="H152" s="29" t="str">
        <f t="shared" si="8"/>
        <v/>
      </c>
    </row>
    <row r="153" spans="1:8">
      <c r="A153" s="28"/>
      <c r="B153" s="28"/>
      <c r="C153" s="28"/>
      <c r="D153" s="26" t="str">
        <f t="shared" si="6"/>
        <v/>
      </c>
      <c r="E153" s="26" t="str">
        <f t="shared" si="7"/>
        <v/>
      </c>
      <c r="F153" s="28"/>
      <c r="G153" s="28"/>
      <c r="H153" s="29" t="str">
        <f t="shared" si="8"/>
        <v/>
      </c>
    </row>
    <row r="154" spans="1:8">
      <c r="A154" s="28"/>
      <c r="B154" s="28"/>
      <c r="C154" s="28"/>
      <c r="D154" s="26" t="str">
        <f t="shared" si="6"/>
        <v/>
      </c>
      <c r="E154" s="26" t="str">
        <f t="shared" si="7"/>
        <v/>
      </c>
      <c r="F154" s="28"/>
      <c r="G154" s="28"/>
      <c r="H154" s="29" t="str">
        <f t="shared" si="8"/>
        <v/>
      </c>
    </row>
    <row r="155" spans="1:8">
      <c r="A155" s="28"/>
      <c r="B155" s="28"/>
      <c r="C155" s="28"/>
      <c r="D155" s="26" t="str">
        <f t="shared" si="6"/>
        <v/>
      </c>
      <c r="E155" s="26" t="str">
        <f t="shared" si="7"/>
        <v/>
      </c>
      <c r="F155" s="28"/>
      <c r="G155" s="28"/>
      <c r="H155" s="29" t="str">
        <f t="shared" si="8"/>
        <v/>
      </c>
    </row>
    <row r="156" spans="1:8">
      <c r="A156" s="28"/>
      <c r="B156" s="28"/>
      <c r="C156" s="28"/>
      <c r="D156" s="26" t="str">
        <f t="shared" si="6"/>
        <v/>
      </c>
      <c r="E156" s="26" t="str">
        <f t="shared" si="7"/>
        <v/>
      </c>
      <c r="F156" s="28"/>
      <c r="G156" s="28"/>
      <c r="H156" s="29" t="str">
        <f t="shared" si="8"/>
        <v/>
      </c>
    </row>
    <row r="157" spans="1:8">
      <c r="A157" s="28"/>
      <c r="B157" s="28"/>
      <c r="C157" s="28"/>
      <c r="D157" s="26" t="str">
        <f t="shared" si="6"/>
        <v/>
      </c>
      <c r="E157" s="26" t="str">
        <f t="shared" si="7"/>
        <v/>
      </c>
      <c r="F157" s="28"/>
      <c r="G157" s="28"/>
      <c r="H157" s="29" t="str">
        <f t="shared" si="8"/>
        <v/>
      </c>
    </row>
    <row r="158" spans="1:8">
      <c r="A158" s="28"/>
      <c r="B158" s="28"/>
      <c r="C158" s="28"/>
      <c r="D158" s="26" t="str">
        <f t="shared" si="6"/>
        <v/>
      </c>
      <c r="E158" s="26" t="str">
        <f t="shared" si="7"/>
        <v/>
      </c>
      <c r="F158" s="28"/>
      <c r="G158" s="28"/>
      <c r="H158" s="29" t="str">
        <f t="shared" si="8"/>
        <v/>
      </c>
    </row>
    <row r="159" spans="1:8">
      <c r="A159" s="28"/>
      <c r="B159" s="28"/>
      <c r="C159" s="28"/>
      <c r="D159" s="26" t="str">
        <f t="shared" si="6"/>
        <v/>
      </c>
      <c r="E159" s="26" t="str">
        <f t="shared" si="7"/>
        <v/>
      </c>
      <c r="F159" s="28"/>
      <c r="G159" s="28"/>
      <c r="H159" s="29" t="str">
        <f t="shared" si="8"/>
        <v/>
      </c>
    </row>
    <row r="160" spans="1:8">
      <c r="A160" s="28"/>
      <c r="B160" s="28"/>
      <c r="C160" s="28"/>
      <c r="D160" s="26" t="str">
        <f t="shared" si="6"/>
        <v/>
      </c>
      <c r="E160" s="26" t="str">
        <f t="shared" si="7"/>
        <v/>
      </c>
      <c r="F160" s="28"/>
      <c r="G160" s="28"/>
      <c r="H160" s="29" t="str">
        <f t="shared" si="8"/>
        <v/>
      </c>
    </row>
    <row r="161" spans="1:8">
      <c r="A161" s="28"/>
      <c r="B161" s="28"/>
      <c r="C161" s="28"/>
      <c r="D161" s="26" t="str">
        <f t="shared" si="6"/>
        <v/>
      </c>
      <c r="E161" s="26" t="str">
        <f t="shared" si="7"/>
        <v/>
      </c>
      <c r="F161" s="28"/>
      <c r="G161" s="28"/>
      <c r="H161" s="29" t="str">
        <f t="shared" si="8"/>
        <v/>
      </c>
    </row>
    <row r="162" spans="1:8">
      <c r="A162" s="28"/>
      <c r="B162" s="28"/>
      <c r="C162" s="28"/>
      <c r="D162" s="26" t="str">
        <f t="shared" si="6"/>
        <v/>
      </c>
      <c r="E162" s="26" t="str">
        <f t="shared" si="7"/>
        <v/>
      </c>
      <c r="F162" s="28"/>
      <c r="G162" s="28"/>
      <c r="H162" s="29" t="str">
        <f t="shared" si="8"/>
        <v/>
      </c>
    </row>
    <row r="163" spans="1:8">
      <c r="A163" s="28"/>
      <c r="B163" s="28"/>
      <c r="C163" s="28"/>
      <c r="D163" s="26" t="str">
        <f t="shared" si="6"/>
        <v/>
      </c>
      <c r="E163" s="26" t="str">
        <f t="shared" si="7"/>
        <v/>
      </c>
      <c r="F163" s="28"/>
      <c r="G163" s="28"/>
      <c r="H163" s="29" t="str">
        <f t="shared" si="8"/>
        <v/>
      </c>
    </row>
    <row r="164" spans="1:8">
      <c r="A164" s="28"/>
      <c r="B164" s="28"/>
      <c r="C164" s="28"/>
      <c r="D164" s="26" t="str">
        <f t="shared" si="6"/>
        <v/>
      </c>
      <c r="E164" s="26" t="str">
        <f t="shared" si="7"/>
        <v/>
      </c>
      <c r="F164" s="28"/>
      <c r="G164" s="28"/>
      <c r="H164" s="29" t="str">
        <f t="shared" si="8"/>
        <v/>
      </c>
    </row>
    <row r="165" spans="1:8">
      <c r="A165" s="28"/>
      <c r="B165" s="28"/>
      <c r="C165" s="28"/>
      <c r="D165" s="26" t="str">
        <f t="shared" si="6"/>
        <v/>
      </c>
      <c r="E165" s="26" t="str">
        <f t="shared" si="7"/>
        <v/>
      </c>
      <c r="F165" s="28"/>
      <c r="G165" s="28"/>
      <c r="H165" s="29" t="str">
        <f t="shared" si="8"/>
        <v/>
      </c>
    </row>
    <row r="166" spans="1:8">
      <c r="A166" s="28"/>
      <c r="B166" s="28"/>
      <c r="C166" s="28"/>
      <c r="D166" s="26" t="str">
        <f t="shared" si="6"/>
        <v/>
      </c>
      <c r="E166" s="26" t="str">
        <f t="shared" si="7"/>
        <v/>
      </c>
      <c r="F166" s="28"/>
      <c r="G166" s="28"/>
      <c r="H166" s="29" t="str">
        <f t="shared" si="8"/>
        <v/>
      </c>
    </row>
    <row r="167" spans="1:8">
      <c r="A167" s="28"/>
      <c r="B167" s="28"/>
      <c r="C167" s="28"/>
      <c r="D167" s="26" t="str">
        <f t="shared" si="6"/>
        <v/>
      </c>
      <c r="E167" s="26" t="str">
        <f t="shared" si="7"/>
        <v/>
      </c>
      <c r="F167" s="28"/>
      <c r="G167" s="28"/>
      <c r="H167" s="29" t="str">
        <f t="shared" si="8"/>
        <v/>
      </c>
    </row>
    <row r="168" spans="1:8">
      <c r="A168" s="28"/>
      <c r="B168" s="28"/>
      <c r="C168" s="28"/>
      <c r="D168" s="26" t="str">
        <f t="shared" si="6"/>
        <v/>
      </c>
      <c r="E168" s="26" t="str">
        <f t="shared" si="7"/>
        <v/>
      </c>
      <c r="F168" s="28"/>
      <c r="G168" s="28"/>
      <c r="H168" s="29" t="str">
        <f t="shared" si="8"/>
        <v/>
      </c>
    </row>
    <row r="169" spans="1:8">
      <c r="A169" s="28"/>
      <c r="B169" s="28"/>
      <c r="C169" s="28"/>
      <c r="D169" s="26" t="str">
        <f t="shared" si="6"/>
        <v/>
      </c>
      <c r="E169" s="26" t="str">
        <f t="shared" si="7"/>
        <v/>
      </c>
      <c r="F169" s="28"/>
      <c r="G169" s="28"/>
      <c r="H169" s="29" t="str">
        <f t="shared" si="8"/>
        <v/>
      </c>
    </row>
    <row r="170" spans="1:8">
      <c r="A170" s="28"/>
      <c r="B170" s="28"/>
      <c r="C170" s="28"/>
      <c r="D170" s="26" t="str">
        <f t="shared" si="6"/>
        <v/>
      </c>
      <c r="E170" s="26" t="str">
        <f t="shared" si="7"/>
        <v/>
      </c>
      <c r="F170" s="28"/>
      <c r="G170" s="28"/>
      <c r="H170" s="29" t="str">
        <f t="shared" si="8"/>
        <v/>
      </c>
    </row>
    <row r="171" spans="1:8">
      <c r="A171" s="28"/>
      <c r="B171" s="28"/>
      <c r="C171" s="28"/>
      <c r="D171" s="26" t="str">
        <f t="shared" si="6"/>
        <v/>
      </c>
      <c r="E171" s="26" t="str">
        <f t="shared" si="7"/>
        <v/>
      </c>
      <c r="F171" s="28"/>
      <c r="G171" s="28"/>
      <c r="H171" s="29" t="str">
        <f t="shared" si="8"/>
        <v/>
      </c>
    </row>
    <row r="172" spans="1:8">
      <c r="A172" s="28"/>
      <c r="B172" s="28"/>
      <c r="C172" s="28"/>
      <c r="D172" s="26" t="str">
        <f t="shared" si="6"/>
        <v/>
      </c>
      <c r="E172" s="26" t="str">
        <f t="shared" si="7"/>
        <v/>
      </c>
      <c r="F172" s="28"/>
      <c r="G172" s="28"/>
      <c r="H172" s="29" t="str">
        <f t="shared" si="8"/>
        <v/>
      </c>
    </row>
    <row r="173" spans="1:8">
      <c r="A173" s="28"/>
      <c r="B173" s="28"/>
      <c r="C173" s="28"/>
      <c r="D173" s="26" t="str">
        <f t="shared" si="6"/>
        <v/>
      </c>
      <c r="E173" s="26" t="str">
        <f t="shared" si="7"/>
        <v/>
      </c>
      <c r="F173" s="28"/>
      <c r="G173" s="28"/>
      <c r="H173" s="29" t="str">
        <f t="shared" si="8"/>
        <v/>
      </c>
    </row>
    <row r="174" spans="1:8">
      <c r="A174" s="28"/>
      <c r="B174" s="28"/>
      <c r="C174" s="28"/>
      <c r="D174" s="26" t="str">
        <f t="shared" si="6"/>
        <v/>
      </c>
      <c r="E174" s="26" t="str">
        <f t="shared" si="7"/>
        <v/>
      </c>
      <c r="F174" s="28"/>
      <c r="G174" s="28"/>
      <c r="H174" s="29" t="str">
        <f t="shared" si="8"/>
        <v/>
      </c>
    </row>
    <row r="175" spans="1:8">
      <c r="A175" s="28"/>
      <c r="B175" s="28"/>
      <c r="C175" s="28"/>
      <c r="D175" s="26" t="str">
        <f t="shared" si="6"/>
        <v/>
      </c>
      <c r="E175" s="26" t="str">
        <f t="shared" si="7"/>
        <v/>
      </c>
      <c r="F175" s="28"/>
      <c r="G175" s="28"/>
      <c r="H175" s="29" t="str">
        <f t="shared" si="8"/>
        <v/>
      </c>
    </row>
    <row r="176" spans="1:8">
      <c r="A176" s="28"/>
      <c r="B176" s="28"/>
      <c r="C176" s="28"/>
      <c r="D176" s="26" t="str">
        <f t="shared" si="6"/>
        <v/>
      </c>
      <c r="E176" s="26" t="str">
        <f t="shared" si="7"/>
        <v/>
      </c>
      <c r="F176" s="28"/>
      <c r="G176" s="28"/>
      <c r="H176" s="29" t="str">
        <f t="shared" si="8"/>
        <v/>
      </c>
    </row>
    <row r="177" spans="1:8">
      <c r="A177" s="28"/>
      <c r="B177" s="28"/>
      <c r="C177" s="28"/>
      <c r="D177" s="26" t="str">
        <f t="shared" si="6"/>
        <v/>
      </c>
      <c r="E177" s="26" t="str">
        <f t="shared" si="7"/>
        <v/>
      </c>
      <c r="F177" s="28"/>
      <c r="G177" s="28"/>
      <c r="H177" s="29" t="str">
        <f t="shared" si="8"/>
        <v/>
      </c>
    </row>
    <row r="178" spans="1:8">
      <c r="A178" s="28"/>
      <c r="B178" s="28"/>
      <c r="C178" s="28"/>
      <c r="D178" s="26" t="str">
        <f t="shared" si="6"/>
        <v/>
      </c>
      <c r="E178" s="26" t="str">
        <f t="shared" si="7"/>
        <v/>
      </c>
      <c r="F178" s="28"/>
      <c r="G178" s="28"/>
      <c r="H178" s="29" t="str">
        <f t="shared" si="8"/>
        <v/>
      </c>
    </row>
    <row r="179" spans="1:8">
      <c r="A179" s="28"/>
      <c r="B179" s="28"/>
      <c r="C179" s="28"/>
      <c r="D179" s="26" t="str">
        <f t="shared" si="6"/>
        <v/>
      </c>
      <c r="E179" s="26" t="str">
        <f t="shared" si="7"/>
        <v/>
      </c>
      <c r="F179" s="28"/>
      <c r="G179" s="28"/>
      <c r="H179" s="29" t="str">
        <f t="shared" si="8"/>
        <v/>
      </c>
    </row>
    <row r="180" spans="1:8">
      <c r="A180" s="28"/>
      <c r="B180" s="28"/>
      <c r="C180" s="28"/>
      <c r="D180" s="26" t="str">
        <f t="shared" si="6"/>
        <v/>
      </c>
      <c r="E180" s="26" t="str">
        <f t="shared" si="7"/>
        <v/>
      </c>
      <c r="F180" s="28"/>
      <c r="G180" s="28"/>
      <c r="H180" s="29" t="str">
        <f t="shared" si="8"/>
        <v/>
      </c>
    </row>
    <row r="181" spans="1:8">
      <c r="A181" s="28"/>
      <c r="B181" s="28"/>
      <c r="C181" s="28"/>
      <c r="D181" s="26" t="str">
        <f t="shared" si="6"/>
        <v/>
      </c>
      <c r="E181" s="26" t="str">
        <f t="shared" si="7"/>
        <v/>
      </c>
      <c r="F181" s="28"/>
      <c r="G181" s="28"/>
      <c r="H181" s="29" t="str">
        <f t="shared" si="8"/>
        <v/>
      </c>
    </row>
    <row r="182" spans="1:8">
      <c r="A182" s="28"/>
      <c r="B182" s="28"/>
      <c r="C182" s="28"/>
      <c r="D182" s="26" t="str">
        <f t="shared" si="6"/>
        <v/>
      </c>
      <c r="E182" s="26" t="str">
        <f t="shared" si="7"/>
        <v/>
      </c>
      <c r="F182" s="28"/>
      <c r="G182" s="28"/>
      <c r="H182" s="29" t="str">
        <f t="shared" si="8"/>
        <v/>
      </c>
    </row>
    <row r="183" spans="1:8">
      <c r="A183" s="28"/>
      <c r="B183" s="28"/>
      <c r="C183" s="28"/>
      <c r="D183" s="26" t="str">
        <f t="shared" si="6"/>
        <v/>
      </c>
      <c r="E183" s="26" t="str">
        <f t="shared" si="7"/>
        <v/>
      </c>
      <c r="F183" s="28"/>
      <c r="G183" s="28"/>
      <c r="H183" s="29" t="str">
        <f t="shared" si="8"/>
        <v/>
      </c>
    </row>
    <row r="184" spans="1:8">
      <c r="A184" s="28"/>
      <c r="B184" s="28"/>
      <c r="C184" s="28"/>
      <c r="D184" s="26" t="str">
        <f t="shared" si="6"/>
        <v/>
      </c>
      <c r="E184" s="26" t="str">
        <f t="shared" si="7"/>
        <v/>
      </c>
      <c r="F184" s="28"/>
      <c r="G184" s="28"/>
      <c r="H184" s="29" t="str">
        <f t="shared" si="8"/>
        <v/>
      </c>
    </row>
    <row r="185" spans="1:8">
      <c r="A185" s="28"/>
      <c r="B185" s="28"/>
      <c r="C185" s="28"/>
      <c r="D185" s="26" t="str">
        <f t="shared" si="6"/>
        <v/>
      </c>
      <c r="E185" s="26" t="str">
        <f t="shared" si="7"/>
        <v/>
      </c>
      <c r="F185" s="28"/>
      <c r="G185" s="28"/>
      <c r="H185" s="29" t="str">
        <f t="shared" si="8"/>
        <v/>
      </c>
    </row>
    <row r="186" spans="1:8">
      <c r="A186" s="28"/>
      <c r="B186" s="28"/>
      <c r="C186" s="28"/>
      <c r="D186" s="26" t="str">
        <f t="shared" si="6"/>
        <v/>
      </c>
      <c r="E186" s="26" t="str">
        <f t="shared" si="7"/>
        <v/>
      </c>
      <c r="F186" s="28"/>
      <c r="G186" s="28"/>
      <c r="H186" s="29" t="str">
        <f t="shared" si="8"/>
        <v/>
      </c>
    </row>
    <row r="187" spans="1:8">
      <c r="A187" s="28"/>
      <c r="B187" s="28"/>
      <c r="C187" s="28"/>
      <c r="D187" s="26" t="str">
        <f t="shared" si="6"/>
        <v/>
      </c>
      <c r="E187" s="26" t="str">
        <f t="shared" si="7"/>
        <v/>
      </c>
      <c r="F187" s="28"/>
      <c r="G187" s="28"/>
      <c r="H187" s="29" t="str">
        <f t="shared" si="8"/>
        <v/>
      </c>
    </row>
    <row r="188" spans="1:8">
      <c r="A188" s="28"/>
      <c r="B188" s="28"/>
      <c r="C188" s="28"/>
      <c r="D188" s="26" t="str">
        <f t="shared" si="6"/>
        <v/>
      </c>
      <c r="E188" s="26" t="str">
        <f t="shared" si="7"/>
        <v/>
      </c>
      <c r="F188" s="28"/>
      <c r="G188" s="28"/>
      <c r="H188" s="29" t="str">
        <f t="shared" si="8"/>
        <v/>
      </c>
    </row>
    <row r="189" spans="1:8">
      <c r="A189" s="28"/>
      <c r="B189" s="28"/>
      <c r="C189" s="28"/>
      <c r="D189" s="26" t="str">
        <f t="shared" si="6"/>
        <v/>
      </c>
      <c r="E189" s="26" t="str">
        <f t="shared" si="7"/>
        <v/>
      </c>
      <c r="F189" s="28"/>
      <c r="G189" s="28"/>
      <c r="H189" s="29" t="str">
        <f t="shared" si="8"/>
        <v/>
      </c>
    </row>
    <row r="190" spans="1:8">
      <c r="A190" s="28"/>
      <c r="B190" s="28"/>
      <c r="C190" s="28"/>
      <c r="D190" s="26" t="str">
        <f t="shared" si="6"/>
        <v/>
      </c>
      <c r="E190" s="26" t="str">
        <f t="shared" si="7"/>
        <v/>
      </c>
      <c r="F190" s="28"/>
      <c r="G190" s="28"/>
      <c r="H190" s="29" t="str">
        <f t="shared" si="8"/>
        <v/>
      </c>
    </row>
    <row r="191" spans="1:8">
      <c r="A191" s="28"/>
      <c r="B191" s="28"/>
      <c r="C191" s="28"/>
      <c r="D191" s="26" t="str">
        <f t="shared" si="6"/>
        <v/>
      </c>
      <c r="E191" s="26" t="str">
        <f t="shared" si="7"/>
        <v/>
      </c>
      <c r="F191" s="28"/>
      <c r="G191" s="28"/>
      <c r="H191" s="29" t="str">
        <f t="shared" si="8"/>
        <v/>
      </c>
    </row>
    <row r="192" spans="1:8">
      <c r="A192" s="28"/>
      <c r="B192" s="28"/>
      <c r="C192" s="28"/>
      <c r="D192" s="26" t="str">
        <f t="shared" si="6"/>
        <v/>
      </c>
      <c r="E192" s="26" t="str">
        <f t="shared" si="7"/>
        <v/>
      </c>
      <c r="F192" s="28"/>
      <c r="G192" s="28"/>
      <c r="H192" s="29" t="str">
        <f t="shared" si="8"/>
        <v/>
      </c>
    </row>
    <row r="193" spans="1:8">
      <c r="A193" s="28"/>
      <c r="B193" s="28"/>
      <c r="C193" s="28"/>
      <c r="D193" s="26" t="str">
        <f t="shared" si="6"/>
        <v/>
      </c>
      <c r="E193" s="26" t="str">
        <f t="shared" si="7"/>
        <v/>
      </c>
      <c r="F193" s="28"/>
      <c r="G193" s="28"/>
      <c r="H193" s="29" t="str">
        <f t="shared" si="8"/>
        <v/>
      </c>
    </row>
    <row r="194" spans="1:8">
      <c r="A194" s="28"/>
      <c r="B194" s="28"/>
      <c r="C194" s="28"/>
      <c r="D194" s="26" t="str">
        <f t="shared" ref="D194:D257" si="9">IF(OR(B194="",C194=""),"",C194-B194)</f>
        <v/>
      </c>
      <c r="E194" s="26" t="str">
        <f t="shared" ref="E194:E257" si="10">IF(OR(B194="",C194=""),"",(B194+C194)/2)</f>
        <v/>
      </c>
      <c r="F194" s="28"/>
      <c r="G194" s="28"/>
      <c r="H194" s="29" t="str">
        <f t="shared" ref="H194:H257" si="11">IF(OR(F194="",G194=""),"",G194-F194)</f>
        <v/>
      </c>
    </row>
    <row r="195" spans="1:8">
      <c r="A195" s="28"/>
      <c r="B195" s="28"/>
      <c r="C195" s="28"/>
      <c r="D195" s="26" t="str">
        <f t="shared" si="9"/>
        <v/>
      </c>
      <c r="E195" s="26" t="str">
        <f t="shared" si="10"/>
        <v/>
      </c>
      <c r="F195" s="28"/>
      <c r="G195" s="28"/>
      <c r="H195" s="29" t="str">
        <f t="shared" si="11"/>
        <v/>
      </c>
    </row>
    <row r="196" spans="1:8">
      <c r="A196" s="28"/>
      <c r="B196" s="28"/>
      <c r="C196" s="28"/>
      <c r="D196" s="26" t="str">
        <f t="shared" si="9"/>
        <v/>
      </c>
      <c r="E196" s="26" t="str">
        <f t="shared" si="10"/>
        <v/>
      </c>
      <c r="F196" s="28"/>
      <c r="G196" s="28"/>
      <c r="H196" s="29" t="str">
        <f t="shared" si="11"/>
        <v/>
      </c>
    </row>
    <row r="197" spans="1:8">
      <c r="A197" s="28"/>
      <c r="B197" s="28"/>
      <c r="C197" s="28"/>
      <c r="D197" s="26" t="str">
        <f t="shared" si="9"/>
        <v/>
      </c>
      <c r="E197" s="26" t="str">
        <f t="shared" si="10"/>
        <v/>
      </c>
      <c r="F197" s="28"/>
      <c r="G197" s="28"/>
      <c r="H197" s="29" t="str">
        <f t="shared" si="11"/>
        <v/>
      </c>
    </row>
    <row r="198" spans="1:8">
      <c r="A198" s="28"/>
      <c r="B198" s="28"/>
      <c r="C198" s="28"/>
      <c r="D198" s="26" t="str">
        <f t="shared" si="9"/>
        <v/>
      </c>
      <c r="E198" s="26" t="str">
        <f t="shared" si="10"/>
        <v/>
      </c>
      <c r="F198" s="28"/>
      <c r="G198" s="28"/>
      <c r="H198" s="29" t="str">
        <f t="shared" si="11"/>
        <v/>
      </c>
    </row>
    <row r="199" spans="1:8">
      <c r="A199" s="28"/>
      <c r="B199" s="28"/>
      <c r="C199" s="28"/>
      <c r="D199" s="26" t="str">
        <f t="shared" si="9"/>
        <v/>
      </c>
      <c r="E199" s="26" t="str">
        <f t="shared" si="10"/>
        <v/>
      </c>
      <c r="F199" s="28"/>
      <c r="G199" s="28"/>
      <c r="H199" s="29" t="str">
        <f t="shared" si="11"/>
        <v/>
      </c>
    </row>
    <row r="200" spans="1:8">
      <c r="A200" s="28"/>
      <c r="B200" s="28"/>
      <c r="C200" s="28"/>
      <c r="D200" s="26" t="str">
        <f t="shared" si="9"/>
        <v/>
      </c>
      <c r="E200" s="26" t="str">
        <f t="shared" si="10"/>
        <v/>
      </c>
      <c r="F200" s="28"/>
      <c r="G200" s="28"/>
      <c r="H200" s="29" t="str">
        <f t="shared" si="11"/>
        <v/>
      </c>
    </row>
    <row r="201" spans="1:8">
      <c r="A201" s="28"/>
      <c r="B201" s="28"/>
      <c r="C201" s="28"/>
      <c r="D201" s="26" t="str">
        <f t="shared" si="9"/>
        <v/>
      </c>
      <c r="E201" s="26" t="str">
        <f t="shared" si="10"/>
        <v/>
      </c>
      <c r="F201" s="28"/>
      <c r="G201" s="28"/>
      <c r="H201" s="29" t="str">
        <f t="shared" si="11"/>
        <v/>
      </c>
    </row>
    <row r="202" spans="1:8">
      <c r="A202" s="28"/>
      <c r="B202" s="28"/>
      <c r="C202" s="28"/>
      <c r="D202" s="26" t="str">
        <f t="shared" si="9"/>
        <v/>
      </c>
      <c r="E202" s="26" t="str">
        <f t="shared" si="10"/>
        <v/>
      </c>
      <c r="F202" s="28"/>
      <c r="G202" s="28"/>
      <c r="H202" s="29" t="str">
        <f t="shared" si="11"/>
        <v/>
      </c>
    </row>
    <row r="203" spans="1:8">
      <c r="A203" s="28"/>
      <c r="B203" s="28"/>
      <c r="C203" s="28"/>
      <c r="D203" s="26" t="str">
        <f t="shared" si="9"/>
        <v/>
      </c>
      <c r="E203" s="26" t="str">
        <f t="shared" si="10"/>
        <v/>
      </c>
      <c r="F203" s="28"/>
      <c r="G203" s="28"/>
      <c r="H203" s="29" t="str">
        <f t="shared" si="11"/>
        <v/>
      </c>
    </row>
    <row r="204" spans="1:8">
      <c r="A204" s="28"/>
      <c r="B204" s="28"/>
      <c r="C204" s="28"/>
      <c r="D204" s="26" t="str">
        <f t="shared" si="9"/>
        <v/>
      </c>
      <c r="E204" s="26" t="str">
        <f t="shared" si="10"/>
        <v/>
      </c>
      <c r="F204" s="28"/>
      <c r="G204" s="28"/>
      <c r="H204" s="29" t="str">
        <f t="shared" si="11"/>
        <v/>
      </c>
    </row>
    <row r="205" spans="1:8">
      <c r="A205" s="28"/>
      <c r="B205" s="28"/>
      <c r="C205" s="28"/>
      <c r="D205" s="26" t="str">
        <f t="shared" si="9"/>
        <v/>
      </c>
      <c r="E205" s="26" t="str">
        <f t="shared" si="10"/>
        <v/>
      </c>
      <c r="F205" s="28"/>
      <c r="G205" s="28"/>
      <c r="H205" s="29" t="str">
        <f t="shared" si="11"/>
        <v/>
      </c>
    </row>
    <row r="206" spans="1:8">
      <c r="A206" s="28"/>
      <c r="B206" s="28"/>
      <c r="C206" s="28"/>
      <c r="D206" s="26" t="str">
        <f t="shared" si="9"/>
        <v/>
      </c>
      <c r="E206" s="26" t="str">
        <f t="shared" si="10"/>
        <v/>
      </c>
      <c r="F206" s="28"/>
      <c r="G206" s="28"/>
      <c r="H206" s="29" t="str">
        <f t="shared" si="11"/>
        <v/>
      </c>
    </row>
    <row r="207" spans="1:8">
      <c r="A207" s="28"/>
      <c r="B207" s="28"/>
      <c r="C207" s="28"/>
      <c r="D207" s="26" t="str">
        <f t="shared" si="9"/>
        <v/>
      </c>
      <c r="E207" s="26" t="str">
        <f t="shared" si="10"/>
        <v/>
      </c>
      <c r="F207" s="28"/>
      <c r="G207" s="28"/>
      <c r="H207" s="29" t="str">
        <f t="shared" si="11"/>
        <v/>
      </c>
    </row>
    <row r="208" spans="1:8">
      <c r="A208" s="28"/>
      <c r="B208" s="28"/>
      <c r="C208" s="28"/>
      <c r="D208" s="26" t="str">
        <f t="shared" si="9"/>
        <v/>
      </c>
      <c r="E208" s="26" t="str">
        <f t="shared" si="10"/>
        <v/>
      </c>
      <c r="F208" s="28"/>
      <c r="G208" s="28"/>
      <c r="H208" s="29" t="str">
        <f t="shared" si="11"/>
        <v/>
      </c>
    </row>
    <row r="209" spans="1:8">
      <c r="A209" s="28"/>
      <c r="B209" s="28"/>
      <c r="C209" s="28"/>
      <c r="D209" s="26" t="str">
        <f t="shared" si="9"/>
        <v/>
      </c>
      <c r="E209" s="26" t="str">
        <f t="shared" si="10"/>
        <v/>
      </c>
      <c r="F209" s="28"/>
      <c r="G209" s="28"/>
      <c r="H209" s="29" t="str">
        <f t="shared" si="11"/>
        <v/>
      </c>
    </row>
    <row r="210" spans="1:8">
      <c r="A210" s="28"/>
      <c r="B210" s="28"/>
      <c r="C210" s="28"/>
      <c r="D210" s="26" t="str">
        <f t="shared" si="9"/>
        <v/>
      </c>
      <c r="E210" s="26" t="str">
        <f t="shared" si="10"/>
        <v/>
      </c>
      <c r="F210" s="28"/>
      <c r="G210" s="28"/>
      <c r="H210" s="29" t="str">
        <f t="shared" si="11"/>
        <v/>
      </c>
    </row>
    <row r="211" spans="1:8">
      <c r="A211" s="28"/>
      <c r="B211" s="28"/>
      <c r="C211" s="28"/>
      <c r="D211" s="26" t="str">
        <f t="shared" si="9"/>
        <v/>
      </c>
      <c r="E211" s="26" t="str">
        <f t="shared" si="10"/>
        <v/>
      </c>
      <c r="F211" s="28"/>
      <c r="G211" s="28"/>
      <c r="H211" s="29" t="str">
        <f t="shared" si="11"/>
        <v/>
      </c>
    </row>
    <row r="212" spans="1:8">
      <c r="A212" s="28"/>
      <c r="B212" s="28"/>
      <c r="C212" s="28"/>
      <c r="D212" s="26" t="str">
        <f t="shared" si="9"/>
        <v/>
      </c>
      <c r="E212" s="26" t="str">
        <f t="shared" si="10"/>
        <v/>
      </c>
      <c r="F212" s="28"/>
      <c r="G212" s="28"/>
      <c r="H212" s="29" t="str">
        <f t="shared" si="11"/>
        <v/>
      </c>
    </row>
    <row r="213" spans="1:8">
      <c r="A213" s="28"/>
      <c r="B213" s="28"/>
      <c r="C213" s="28"/>
      <c r="D213" s="26" t="str">
        <f t="shared" si="9"/>
        <v/>
      </c>
      <c r="E213" s="26" t="str">
        <f t="shared" si="10"/>
        <v/>
      </c>
      <c r="F213" s="28"/>
      <c r="G213" s="28"/>
      <c r="H213" s="29" t="str">
        <f t="shared" si="11"/>
        <v/>
      </c>
    </row>
    <row r="214" spans="1:8">
      <c r="A214" s="28"/>
      <c r="B214" s="28"/>
      <c r="C214" s="28"/>
      <c r="D214" s="26" t="str">
        <f t="shared" si="9"/>
        <v/>
      </c>
      <c r="E214" s="26" t="str">
        <f t="shared" si="10"/>
        <v/>
      </c>
      <c r="F214" s="28"/>
      <c r="G214" s="28"/>
      <c r="H214" s="29" t="str">
        <f t="shared" si="11"/>
        <v/>
      </c>
    </row>
    <row r="215" spans="1:8">
      <c r="A215" s="28"/>
      <c r="B215" s="28"/>
      <c r="C215" s="28"/>
      <c r="D215" s="26" t="str">
        <f t="shared" si="9"/>
        <v/>
      </c>
      <c r="E215" s="26" t="str">
        <f t="shared" si="10"/>
        <v/>
      </c>
      <c r="F215" s="28"/>
      <c r="G215" s="28"/>
      <c r="H215" s="29" t="str">
        <f t="shared" si="11"/>
        <v/>
      </c>
    </row>
    <row r="216" spans="1:8">
      <c r="A216" s="28"/>
      <c r="B216" s="28"/>
      <c r="C216" s="28"/>
      <c r="D216" s="26" t="str">
        <f t="shared" si="9"/>
        <v/>
      </c>
      <c r="E216" s="26" t="str">
        <f t="shared" si="10"/>
        <v/>
      </c>
      <c r="F216" s="28"/>
      <c r="G216" s="28"/>
      <c r="H216" s="29" t="str">
        <f t="shared" si="11"/>
        <v/>
      </c>
    </row>
    <row r="217" spans="1:8">
      <c r="A217" s="28"/>
      <c r="B217" s="28"/>
      <c r="C217" s="28"/>
      <c r="D217" s="26" t="str">
        <f t="shared" si="9"/>
        <v/>
      </c>
      <c r="E217" s="26" t="str">
        <f t="shared" si="10"/>
        <v/>
      </c>
      <c r="F217" s="28"/>
      <c r="G217" s="28"/>
      <c r="H217" s="29" t="str">
        <f t="shared" si="11"/>
        <v/>
      </c>
    </row>
    <row r="218" spans="1:8">
      <c r="A218" s="28"/>
      <c r="B218" s="28"/>
      <c r="C218" s="28"/>
      <c r="D218" s="26" t="str">
        <f t="shared" si="9"/>
        <v/>
      </c>
      <c r="E218" s="26" t="str">
        <f t="shared" si="10"/>
        <v/>
      </c>
      <c r="F218" s="28"/>
      <c r="G218" s="28"/>
      <c r="H218" s="29" t="str">
        <f t="shared" si="11"/>
        <v/>
      </c>
    </row>
    <row r="219" spans="1:8">
      <c r="A219" s="28"/>
      <c r="B219" s="28"/>
      <c r="C219" s="28"/>
      <c r="D219" s="26" t="str">
        <f t="shared" si="9"/>
        <v/>
      </c>
      <c r="E219" s="26" t="str">
        <f t="shared" si="10"/>
        <v/>
      </c>
      <c r="F219" s="28"/>
      <c r="G219" s="28"/>
      <c r="H219" s="29" t="str">
        <f t="shared" si="11"/>
        <v/>
      </c>
    </row>
    <row r="220" spans="1:8">
      <c r="A220" s="28"/>
      <c r="B220" s="28"/>
      <c r="C220" s="28"/>
      <c r="D220" s="26" t="str">
        <f t="shared" si="9"/>
        <v/>
      </c>
      <c r="E220" s="26" t="str">
        <f t="shared" si="10"/>
        <v/>
      </c>
      <c r="F220" s="28"/>
      <c r="G220" s="28"/>
      <c r="H220" s="29" t="str">
        <f t="shared" si="11"/>
        <v/>
      </c>
    </row>
    <row r="221" spans="1:8">
      <c r="A221" s="28"/>
      <c r="B221" s="28"/>
      <c r="C221" s="28"/>
      <c r="D221" s="26" t="str">
        <f t="shared" si="9"/>
        <v/>
      </c>
      <c r="E221" s="26" t="str">
        <f t="shared" si="10"/>
        <v/>
      </c>
      <c r="F221" s="28"/>
      <c r="G221" s="28"/>
      <c r="H221" s="29" t="str">
        <f t="shared" si="11"/>
        <v/>
      </c>
    </row>
    <row r="222" spans="1:8">
      <c r="A222" s="28"/>
      <c r="B222" s="28"/>
      <c r="C222" s="28"/>
      <c r="D222" s="26" t="str">
        <f t="shared" si="9"/>
        <v/>
      </c>
      <c r="E222" s="26" t="str">
        <f t="shared" si="10"/>
        <v/>
      </c>
      <c r="F222" s="28"/>
      <c r="G222" s="28"/>
      <c r="H222" s="29" t="str">
        <f t="shared" si="11"/>
        <v/>
      </c>
    </row>
    <row r="223" spans="1:8">
      <c r="A223" s="28"/>
      <c r="B223" s="28"/>
      <c r="C223" s="28"/>
      <c r="D223" s="26" t="str">
        <f t="shared" si="9"/>
        <v/>
      </c>
      <c r="E223" s="26" t="str">
        <f t="shared" si="10"/>
        <v/>
      </c>
      <c r="F223" s="28"/>
      <c r="G223" s="28"/>
      <c r="H223" s="29" t="str">
        <f t="shared" si="11"/>
        <v/>
      </c>
    </row>
    <row r="224" spans="1:8">
      <c r="A224" s="28"/>
      <c r="B224" s="28"/>
      <c r="C224" s="28"/>
      <c r="D224" s="26" t="str">
        <f t="shared" si="9"/>
        <v/>
      </c>
      <c r="E224" s="26" t="str">
        <f t="shared" si="10"/>
        <v/>
      </c>
      <c r="F224" s="28"/>
      <c r="G224" s="28"/>
      <c r="H224" s="29" t="str">
        <f t="shared" si="11"/>
        <v/>
      </c>
    </row>
    <row r="225" spans="1:8">
      <c r="A225" s="28"/>
      <c r="B225" s="28"/>
      <c r="C225" s="28"/>
      <c r="D225" s="26" t="str">
        <f t="shared" si="9"/>
        <v/>
      </c>
      <c r="E225" s="26" t="str">
        <f t="shared" si="10"/>
        <v/>
      </c>
      <c r="F225" s="28"/>
      <c r="G225" s="28"/>
      <c r="H225" s="29" t="str">
        <f t="shared" si="11"/>
        <v/>
      </c>
    </row>
    <row r="226" spans="1:8">
      <c r="A226" s="28"/>
      <c r="B226" s="28"/>
      <c r="C226" s="28"/>
      <c r="D226" s="26" t="str">
        <f t="shared" si="9"/>
        <v/>
      </c>
      <c r="E226" s="26" t="str">
        <f t="shared" si="10"/>
        <v/>
      </c>
      <c r="F226" s="28"/>
      <c r="G226" s="28"/>
      <c r="H226" s="29" t="str">
        <f t="shared" si="11"/>
        <v/>
      </c>
    </row>
    <row r="227" spans="1:8">
      <c r="A227" s="28"/>
      <c r="B227" s="28"/>
      <c r="C227" s="28"/>
      <c r="D227" s="26" t="str">
        <f t="shared" si="9"/>
        <v/>
      </c>
      <c r="E227" s="26" t="str">
        <f t="shared" si="10"/>
        <v/>
      </c>
      <c r="F227" s="28"/>
      <c r="G227" s="28"/>
      <c r="H227" s="29" t="str">
        <f t="shared" si="11"/>
        <v/>
      </c>
    </row>
    <row r="228" spans="1:8">
      <c r="A228" s="28"/>
      <c r="B228" s="28"/>
      <c r="C228" s="28"/>
      <c r="D228" s="26" t="str">
        <f t="shared" si="9"/>
        <v/>
      </c>
      <c r="E228" s="26" t="str">
        <f t="shared" si="10"/>
        <v/>
      </c>
      <c r="F228" s="28"/>
      <c r="G228" s="28"/>
      <c r="H228" s="29" t="str">
        <f t="shared" si="11"/>
        <v/>
      </c>
    </row>
    <row r="229" spans="1:8">
      <c r="A229" s="28"/>
      <c r="B229" s="28"/>
      <c r="C229" s="28"/>
      <c r="D229" s="26" t="str">
        <f t="shared" si="9"/>
        <v/>
      </c>
      <c r="E229" s="26" t="str">
        <f t="shared" si="10"/>
        <v/>
      </c>
      <c r="F229" s="28"/>
      <c r="G229" s="28"/>
      <c r="H229" s="29" t="str">
        <f t="shared" si="11"/>
        <v/>
      </c>
    </row>
    <row r="230" spans="1:8">
      <c r="A230" s="28"/>
      <c r="B230" s="28"/>
      <c r="C230" s="28"/>
      <c r="D230" s="26" t="str">
        <f t="shared" si="9"/>
        <v/>
      </c>
      <c r="E230" s="26" t="str">
        <f t="shared" si="10"/>
        <v/>
      </c>
      <c r="F230" s="28"/>
      <c r="G230" s="28"/>
      <c r="H230" s="29" t="str">
        <f t="shared" si="11"/>
        <v/>
      </c>
    </row>
    <row r="231" spans="1:8">
      <c r="A231" s="28"/>
      <c r="B231" s="28"/>
      <c r="C231" s="28"/>
      <c r="D231" s="26" t="str">
        <f t="shared" si="9"/>
        <v/>
      </c>
      <c r="E231" s="26" t="str">
        <f t="shared" si="10"/>
        <v/>
      </c>
      <c r="F231" s="28"/>
      <c r="G231" s="28"/>
      <c r="H231" s="29" t="str">
        <f t="shared" si="11"/>
        <v/>
      </c>
    </row>
    <row r="232" spans="1:8">
      <c r="A232" s="28"/>
      <c r="B232" s="28"/>
      <c r="C232" s="28"/>
      <c r="D232" s="26" t="str">
        <f t="shared" si="9"/>
        <v/>
      </c>
      <c r="E232" s="26" t="str">
        <f t="shared" si="10"/>
        <v/>
      </c>
      <c r="F232" s="28"/>
      <c r="G232" s="28"/>
      <c r="H232" s="29" t="str">
        <f t="shared" si="11"/>
        <v/>
      </c>
    </row>
    <row r="233" spans="1:8">
      <c r="A233" s="28"/>
      <c r="B233" s="28"/>
      <c r="C233" s="28"/>
      <c r="D233" s="26" t="str">
        <f t="shared" si="9"/>
        <v/>
      </c>
      <c r="E233" s="26" t="str">
        <f t="shared" si="10"/>
        <v/>
      </c>
      <c r="F233" s="28"/>
      <c r="G233" s="28"/>
      <c r="H233" s="29" t="str">
        <f t="shared" si="11"/>
        <v/>
      </c>
    </row>
    <row r="234" spans="1:8">
      <c r="A234" s="28"/>
      <c r="B234" s="28"/>
      <c r="C234" s="28"/>
      <c r="D234" s="26" t="str">
        <f t="shared" si="9"/>
        <v/>
      </c>
      <c r="E234" s="26" t="str">
        <f t="shared" si="10"/>
        <v/>
      </c>
      <c r="F234" s="28"/>
      <c r="G234" s="28"/>
      <c r="H234" s="29" t="str">
        <f t="shared" si="11"/>
        <v/>
      </c>
    </row>
    <row r="235" spans="1:8">
      <c r="A235" s="28"/>
      <c r="B235" s="28"/>
      <c r="C235" s="28"/>
      <c r="D235" s="26" t="str">
        <f t="shared" si="9"/>
        <v/>
      </c>
      <c r="E235" s="26" t="str">
        <f t="shared" si="10"/>
        <v/>
      </c>
      <c r="F235" s="28"/>
      <c r="G235" s="28"/>
      <c r="H235" s="29" t="str">
        <f t="shared" si="11"/>
        <v/>
      </c>
    </row>
    <row r="236" spans="1:8">
      <c r="A236" s="28"/>
      <c r="B236" s="28"/>
      <c r="C236" s="28"/>
      <c r="D236" s="26" t="str">
        <f t="shared" si="9"/>
        <v/>
      </c>
      <c r="E236" s="26" t="str">
        <f t="shared" si="10"/>
        <v/>
      </c>
      <c r="F236" s="28"/>
      <c r="G236" s="28"/>
      <c r="H236" s="29" t="str">
        <f t="shared" si="11"/>
        <v/>
      </c>
    </row>
    <row r="237" spans="1:8">
      <c r="A237" s="28"/>
      <c r="B237" s="28"/>
      <c r="C237" s="28"/>
      <c r="D237" s="26" t="str">
        <f t="shared" si="9"/>
        <v/>
      </c>
      <c r="E237" s="26" t="str">
        <f t="shared" si="10"/>
        <v/>
      </c>
      <c r="F237" s="28"/>
      <c r="G237" s="28"/>
      <c r="H237" s="29" t="str">
        <f t="shared" si="11"/>
        <v/>
      </c>
    </row>
    <row r="238" spans="1:8">
      <c r="A238" s="28"/>
      <c r="B238" s="28"/>
      <c r="C238" s="28"/>
      <c r="D238" s="26" t="str">
        <f t="shared" si="9"/>
        <v/>
      </c>
      <c r="E238" s="26" t="str">
        <f t="shared" si="10"/>
        <v/>
      </c>
      <c r="F238" s="28"/>
      <c r="G238" s="28"/>
      <c r="H238" s="29" t="str">
        <f t="shared" si="11"/>
        <v/>
      </c>
    </row>
    <row r="239" spans="1:8">
      <c r="A239" s="28"/>
      <c r="B239" s="28"/>
      <c r="C239" s="28"/>
      <c r="D239" s="26" t="str">
        <f t="shared" si="9"/>
        <v/>
      </c>
      <c r="E239" s="26" t="str">
        <f t="shared" si="10"/>
        <v/>
      </c>
      <c r="F239" s="28"/>
      <c r="G239" s="28"/>
      <c r="H239" s="29" t="str">
        <f t="shared" si="11"/>
        <v/>
      </c>
    </row>
    <row r="240" spans="1:8">
      <c r="A240" s="28"/>
      <c r="B240" s="28"/>
      <c r="C240" s="28"/>
      <c r="D240" s="26" t="str">
        <f t="shared" si="9"/>
        <v/>
      </c>
      <c r="E240" s="26" t="str">
        <f t="shared" si="10"/>
        <v/>
      </c>
      <c r="F240" s="28"/>
      <c r="G240" s="28"/>
      <c r="H240" s="29" t="str">
        <f t="shared" si="11"/>
        <v/>
      </c>
    </row>
    <row r="241" spans="1:8">
      <c r="A241" s="28"/>
      <c r="B241" s="28"/>
      <c r="C241" s="28"/>
      <c r="D241" s="26" t="str">
        <f t="shared" si="9"/>
        <v/>
      </c>
      <c r="E241" s="26" t="str">
        <f t="shared" si="10"/>
        <v/>
      </c>
      <c r="F241" s="28"/>
      <c r="G241" s="28"/>
      <c r="H241" s="29" t="str">
        <f t="shared" si="11"/>
        <v/>
      </c>
    </row>
    <row r="242" spans="1:8">
      <c r="A242" s="28"/>
      <c r="B242" s="28"/>
      <c r="C242" s="28"/>
      <c r="D242" s="26" t="str">
        <f t="shared" si="9"/>
        <v/>
      </c>
      <c r="E242" s="26" t="str">
        <f t="shared" si="10"/>
        <v/>
      </c>
      <c r="F242" s="28"/>
      <c r="G242" s="28"/>
      <c r="H242" s="29" t="str">
        <f t="shared" si="11"/>
        <v/>
      </c>
    </row>
    <row r="243" spans="1:8">
      <c r="A243" s="28"/>
      <c r="B243" s="28"/>
      <c r="C243" s="28"/>
      <c r="D243" s="26" t="str">
        <f t="shared" si="9"/>
        <v/>
      </c>
      <c r="E243" s="26" t="str">
        <f t="shared" si="10"/>
        <v/>
      </c>
      <c r="F243" s="28"/>
      <c r="G243" s="28"/>
      <c r="H243" s="29" t="str">
        <f t="shared" si="11"/>
        <v/>
      </c>
    </row>
    <row r="244" spans="1:8">
      <c r="A244" s="28"/>
      <c r="B244" s="28"/>
      <c r="C244" s="28"/>
      <c r="D244" s="26" t="str">
        <f t="shared" si="9"/>
        <v/>
      </c>
      <c r="E244" s="26" t="str">
        <f t="shared" si="10"/>
        <v/>
      </c>
      <c r="F244" s="28"/>
      <c r="G244" s="28"/>
      <c r="H244" s="29" t="str">
        <f t="shared" si="11"/>
        <v/>
      </c>
    </row>
    <row r="245" spans="1:8">
      <c r="A245" s="28"/>
      <c r="B245" s="28"/>
      <c r="C245" s="28"/>
      <c r="D245" s="26" t="str">
        <f t="shared" si="9"/>
        <v/>
      </c>
      <c r="E245" s="26" t="str">
        <f t="shared" si="10"/>
        <v/>
      </c>
      <c r="F245" s="28"/>
      <c r="G245" s="28"/>
      <c r="H245" s="29" t="str">
        <f t="shared" si="11"/>
        <v/>
      </c>
    </row>
    <row r="246" spans="1:8">
      <c r="A246" s="28"/>
      <c r="B246" s="28"/>
      <c r="C246" s="28"/>
      <c r="D246" s="26" t="str">
        <f t="shared" si="9"/>
        <v/>
      </c>
      <c r="E246" s="26" t="str">
        <f t="shared" si="10"/>
        <v/>
      </c>
      <c r="F246" s="28"/>
      <c r="G246" s="28"/>
      <c r="H246" s="29" t="str">
        <f t="shared" si="11"/>
        <v/>
      </c>
    </row>
    <row r="247" spans="1:8">
      <c r="A247" s="28"/>
      <c r="B247" s="28"/>
      <c r="C247" s="28"/>
      <c r="D247" s="26" t="str">
        <f t="shared" si="9"/>
        <v/>
      </c>
      <c r="E247" s="26" t="str">
        <f t="shared" si="10"/>
        <v/>
      </c>
      <c r="F247" s="28"/>
      <c r="G247" s="28"/>
      <c r="H247" s="29" t="str">
        <f t="shared" si="11"/>
        <v/>
      </c>
    </row>
    <row r="248" spans="1:8">
      <c r="A248" s="28"/>
      <c r="B248" s="28"/>
      <c r="C248" s="28"/>
      <c r="D248" s="26" t="str">
        <f t="shared" si="9"/>
        <v/>
      </c>
      <c r="E248" s="26" t="str">
        <f t="shared" si="10"/>
        <v/>
      </c>
      <c r="F248" s="28"/>
      <c r="G248" s="28"/>
      <c r="H248" s="29" t="str">
        <f t="shared" si="11"/>
        <v/>
      </c>
    </row>
    <row r="249" spans="1:8">
      <c r="A249" s="28"/>
      <c r="B249" s="28"/>
      <c r="C249" s="28"/>
      <c r="D249" s="26" t="str">
        <f t="shared" si="9"/>
        <v/>
      </c>
      <c r="E249" s="26" t="str">
        <f t="shared" si="10"/>
        <v/>
      </c>
      <c r="F249" s="28"/>
      <c r="G249" s="28"/>
      <c r="H249" s="29" t="str">
        <f t="shared" si="11"/>
        <v/>
      </c>
    </row>
    <row r="250" spans="1:8">
      <c r="A250" s="28"/>
      <c r="B250" s="28"/>
      <c r="C250" s="28"/>
      <c r="D250" s="26" t="str">
        <f t="shared" si="9"/>
        <v/>
      </c>
      <c r="E250" s="26" t="str">
        <f t="shared" si="10"/>
        <v/>
      </c>
      <c r="F250" s="28"/>
      <c r="G250" s="28"/>
      <c r="H250" s="29" t="str">
        <f t="shared" si="11"/>
        <v/>
      </c>
    </row>
    <row r="251" spans="1:8">
      <c r="A251" s="28"/>
      <c r="B251" s="28"/>
      <c r="C251" s="28"/>
      <c r="D251" s="26" t="str">
        <f t="shared" si="9"/>
        <v/>
      </c>
      <c r="E251" s="26" t="str">
        <f t="shared" si="10"/>
        <v/>
      </c>
      <c r="F251" s="28"/>
      <c r="G251" s="28"/>
      <c r="H251" s="29" t="str">
        <f t="shared" si="11"/>
        <v/>
      </c>
    </row>
    <row r="252" spans="1:8">
      <c r="A252" s="28"/>
      <c r="B252" s="28"/>
      <c r="C252" s="28"/>
      <c r="D252" s="26" t="str">
        <f t="shared" si="9"/>
        <v/>
      </c>
      <c r="E252" s="26" t="str">
        <f t="shared" si="10"/>
        <v/>
      </c>
      <c r="F252" s="28"/>
      <c r="G252" s="28"/>
      <c r="H252" s="29" t="str">
        <f t="shared" si="11"/>
        <v/>
      </c>
    </row>
    <row r="253" spans="1:8">
      <c r="A253" s="28"/>
      <c r="B253" s="28"/>
      <c r="C253" s="28"/>
      <c r="D253" s="26" t="str">
        <f t="shared" si="9"/>
        <v/>
      </c>
      <c r="E253" s="26" t="str">
        <f t="shared" si="10"/>
        <v/>
      </c>
      <c r="F253" s="28"/>
      <c r="G253" s="28"/>
      <c r="H253" s="29" t="str">
        <f t="shared" si="11"/>
        <v/>
      </c>
    </row>
    <row r="254" spans="1:8">
      <c r="A254" s="28"/>
      <c r="B254" s="28"/>
      <c r="C254" s="28"/>
      <c r="D254" s="26" t="str">
        <f t="shared" si="9"/>
        <v/>
      </c>
      <c r="E254" s="26" t="str">
        <f t="shared" si="10"/>
        <v/>
      </c>
      <c r="F254" s="28"/>
      <c r="G254" s="28"/>
      <c r="H254" s="29" t="str">
        <f t="shared" si="11"/>
        <v/>
      </c>
    </row>
    <row r="255" spans="1:8">
      <c r="A255" s="28"/>
      <c r="B255" s="28"/>
      <c r="C255" s="28"/>
      <c r="D255" s="26" t="str">
        <f t="shared" si="9"/>
        <v/>
      </c>
      <c r="E255" s="26" t="str">
        <f t="shared" si="10"/>
        <v/>
      </c>
      <c r="F255" s="28"/>
      <c r="G255" s="28"/>
      <c r="H255" s="29" t="str">
        <f t="shared" si="11"/>
        <v/>
      </c>
    </row>
    <row r="256" spans="1:8">
      <c r="A256" s="28"/>
      <c r="B256" s="28"/>
      <c r="C256" s="28"/>
      <c r="D256" s="26" t="str">
        <f t="shared" si="9"/>
        <v/>
      </c>
      <c r="E256" s="26" t="str">
        <f t="shared" si="10"/>
        <v/>
      </c>
      <c r="F256" s="28"/>
      <c r="G256" s="28"/>
      <c r="H256" s="29" t="str">
        <f t="shared" si="11"/>
        <v/>
      </c>
    </row>
    <row r="257" spans="1:8">
      <c r="A257" s="28"/>
      <c r="B257" s="28"/>
      <c r="C257" s="28"/>
      <c r="D257" s="26" t="str">
        <f t="shared" si="9"/>
        <v/>
      </c>
      <c r="E257" s="26" t="str">
        <f t="shared" si="10"/>
        <v/>
      </c>
      <c r="F257" s="28"/>
      <c r="G257" s="28"/>
      <c r="H257" s="29" t="str">
        <f t="shared" si="11"/>
        <v/>
      </c>
    </row>
    <row r="258" spans="1:8">
      <c r="A258" s="28"/>
      <c r="B258" s="28"/>
      <c r="C258" s="28"/>
      <c r="D258" s="26" t="str">
        <f t="shared" ref="D258:D321" si="12">IF(OR(B258="",C258=""),"",C258-B258)</f>
        <v/>
      </c>
      <c r="E258" s="26" t="str">
        <f t="shared" ref="E258:E321" si="13">IF(OR(B258="",C258=""),"",(B258+C258)/2)</f>
        <v/>
      </c>
      <c r="F258" s="28"/>
      <c r="G258" s="28"/>
      <c r="H258" s="29" t="str">
        <f t="shared" ref="H258:H321" si="14">IF(OR(F258="",G258=""),"",G258-F258)</f>
        <v/>
      </c>
    </row>
    <row r="259" spans="1:8">
      <c r="A259" s="28"/>
      <c r="B259" s="28"/>
      <c r="C259" s="28"/>
      <c r="D259" s="26" t="str">
        <f t="shared" si="12"/>
        <v/>
      </c>
      <c r="E259" s="26" t="str">
        <f t="shared" si="13"/>
        <v/>
      </c>
      <c r="F259" s="28"/>
      <c r="G259" s="28"/>
      <c r="H259" s="29" t="str">
        <f t="shared" si="14"/>
        <v/>
      </c>
    </row>
    <row r="260" spans="1:8">
      <c r="A260" s="28"/>
      <c r="B260" s="28"/>
      <c r="C260" s="28"/>
      <c r="D260" s="26" t="str">
        <f t="shared" si="12"/>
        <v/>
      </c>
      <c r="E260" s="26" t="str">
        <f t="shared" si="13"/>
        <v/>
      </c>
      <c r="F260" s="28"/>
      <c r="G260" s="28"/>
      <c r="H260" s="29" t="str">
        <f t="shared" si="14"/>
        <v/>
      </c>
    </row>
    <row r="261" spans="1:8">
      <c r="A261" s="28"/>
      <c r="B261" s="28"/>
      <c r="C261" s="28"/>
      <c r="D261" s="26" t="str">
        <f t="shared" si="12"/>
        <v/>
      </c>
      <c r="E261" s="26" t="str">
        <f t="shared" si="13"/>
        <v/>
      </c>
      <c r="F261" s="28"/>
      <c r="G261" s="28"/>
      <c r="H261" s="29" t="str">
        <f t="shared" si="14"/>
        <v/>
      </c>
    </row>
    <row r="262" spans="1:8">
      <c r="A262" s="28"/>
      <c r="B262" s="28"/>
      <c r="C262" s="28"/>
      <c r="D262" s="26" t="str">
        <f t="shared" si="12"/>
        <v/>
      </c>
      <c r="E262" s="26" t="str">
        <f t="shared" si="13"/>
        <v/>
      </c>
      <c r="F262" s="28"/>
      <c r="G262" s="28"/>
      <c r="H262" s="29" t="str">
        <f t="shared" si="14"/>
        <v/>
      </c>
    </row>
    <row r="263" spans="1:8">
      <c r="A263" s="28"/>
      <c r="B263" s="28"/>
      <c r="C263" s="28"/>
      <c r="D263" s="26" t="str">
        <f t="shared" si="12"/>
        <v/>
      </c>
      <c r="E263" s="26" t="str">
        <f t="shared" si="13"/>
        <v/>
      </c>
      <c r="F263" s="28"/>
      <c r="G263" s="28"/>
      <c r="H263" s="29" t="str">
        <f t="shared" si="14"/>
        <v/>
      </c>
    </row>
    <row r="264" spans="1:8">
      <c r="A264" s="28"/>
      <c r="B264" s="28"/>
      <c r="C264" s="28"/>
      <c r="D264" s="26" t="str">
        <f t="shared" si="12"/>
        <v/>
      </c>
      <c r="E264" s="26" t="str">
        <f t="shared" si="13"/>
        <v/>
      </c>
      <c r="F264" s="28"/>
      <c r="G264" s="28"/>
      <c r="H264" s="29" t="str">
        <f t="shared" si="14"/>
        <v/>
      </c>
    </row>
    <row r="265" spans="1:8">
      <c r="A265" s="28"/>
      <c r="B265" s="28"/>
      <c r="C265" s="28"/>
      <c r="D265" s="26" t="str">
        <f t="shared" si="12"/>
        <v/>
      </c>
      <c r="E265" s="26" t="str">
        <f t="shared" si="13"/>
        <v/>
      </c>
      <c r="F265" s="28"/>
      <c r="G265" s="28"/>
      <c r="H265" s="29" t="str">
        <f t="shared" si="14"/>
        <v/>
      </c>
    </row>
    <row r="266" spans="1:8">
      <c r="A266" s="28"/>
      <c r="B266" s="28"/>
      <c r="C266" s="28"/>
      <c r="D266" s="26" t="str">
        <f t="shared" si="12"/>
        <v/>
      </c>
      <c r="E266" s="26" t="str">
        <f t="shared" si="13"/>
        <v/>
      </c>
      <c r="F266" s="28"/>
      <c r="G266" s="28"/>
      <c r="H266" s="29" t="str">
        <f t="shared" si="14"/>
        <v/>
      </c>
    </row>
    <row r="267" spans="1:8">
      <c r="A267" s="28"/>
      <c r="B267" s="28"/>
      <c r="C267" s="28"/>
      <c r="D267" s="26" t="str">
        <f t="shared" si="12"/>
        <v/>
      </c>
      <c r="E267" s="26" t="str">
        <f t="shared" si="13"/>
        <v/>
      </c>
      <c r="F267" s="28"/>
      <c r="G267" s="28"/>
      <c r="H267" s="29" t="str">
        <f t="shared" si="14"/>
        <v/>
      </c>
    </row>
    <row r="268" spans="1:8">
      <c r="A268" s="28"/>
      <c r="B268" s="28"/>
      <c r="C268" s="28"/>
      <c r="D268" s="26" t="str">
        <f t="shared" si="12"/>
        <v/>
      </c>
      <c r="E268" s="26" t="str">
        <f t="shared" si="13"/>
        <v/>
      </c>
      <c r="F268" s="28"/>
      <c r="G268" s="28"/>
      <c r="H268" s="29" t="str">
        <f t="shared" si="14"/>
        <v/>
      </c>
    </row>
    <row r="269" spans="1:8">
      <c r="A269" s="28"/>
      <c r="B269" s="28"/>
      <c r="C269" s="28"/>
      <c r="D269" s="26" t="str">
        <f t="shared" si="12"/>
        <v/>
      </c>
      <c r="E269" s="26" t="str">
        <f t="shared" si="13"/>
        <v/>
      </c>
      <c r="F269" s="28"/>
      <c r="G269" s="28"/>
      <c r="H269" s="29" t="str">
        <f t="shared" si="14"/>
        <v/>
      </c>
    </row>
    <row r="270" spans="1:8">
      <c r="A270" s="28"/>
      <c r="B270" s="28"/>
      <c r="C270" s="28"/>
      <c r="D270" s="26" t="str">
        <f t="shared" si="12"/>
        <v/>
      </c>
      <c r="E270" s="26" t="str">
        <f t="shared" si="13"/>
        <v/>
      </c>
      <c r="F270" s="28"/>
      <c r="G270" s="28"/>
      <c r="H270" s="29" t="str">
        <f t="shared" si="14"/>
        <v/>
      </c>
    </row>
    <row r="271" spans="1:8">
      <c r="A271" s="28"/>
      <c r="B271" s="28"/>
      <c r="C271" s="28"/>
      <c r="D271" s="26" t="str">
        <f t="shared" si="12"/>
        <v/>
      </c>
      <c r="E271" s="26" t="str">
        <f t="shared" si="13"/>
        <v/>
      </c>
      <c r="F271" s="28"/>
      <c r="G271" s="28"/>
      <c r="H271" s="29" t="str">
        <f t="shared" si="14"/>
        <v/>
      </c>
    </row>
    <row r="272" spans="1:8">
      <c r="A272" s="28"/>
      <c r="B272" s="28"/>
      <c r="C272" s="28"/>
      <c r="D272" s="26" t="str">
        <f t="shared" si="12"/>
        <v/>
      </c>
      <c r="E272" s="26" t="str">
        <f t="shared" si="13"/>
        <v/>
      </c>
      <c r="F272" s="28"/>
      <c r="G272" s="28"/>
      <c r="H272" s="29" t="str">
        <f t="shared" si="14"/>
        <v/>
      </c>
    </row>
    <row r="273" spans="1:8">
      <c r="A273" s="28"/>
      <c r="B273" s="28"/>
      <c r="C273" s="28"/>
      <c r="D273" s="26" t="str">
        <f t="shared" si="12"/>
        <v/>
      </c>
      <c r="E273" s="26" t="str">
        <f t="shared" si="13"/>
        <v/>
      </c>
      <c r="F273" s="28"/>
      <c r="G273" s="28"/>
      <c r="H273" s="29" t="str">
        <f t="shared" si="14"/>
        <v/>
      </c>
    </row>
    <row r="274" spans="1:8">
      <c r="A274" s="28"/>
      <c r="B274" s="28"/>
      <c r="C274" s="28"/>
      <c r="D274" s="26" t="str">
        <f t="shared" si="12"/>
        <v/>
      </c>
      <c r="E274" s="26" t="str">
        <f t="shared" si="13"/>
        <v/>
      </c>
      <c r="F274" s="28"/>
      <c r="G274" s="28"/>
      <c r="H274" s="29" t="str">
        <f t="shared" si="14"/>
        <v/>
      </c>
    </row>
    <row r="275" spans="1:8">
      <c r="A275" s="28"/>
      <c r="B275" s="28"/>
      <c r="C275" s="28"/>
      <c r="D275" s="26" t="str">
        <f t="shared" si="12"/>
        <v/>
      </c>
      <c r="E275" s="26" t="str">
        <f t="shared" si="13"/>
        <v/>
      </c>
      <c r="F275" s="28"/>
      <c r="G275" s="28"/>
      <c r="H275" s="29" t="str">
        <f t="shared" si="14"/>
        <v/>
      </c>
    </row>
    <row r="276" spans="1:8">
      <c r="A276" s="28"/>
      <c r="B276" s="28"/>
      <c r="C276" s="28"/>
      <c r="D276" s="26" t="str">
        <f t="shared" si="12"/>
        <v/>
      </c>
      <c r="E276" s="26" t="str">
        <f t="shared" si="13"/>
        <v/>
      </c>
      <c r="F276" s="28"/>
      <c r="G276" s="28"/>
      <c r="H276" s="29" t="str">
        <f t="shared" si="14"/>
        <v/>
      </c>
    </row>
    <row r="277" spans="1:8">
      <c r="A277" s="28"/>
      <c r="B277" s="28"/>
      <c r="C277" s="28"/>
      <c r="D277" s="26" t="str">
        <f t="shared" si="12"/>
        <v/>
      </c>
      <c r="E277" s="26" t="str">
        <f t="shared" si="13"/>
        <v/>
      </c>
      <c r="F277" s="28"/>
      <c r="G277" s="28"/>
      <c r="H277" s="29" t="str">
        <f t="shared" si="14"/>
        <v/>
      </c>
    </row>
    <row r="278" spans="1:8">
      <c r="A278" s="28"/>
      <c r="B278" s="28"/>
      <c r="C278" s="28"/>
      <c r="D278" s="26" t="str">
        <f t="shared" si="12"/>
        <v/>
      </c>
      <c r="E278" s="26" t="str">
        <f t="shared" si="13"/>
        <v/>
      </c>
      <c r="F278" s="28"/>
      <c r="G278" s="28"/>
      <c r="H278" s="29" t="str">
        <f t="shared" si="14"/>
        <v/>
      </c>
    </row>
    <row r="279" spans="1:8">
      <c r="A279" s="28"/>
      <c r="B279" s="28"/>
      <c r="C279" s="28"/>
      <c r="D279" s="26" t="str">
        <f t="shared" si="12"/>
        <v/>
      </c>
      <c r="E279" s="26" t="str">
        <f t="shared" si="13"/>
        <v/>
      </c>
      <c r="F279" s="28"/>
      <c r="G279" s="28"/>
      <c r="H279" s="29" t="str">
        <f t="shared" si="14"/>
        <v/>
      </c>
    </row>
    <row r="280" spans="1:8">
      <c r="A280" s="28"/>
      <c r="B280" s="28"/>
      <c r="C280" s="28"/>
      <c r="D280" s="26" t="str">
        <f t="shared" si="12"/>
        <v/>
      </c>
      <c r="E280" s="26" t="str">
        <f t="shared" si="13"/>
        <v/>
      </c>
      <c r="F280" s="28"/>
      <c r="G280" s="28"/>
      <c r="H280" s="29" t="str">
        <f t="shared" si="14"/>
        <v/>
      </c>
    </row>
    <row r="281" spans="1:8">
      <c r="A281" s="28"/>
      <c r="B281" s="28"/>
      <c r="C281" s="28"/>
      <c r="D281" s="26" t="str">
        <f t="shared" si="12"/>
        <v/>
      </c>
      <c r="E281" s="26" t="str">
        <f t="shared" si="13"/>
        <v/>
      </c>
      <c r="F281" s="28"/>
      <c r="G281" s="28"/>
      <c r="H281" s="29" t="str">
        <f t="shared" si="14"/>
        <v/>
      </c>
    </row>
    <row r="282" spans="1:8">
      <c r="A282" s="28"/>
      <c r="B282" s="28"/>
      <c r="C282" s="28"/>
      <c r="D282" s="26" t="str">
        <f t="shared" si="12"/>
        <v/>
      </c>
      <c r="E282" s="26" t="str">
        <f t="shared" si="13"/>
        <v/>
      </c>
      <c r="F282" s="28"/>
      <c r="G282" s="28"/>
      <c r="H282" s="29" t="str">
        <f t="shared" si="14"/>
        <v/>
      </c>
    </row>
    <row r="283" spans="1:8">
      <c r="A283" s="28"/>
      <c r="B283" s="28"/>
      <c r="C283" s="28"/>
      <c r="D283" s="26" t="str">
        <f t="shared" si="12"/>
        <v/>
      </c>
      <c r="E283" s="26" t="str">
        <f t="shared" si="13"/>
        <v/>
      </c>
      <c r="F283" s="28"/>
      <c r="G283" s="28"/>
      <c r="H283" s="29" t="str">
        <f t="shared" si="14"/>
        <v/>
      </c>
    </row>
    <row r="284" spans="1:8">
      <c r="A284" s="28"/>
      <c r="B284" s="28"/>
      <c r="C284" s="28"/>
      <c r="D284" s="26" t="str">
        <f t="shared" si="12"/>
        <v/>
      </c>
      <c r="E284" s="26" t="str">
        <f t="shared" si="13"/>
        <v/>
      </c>
      <c r="F284" s="28"/>
      <c r="G284" s="28"/>
      <c r="H284" s="29" t="str">
        <f t="shared" si="14"/>
        <v/>
      </c>
    </row>
    <row r="285" spans="1:8">
      <c r="A285" s="28"/>
      <c r="B285" s="28"/>
      <c r="C285" s="28"/>
      <c r="D285" s="26" t="str">
        <f t="shared" si="12"/>
        <v/>
      </c>
      <c r="E285" s="26" t="str">
        <f t="shared" si="13"/>
        <v/>
      </c>
      <c r="F285" s="28"/>
      <c r="G285" s="28"/>
      <c r="H285" s="29" t="str">
        <f t="shared" si="14"/>
        <v/>
      </c>
    </row>
    <row r="286" spans="1:8">
      <c r="A286" s="28"/>
      <c r="B286" s="28"/>
      <c r="C286" s="28"/>
      <c r="D286" s="26" t="str">
        <f t="shared" si="12"/>
        <v/>
      </c>
      <c r="E286" s="26" t="str">
        <f t="shared" si="13"/>
        <v/>
      </c>
      <c r="F286" s="28"/>
      <c r="G286" s="28"/>
      <c r="H286" s="29" t="str">
        <f t="shared" si="14"/>
        <v/>
      </c>
    </row>
    <row r="287" spans="1:8">
      <c r="A287" s="28"/>
      <c r="B287" s="28"/>
      <c r="C287" s="28"/>
      <c r="D287" s="26" t="str">
        <f t="shared" si="12"/>
        <v/>
      </c>
      <c r="E287" s="26" t="str">
        <f t="shared" si="13"/>
        <v/>
      </c>
      <c r="F287" s="28"/>
      <c r="G287" s="28"/>
      <c r="H287" s="29" t="str">
        <f t="shared" si="14"/>
        <v/>
      </c>
    </row>
    <row r="288" spans="1:8">
      <c r="A288" s="28"/>
      <c r="B288" s="28"/>
      <c r="C288" s="28"/>
      <c r="D288" s="26" t="str">
        <f t="shared" si="12"/>
        <v/>
      </c>
      <c r="E288" s="26" t="str">
        <f t="shared" si="13"/>
        <v/>
      </c>
      <c r="F288" s="28"/>
      <c r="G288" s="28"/>
      <c r="H288" s="29" t="str">
        <f t="shared" si="14"/>
        <v/>
      </c>
    </row>
    <row r="289" spans="1:8">
      <c r="A289" s="28"/>
      <c r="B289" s="28"/>
      <c r="C289" s="28"/>
      <c r="D289" s="26" t="str">
        <f t="shared" si="12"/>
        <v/>
      </c>
      <c r="E289" s="26" t="str">
        <f t="shared" si="13"/>
        <v/>
      </c>
      <c r="F289" s="28"/>
      <c r="G289" s="28"/>
      <c r="H289" s="29" t="str">
        <f t="shared" si="14"/>
        <v/>
      </c>
    </row>
    <row r="290" spans="1:8">
      <c r="A290" s="28"/>
      <c r="B290" s="28"/>
      <c r="C290" s="28"/>
      <c r="D290" s="26" t="str">
        <f t="shared" si="12"/>
        <v/>
      </c>
      <c r="E290" s="26" t="str">
        <f t="shared" si="13"/>
        <v/>
      </c>
      <c r="F290" s="28"/>
      <c r="G290" s="28"/>
      <c r="H290" s="29" t="str">
        <f t="shared" si="14"/>
        <v/>
      </c>
    </row>
    <row r="291" spans="1:8">
      <c r="A291" s="28"/>
      <c r="B291" s="28"/>
      <c r="C291" s="28"/>
      <c r="D291" s="26" t="str">
        <f t="shared" si="12"/>
        <v/>
      </c>
      <c r="E291" s="26" t="str">
        <f t="shared" si="13"/>
        <v/>
      </c>
      <c r="F291" s="28"/>
      <c r="G291" s="28"/>
      <c r="H291" s="29" t="str">
        <f t="shared" si="14"/>
        <v/>
      </c>
    </row>
    <row r="292" spans="1:8">
      <c r="A292" s="28"/>
      <c r="B292" s="28"/>
      <c r="C292" s="28"/>
      <c r="D292" s="26" t="str">
        <f t="shared" si="12"/>
        <v/>
      </c>
      <c r="E292" s="26" t="str">
        <f t="shared" si="13"/>
        <v/>
      </c>
      <c r="F292" s="28"/>
      <c r="G292" s="28"/>
      <c r="H292" s="29" t="str">
        <f t="shared" si="14"/>
        <v/>
      </c>
    </row>
    <row r="293" spans="1:8">
      <c r="A293" s="28"/>
      <c r="B293" s="28"/>
      <c r="C293" s="28"/>
      <c r="D293" s="26" t="str">
        <f t="shared" si="12"/>
        <v/>
      </c>
      <c r="E293" s="26" t="str">
        <f t="shared" si="13"/>
        <v/>
      </c>
      <c r="F293" s="28"/>
      <c r="G293" s="28"/>
      <c r="H293" s="29" t="str">
        <f t="shared" si="14"/>
        <v/>
      </c>
    </row>
    <row r="294" spans="1:8">
      <c r="A294" s="28"/>
      <c r="B294" s="28"/>
      <c r="C294" s="28"/>
      <c r="D294" s="26" t="str">
        <f t="shared" si="12"/>
        <v/>
      </c>
      <c r="E294" s="26" t="str">
        <f t="shared" si="13"/>
        <v/>
      </c>
      <c r="F294" s="28"/>
      <c r="G294" s="28"/>
      <c r="H294" s="29" t="str">
        <f t="shared" si="14"/>
        <v/>
      </c>
    </row>
    <row r="295" spans="1:8">
      <c r="A295" s="28"/>
      <c r="B295" s="28"/>
      <c r="C295" s="28"/>
      <c r="D295" s="26" t="str">
        <f t="shared" si="12"/>
        <v/>
      </c>
      <c r="E295" s="26" t="str">
        <f t="shared" si="13"/>
        <v/>
      </c>
      <c r="F295" s="28"/>
      <c r="G295" s="28"/>
      <c r="H295" s="29" t="str">
        <f t="shared" si="14"/>
        <v/>
      </c>
    </row>
    <row r="296" spans="1:8">
      <c r="A296" s="28"/>
      <c r="B296" s="28"/>
      <c r="C296" s="28"/>
      <c r="D296" s="26" t="str">
        <f t="shared" si="12"/>
        <v/>
      </c>
      <c r="E296" s="26" t="str">
        <f t="shared" si="13"/>
        <v/>
      </c>
      <c r="F296" s="28"/>
      <c r="G296" s="28"/>
      <c r="H296" s="29" t="str">
        <f t="shared" si="14"/>
        <v/>
      </c>
    </row>
    <row r="297" spans="1:8">
      <c r="A297" s="28"/>
      <c r="B297" s="28"/>
      <c r="C297" s="28"/>
      <c r="D297" s="26" t="str">
        <f t="shared" si="12"/>
        <v/>
      </c>
      <c r="E297" s="26" t="str">
        <f t="shared" si="13"/>
        <v/>
      </c>
      <c r="F297" s="28"/>
      <c r="G297" s="28"/>
      <c r="H297" s="29" t="str">
        <f t="shared" si="14"/>
        <v/>
      </c>
    </row>
    <row r="298" spans="1:8">
      <c r="A298" s="28"/>
      <c r="B298" s="28"/>
      <c r="C298" s="28"/>
      <c r="D298" s="26" t="str">
        <f t="shared" si="12"/>
        <v/>
      </c>
      <c r="E298" s="26" t="str">
        <f t="shared" si="13"/>
        <v/>
      </c>
      <c r="F298" s="28"/>
      <c r="G298" s="28"/>
      <c r="H298" s="29" t="str">
        <f t="shared" si="14"/>
        <v/>
      </c>
    </row>
    <row r="299" spans="1:8">
      <c r="A299" s="28"/>
      <c r="B299" s="28"/>
      <c r="C299" s="28"/>
      <c r="D299" s="26" t="str">
        <f t="shared" si="12"/>
        <v/>
      </c>
      <c r="E299" s="26" t="str">
        <f t="shared" si="13"/>
        <v/>
      </c>
      <c r="F299" s="28"/>
      <c r="G299" s="28"/>
      <c r="H299" s="29" t="str">
        <f t="shared" si="14"/>
        <v/>
      </c>
    </row>
    <row r="300" spans="1:8">
      <c r="A300" s="28"/>
      <c r="B300" s="28"/>
      <c r="C300" s="28"/>
      <c r="D300" s="26" t="str">
        <f t="shared" si="12"/>
        <v/>
      </c>
      <c r="E300" s="26" t="str">
        <f t="shared" si="13"/>
        <v/>
      </c>
      <c r="F300" s="28"/>
      <c r="G300" s="28"/>
      <c r="H300" s="29" t="str">
        <f t="shared" si="14"/>
        <v/>
      </c>
    </row>
    <row r="301" spans="1:8">
      <c r="A301" s="28"/>
      <c r="B301" s="28"/>
      <c r="C301" s="28"/>
      <c r="D301" s="26" t="str">
        <f t="shared" si="12"/>
        <v/>
      </c>
      <c r="E301" s="26" t="str">
        <f t="shared" si="13"/>
        <v/>
      </c>
      <c r="F301" s="28"/>
      <c r="G301" s="28"/>
      <c r="H301" s="29" t="str">
        <f t="shared" si="14"/>
        <v/>
      </c>
    </row>
    <row r="302" spans="1:8">
      <c r="A302" s="28"/>
      <c r="B302" s="28"/>
      <c r="C302" s="28"/>
      <c r="D302" s="26" t="str">
        <f t="shared" si="12"/>
        <v/>
      </c>
      <c r="E302" s="26" t="str">
        <f t="shared" si="13"/>
        <v/>
      </c>
      <c r="F302" s="28"/>
      <c r="G302" s="28"/>
      <c r="H302" s="29" t="str">
        <f t="shared" si="14"/>
        <v/>
      </c>
    </row>
    <row r="303" spans="1:8">
      <c r="A303" s="28"/>
      <c r="B303" s="28"/>
      <c r="C303" s="28"/>
      <c r="D303" s="26" t="str">
        <f t="shared" si="12"/>
        <v/>
      </c>
      <c r="E303" s="26" t="str">
        <f t="shared" si="13"/>
        <v/>
      </c>
      <c r="F303" s="28"/>
      <c r="G303" s="28"/>
      <c r="H303" s="29" t="str">
        <f t="shared" si="14"/>
        <v/>
      </c>
    </row>
    <row r="304" spans="1:8">
      <c r="A304" s="28"/>
      <c r="B304" s="28"/>
      <c r="C304" s="28"/>
      <c r="D304" s="26" t="str">
        <f t="shared" si="12"/>
        <v/>
      </c>
      <c r="E304" s="26" t="str">
        <f t="shared" si="13"/>
        <v/>
      </c>
      <c r="F304" s="28"/>
      <c r="G304" s="28"/>
      <c r="H304" s="29" t="str">
        <f t="shared" si="14"/>
        <v/>
      </c>
    </row>
    <row r="305" spans="1:8">
      <c r="A305" s="28"/>
      <c r="B305" s="28"/>
      <c r="C305" s="28"/>
      <c r="D305" s="26" t="str">
        <f t="shared" si="12"/>
        <v/>
      </c>
      <c r="E305" s="26" t="str">
        <f t="shared" si="13"/>
        <v/>
      </c>
      <c r="F305" s="28"/>
      <c r="G305" s="28"/>
      <c r="H305" s="29" t="str">
        <f t="shared" si="14"/>
        <v/>
      </c>
    </row>
    <row r="306" spans="1:8">
      <c r="A306" s="28"/>
      <c r="B306" s="28"/>
      <c r="C306" s="28"/>
      <c r="D306" s="26" t="str">
        <f t="shared" si="12"/>
        <v/>
      </c>
      <c r="E306" s="26" t="str">
        <f t="shared" si="13"/>
        <v/>
      </c>
      <c r="F306" s="28"/>
      <c r="G306" s="28"/>
      <c r="H306" s="29" t="str">
        <f t="shared" si="14"/>
        <v/>
      </c>
    </row>
    <row r="307" spans="1:8">
      <c r="A307" s="28"/>
      <c r="B307" s="28"/>
      <c r="C307" s="28"/>
      <c r="D307" s="26" t="str">
        <f t="shared" si="12"/>
        <v/>
      </c>
      <c r="E307" s="26" t="str">
        <f t="shared" si="13"/>
        <v/>
      </c>
      <c r="F307" s="28"/>
      <c r="G307" s="28"/>
      <c r="H307" s="29" t="str">
        <f t="shared" si="14"/>
        <v/>
      </c>
    </row>
    <row r="308" spans="1:8">
      <c r="A308" s="28"/>
      <c r="B308" s="28"/>
      <c r="C308" s="28"/>
      <c r="D308" s="26" t="str">
        <f t="shared" si="12"/>
        <v/>
      </c>
      <c r="E308" s="26" t="str">
        <f t="shared" si="13"/>
        <v/>
      </c>
      <c r="F308" s="28"/>
      <c r="G308" s="28"/>
      <c r="H308" s="29" t="str">
        <f t="shared" si="14"/>
        <v/>
      </c>
    </row>
    <row r="309" spans="1:8">
      <c r="A309" s="28"/>
      <c r="B309" s="28"/>
      <c r="C309" s="28"/>
      <c r="D309" s="26" t="str">
        <f t="shared" si="12"/>
        <v/>
      </c>
      <c r="E309" s="26" t="str">
        <f t="shared" si="13"/>
        <v/>
      </c>
      <c r="F309" s="28"/>
      <c r="G309" s="28"/>
      <c r="H309" s="29" t="str">
        <f t="shared" si="14"/>
        <v/>
      </c>
    </row>
    <row r="310" spans="1:8">
      <c r="A310" s="28"/>
      <c r="B310" s="28"/>
      <c r="C310" s="28"/>
      <c r="D310" s="26" t="str">
        <f t="shared" si="12"/>
        <v/>
      </c>
      <c r="E310" s="26" t="str">
        <f t="shared" si="13"/>
        <v/>
      </c>
      <c r="F310" s="28"/>
      <c r="G310" s="28"/>
      <c r="H310" s="29" t="str">
        <f t="shared" si="14"/>
        <v/>
      </c>
    </row>
    <row r="311" spans="1:8">
      <c r="A311" s="28"/>
      <c r="B311" s="28"/>
      <c r="C311" s="28"/>
      <c r="D311" s="26" t="str">
        <f t="shared" si="12"/>
        <v/>
      </c>
      <c r="E311" s="26" t="str">
        <f t="shared" si="13"/>
        <v/>
      </c>
      <c r="F311" s="28"/>
      <c r="G311" s="28"/>
      <c r="H311" s="29" t="str">
        <f t="shared" si="14"/>
        <v/>
      </c>
    </row>
    <row r="312" spans="1:8">
      <c r="A312" s="28"/>
      <c r="B312" s="28"/>
      <c r="C312" s="28"/>
      <c r="D312" s="26" t="str">
        <f t="shared" si="12"/>
        <v/>
      </c>
      <c r="E312" s="26" t="str">
        <f t="shared" si="13"/>
        <v/>
      </c>
      <c r="F312" s="28"/>
      <c r="G312" s="28"/>
      <c r="H312" s="29" t="str">
        <f t="shared" si="14"/>
        <v/>
      </c>
    </row>
    <row r="313" spans="1:8">
      <c r="A313" s="28"/>
      <c r="B313" s="28"/>
      <c r="C313" s="28"/>
      <c r="D313" s="26" t="str">
        <f t="shared" si="12"/>
        <v/>
      </c>
      <c r="E313" s="26" t="str">
        <f t="shared" si="13"/>
        <v/>
      </c>
      <c r="F313" s="28"/>
      <c r="G313" s="28"/>
      <c r="H313" s="29" t="str">
        <f t="shared" si="14"/>
        <v/>
      </c>
    </row>
    <row r="314" spans="1:8">
      <c r="A314" s="28"/>
      <c r="B314" s="28"/>
      <c r="C314" s="28"/>
      <c r="D314" s="26" t="str">
        <f t="shared" si="12"/>
        <v/>
      </c>
      <c r="E314" s="26" t="str">
        <f t="shared" si="13"/>
        <v/>
      </c>
      <c r="F314" s="28"/>
      <c r="G314" s="28"/>
      <c r="H314" s="29" t="str">
        <f t="shared" si="14"/>
        <v/>
      </c>
    </row>
    <row r="315" spans="1:8">
      <c r="A315" s="28"/>
      <c r="B315" s="28"/>
      <c r="C315" s="28"/>
      <c r="D315" s="26" t="str">
        <f t="shared" si="12"/>
        <v/>
      </c>
      <c r="E315" s="26" t="str">
        <f t="shared" si="13"/>
        <v/>
      </c>
      <c r="F315" s="28"/>
      <c r="G315" s="28"/>
      <c r="H315" s="29" t="str">
        <f t="shared" si="14"/>
        <v/>
      </c>
    </row>
    <row r="316" spans="1:8">
      <c r="A316" s="28"/>
      <c r="B316" s="28"/>
      <c r="C316" s="28"/>
      <c r="D316" s="26" t="str">
        <f t="shared" si="12"/>
        <v/>
      </c>
      <c r="E316" s="26" t="str">
        <f t="shared" si="13"/>
        <v/>
      </c>
      <c r="F316" s="28"/>
      <c r="G316" s="28"/>
      <c r="H316" s="29" t="str">
        <f t="shared" si="14"/>
        <v/>
      </c>
    </row>
    <row r="317" spans="1:8">
      <c r="A317" s="28"/>
      <c r="B317" s="28"/>
      <c r="C317" s="28"/>
      <c r="D317" s="26" t="str">
        <f t="shared" si="12"/>
        <v/>
      </c>
      <c r="E317" s="26" t="str">
        <f t="shared" si="13"/>
        <v/>
      </c>
      <c r="F317" s="28"/>
      <c r="G317" s="28"/>
      <c r="H317" s="29" t="str">
        <f t="shared" si="14"/>
        <v/>
      </c>
    </row>
    <row r="318" spans="1:8">
      <c r="A318" s="28"/>
      <c r="B318" s="28"/>
      <c r="C318" s="28"/>
      <c r="D318" s="26" t="str">
        <f t="shared" si="12"/>
        <v/>
      </c>
      <c r="E318" s="26" t="str">
        <f t="shared" si="13"/>
        <v/>
      </c>
      <c r="F318" s="28"/>
      <c r="G318" s="28"/>
      <c r="H318" s="29" t="str">
        <f t="shared" si="14"/>
        <v/>
      </c>
    </row>
    <row r="319" spans="1:8">
      <c r="A319" s="28"/>
      <c r="B319" s="28"/>
      <c r="C319" s="28"/>
      <c r="D319" s="26" t="str">
        <f t="shared" si="12"/>
        <v/>
      </c>
      <c r="E319" s="26" t="str">
        <f t="shared" si="13"/>
        <v/>
      </c>
      <c r="F319" s="28"/>
      <c r="G319" s="28"/>
      <c r="H319" s="29" t="str">
        <f t="shared" si="14"/>
        <v/>
      </c>
    </row>
    <row r="320" spans="1:8">
      <c r="A320" s="28"/>
      <c r="B320" s="28"/>
      <c r="C320" s="28"/>
      <c r="D320" s="26" t="str">
        <f t="shared" si="12"/>
        <v/>
      </c>
      <c r="E320" s="26" t="str">
        <f t="shared" si="13"/>
        <v/>
      </c>
      <c r="F320" s="28"/>
      <c r="G320" s="28"/>
      <c r="H320" s="29" t="str">
        <f t="shared" si="14"/>
        <v/>
      </c>
    </row>
    <row r="321" spans="1:8">
      <c r="A321" s="28"/>
      <c r="B321" s="28"/>
      <c r="C321" s="28"/>
      <c r="D321" s="26" t="str">
        <f t="shared" si="12"/>
        <v/>
      </c>
      <c r="E321" s="26" t="str">
        <f t="shared" si="13"/>
        <v/>
      </c>
      <c r="F321" s="28"/>
      <c r="G321" s="28"/>
      <c r="H321" s="29" t="str">
        <f t="shared" si="14"/>
        <v/>
      </c>
    </row>
    <row r="322" spans="1:8">
      <c r="A322" s="28"/>
      <c r="B322" s="28"/>
      <c r="C322" s="28"/>
      <c r="D322" s="26" t="str">
        <f t="shared" ref="D322:D385" si="15">IF(OR(B322="",C322=""),"",C322-B322)</f>
        <v/>
      </c>
      <c r="E322" s="26" t="str">
        <f t="shared" ref="E322:E385" si="16">IF(OR(B322="",C322=""),"",(B322+C322)/2)</f>
        <v/>
      </c>
      <c r="F322" s="28"/>
      <c r="G322" s="28"/>
      <c r="H322" s="29" t="str">
        <f t="shared" ref="H322:H385" si="17">IF(OR(F322="",G322=""),"",G322-F322)</f>
        <v/>
      </c>
    </row>
    <row r="323" spans="1:8">
      <c r="A323" s="28"/>
      <c r="B323" s="28"/>
      <c r="C323" s="28"/>
      <c r="D323" s="26" t="str">
        <f t="shared" si="15"/>
        <v/>
      </c>
      <c r="E323" s="26" t="str">
        <f t="shared" si="16"/>
        <v/>
      </c>
      <c r="F323" s="28"/>
      <c r="G323" s="28"/>
      <c r="H323" s="29" t="str">
        <f t="shared" si="17"/>
        <v/>
      </c>
    </row>
    <row r="324" spans="1:8">
      <c r="A324" s="28"/>
      <c r="B324" s="28"/>
      <c r="C324" s="28"/>
      <c r="D324" s="26" t="str">
        <f t="shared" si="15"/>
        <v/>
      </c>
      <c r="E324" s="26" t="str">
        <f t="shared" si="16"/>
        <v/>
      </c>
      <c r="F324" s="28"/>
      <c r="G324" s="28"/>
      <c r="H324" s="29" t="str">
        <f t="shared" si="17"/>
        <v/>
      </c>
    </row>
    <row r="325" spans="1:8">
      <c r="A325" s="28"/>
      <c r="B325" s="28"/>
      <c r="C325" s="28"/>
      <c r="D325" s="26" t="str">
        <f t="shared" si="15"/>
        <v/>
      </c>
      <c r="E325" s="26" t="str">
        <f t="shared" si="16"/>
        <v/>
      </c>
      <c r="F325" s="28"/>
      <c r="G325" s="28"/>
      <c r="H325" s="29" t="str">
        <f t="shared" si="17"/>
        <v/>
      </c>
    </row>
    <row r="326" spans="1:8">
      <c r="A326" s="28"/>
      <c r="B326" s="28"/>
      <c r="C326" s="28"/>
      <c r="D326" s="26" t="str">
        <f t="shared" si="15"/>
        <v/>
      </c>
      <c r="E326" s="26" t="str">
        <f t="shared" si="16"/>
        <v/>
      </c>
      <c r="F326" s="28"/>
      <c r="G326" s="28"/>
      <c r="H326" s="29" t="str">
        <f t="shared" si="17"/>
        <v/>
      </c>
    </row>
    <row r="327" spans="1:8">
      <c r="A327" s="28"/>
      <c r="B327" s="28"/>
      <c r="C327" s="28"/>
      <c r="D327" s="26" t="str">
        <f t="shared" si="15"/>
        <v/>
      </c>
      <c r="E327" s="26" t="str">
        <f t="shared" si="16"/>
        <v/>
      </c>
      <c r="F327" s="28"/>
      <c r="G327" s="28"/>
      <c r="H327" s="29" t="str">
        <f t="shared" si="17"/>
        <v/>
      </c>
    </row>
    <row r="328" spans="1:8">
      <c r="A328" s="28"/>
      <c r="B328" s="28"/>
      <c r="C328" s="28"/>
      <c r="D328" s="26" t="str">
        <f t="shared" si="15"/>
        <v/>
      </c>
      <c r="E328" s="26" t="str">
        <f t="shared" si="16"/>
        <v/>
      </c>
      <c r="F328" s="28"/>
      <c r="G328" s="28"/>
      <c r="H328" s="29" t="str">
        <f t="shared" si="17"/>
        <v/>
      </c>
    </row>
    <row r="329" spans="1:8">
      <c r="A329" s="28"/>
      <c r="B329" s="28"/>
      <c r="C329" s="28"/>
      <c r="D329" s="26" t="str">
        <f t="shared" si="15"/>
        <v/>
      </c>
      <c r="E329" s="26" t="str">
        <f t="shared" si="16"/>
        <v/>
      </c>
      <c r="F329" s="28"/>
      <c r="G329" s="28"/>
      <c r="H329" s="29" t="str">
        <f t="shared" si="17"/>
        <v/>
      </c>
    </row>
    <row r="330" spans="1:8">
      <c r="A330" s="28"/>
      <c r="B330" s="28"/>
      <c r="C330" s="28"/>
      <c r="D330" s="26" t="str">
        <f t="shared" si="15"/>
        <v/>
      </c>
      <c r="E330" s="26" t="str">
        <f t="shared" si="16"/>
        <v/>
      </c>
      <c r="F330" s="28"/>
      <c r="G330" s="28"/>
      <c r="H330" s="29" t="str">
        <f t="shared" si="17"/>
        <v/>
      </c>
    </row>
    <row r="331" spans="1:8">
      <c r="A331" s="28"/>
      <c r="B331" s="28"/>
      <c r="C331" s="28"/>
      <c r="D331" s="26" t="str">
        <f t="shared" si="15"/>
        <v/>
      </c>
      <c r="E331" s="26" t="str">
        <f t="shared" si="16"/>
        <v/>
      </c>
      <c r="F331" s="28"/>
      <c r="G331" s="28"/>
      <c r="H331" s="29" t="str">
        <f t="shared" si="17"/>
        <v/>
      </c>
    </row>
    <row r="332" spans="1:8">
      <c r="A332" s="28"/>
      <c r="B332" s="28"/>
      <c r="C332" s="28"/>
      <c r="D332" s="26" t="str">
        <f t="shared" si="15"/>
        <v/>
      </c>
      <c r="E332" s="26" t="str">
        <f t="shared" si="16"/>
        <v/>
      </c>
      <c r="F332" s="28"/>
      <c r="G332" s="28"/>
      <c r="H332" s="29" t="str">
        <f t="shared" si="17"/>
        <v/>
      </c>
    </row>
    <row r="333" spans="1:8">
      <c r="A333" s="28"/>
      <c r="B333" s="28"/>
      <c r="C333" s="28"/>
      <c r="D333" s="26" t="str">
        <f t="shared" si="15"/>
        <v/>
      </c>
      <c r="E333" s="26" t="str">
        <f t="shared" si="16"/>
        <v/>
      </c>
      <c r="F333" s="28"/>
      <c r="G333" s="28"/>
      <c r="H333" s="29" t="str">
        <f t="shared" si="17"/>
        <v/>
      </c>
    </row>
    <row r="334" spans="1:8">
      <c r="A334" s="28"/>
      <c r="B334" s="28"/>
      <c r="C334" s="28"/>
      <c r="D334" s="26" t="str">
        <f t="shared" si="15"/>
        <v/>
      </c>
      <c r="E334" s="26" t="str">
        <f t="shared" si="16"/>
        <v/>
      </c>
      <c r="F334" s="28"/>
      <c r="G334" s="28"/>
      <c r="H334" s="29" t="str">
        <f t="shared" si="17"/>
        <v/>
      </c>
    </row>
    <row r="335" spans="1:8">
      <c r="A335" s="28"/>
      <c r="B335" s="28"/>
      <c r="C335" s="28"/>
      <c r="D335" s="26" t="str">
        <f t="shared" si="15"/>
        <v/>
      </c>
      <c r="E335" s="26" t="str">
        <f t="shared" si="16"/>
        <v/>
      </c>
      <c r="F335" s="28"/>
      <c r="G335" s="28"/>
      <c r="H335" s="29" t="str">
        <f t="shared" si="17"/>
        <v/>
      </c>
    </row>
    <row r="336" spans="1:8">
      <c r="A336" s="28"/>
      <c r="B336" s="28"/>
      <c r="C336" s="28"/>
      <c r="D336" s="26" t="str">
        <f t="shared" si="15"/>
        <v/>
      </c>
      <c r="E336" s="26" t="str">
        <f t="shared" si="16"/>
        <v/>
      </c>
      <c r="F336" s="28"/>
      <c r="G336" s="28"/>
      <c r="H336" s="29" t="str">
        <f t="shared" si="17"/>
        <v/>
      </c>
    </row>
    <row r="337" spans="1:8">
      <c r="A337" s="28"/>
      <c r="B337" s="28"/>
      <c r="C337" s="28"/>
      <c r="D337" s="26" t="str">
        <f t="shared" si="15"/>
        <v/>
      </c>
      <c r="E337" s="26" t="str">
        <f t="shared" si="16"/>
        <v/>
      </c>
      <c r="F337" s="28"/>
      <c r="G337" s="28"/>
      <c r="H337" s="29" t="str">
        <f t="shared" si="17"/>
        <v/>
      </c>
    </row>
    <row r="338" spans="1:8">
      <c r="A338" s="28"/>
      <c r="B338" s="28"/>
      <c r="C338" s="28"/>
      <c r="D338" s="26" t="str">
        <f t="shared" si="15"/>
        <v/>
      </c>
      <c r="E338" s="26" t="str">
        <f t="shared" si="16"/>
        <v/>
      </c>
      <c r="F338" s="28"/>
      <c r="G338" s="28"/>
      <c r="H338" s="29" t="str">
        <f t="shared" si="17"/>
        <v/>
      </c>
    </row>
    <row r="339" spans="1:8">
      <c r="A339" s="28"/>
      <c r="B339" s="28"/>
      <c r="C339" s="28"/>
      <c r="D339" s="26" t="str">
        <f t="shared" si="15"/>
        <v/>
      </c>
      <c r="E339" s="26" t="str">
        <f t="shared" si="16"/>
        <v/>
      </c>
      <c r="F339" s="28"/>
      <c r="G339" s="28"/>
      <c r="H339" s="29" t="str">
        <f t="shared" si="17"/>
        <v/>
      </c>
    </row>
    <row r="340" spans="1:8">
      <c r="A340" s="28"/>
      <c r="B340" s="28"/>
      <c r="C340" s="28"/>
      <c r="D340" s="26" t="str">
        <f t="shared" si="15"/>
        <v/>
      </c>
      <c r="E340" s="26" t="str">
        <f t="shared" si="16"/>
        <v/>
      </c>
      <c r="F340" s="28"/>
      <c r="G340" s="28"/>
      <c r="H340" s="29" t="str">
        <f t="shared" si="17"/>
        <v/>
      </c>
    </row>
    <row r="341" spans="1:8">
      <c r="A341" s="28"/>
      <c r="B341" s="28"/>
      <c r="C341" s="28"/>
      <c r="D341" s="26" t="str">
        <f t="shared" si="15"/>
        <v/>
      </c>
      <c r="E341" s="26" t="str">
        <f t="shared" si="16"/>
        <v/>
      </c>
      <c r="F341" s="28"/>
      <c r="G341" s="28"/>
      <c r="H341" s="29" t="str">
        <f t="shared" si="17"/>
        <v/>
      </c>
    </row>
    <row r="342" spans="1:8">
      <c r="A342" s="28"/>
      <c r="B342" s="28"/>
      <c r="C342" s="28"/>
      <c r="D342" s="26" t="str">
        <f t="shared" si="15"/>
        <v/>
      </c>
      <c r="E342" s="26" t="str">
        <f t="shared" si="16"/>
        <v/>
      </c>
      <c r="F342" s="28"/>
      <c r="G342" s="28"/>
      <c r="H342" s="29" t="str">
        <f t="shared" si="17"/>
        <v/>
      </c>
    </row>
    <row r="343" spans="1:8">
      <c r="A343" s="28"/>
      <c r="B343" s="28"/>
      <c r="C343" s="28"/>
      <c r="D343" s="26" t="str">
        <f t="shared" si="15"/>
        <v/>
      </c>
      <c r="E343" s="26" t="str">
        <f t="shared" si="16"/>
        <v/>
      </c>
      <c r="F343" s="28"/>
      <c r="G343" s="28"/>
      <c r="H343" s="29" t="str">
        <f t="shared" si="17"/>
        <v/>
      </c>
    </row>
    <row r="344" spans="1:8">
      <c r="A344" s="28"/>
      <c r="B344" s="28"/>
      <c r="C344" s="28"/>
      <c r="D344" s="26" t="str">
        <f t="shared" si="15"/>
        <v/>
      </c>
      <c r="E344" s="26" t="str">
        <f t="shared" si="16"/>
        <v/>
      </c>
      <c r="F344" s="28"/>
      <c r="G344" s="28"/>
      <c r="H344" s="29" t="str">
        <f t="shared" si="17"/>
        <v/>
      </c>
    </row>
    <row r="345" spans="1:8">
      <c r="A345" s="28"/>
      <c r="B345" s="28"/>
      <c r="C345" s="28"/>
      <c r="D345" s="26" t="str">
        <f t="shared" si="15"/>
        <v/>
      </c>
      <c r="E345" s="26" t="str">
        <f t="shared" si="16"/>
        <v/>
      </c>
      <c r="F345" s="28"/>
      <c r="G345" s="28"/>
      <c r="H345" s="29" t="str">
        <f t="shared" si="17"/>
        <v/>
      </c>
    </row>
    <row r="346" spans="1:8">
      <c r="A346" s="28"/>
      <c r="B346" s="28"/>
      <c r="C346" s="28"/>
      <c r="D346" s="26" t="str">
        <f t="shared" si="15"/>
        <v/>
      </c>
      <c r="E346" s="26" t="str">
        <f t="shared" si="16"/>
        <v/>
      </c>
      <c r="F346" s="28"/>
      <c r="G346" s="28"/>
      <c r="H346" s="29" t="str">
        <f t="shared" si="17"/>
        <v/>
      </c>
    </row>
    <row r="347" spans="1:8">
      <c r="A347" s="28"/>
      <c r="B347" s="28"/>
      <c r="C347" s="28"/>
      <c r="D347" s="26" t="str">
        <f t="shared" si="15"/>
        <v/>
      </c>
      <c r="E347" s="26" t="str">
        <f t="shared" si="16"/>
        <v/>
      </c>
      <c r="F347" s="28"/>
      <c r="G347" s="28"/>
      <c r="H347" s="29" t="str">
        <f t="shared" si="17"/>
        <v/>
      </c>
    </row>
    <row r="348" spans="1:8">
      <c r="A348" s="28"/>
      <c r="B348" s="28"/>
      <c r="C348" s="28"/>
      <c r="D348" s="26" t="str">
        <f t="shared" si="15"/>
        <v/>
      </c>
      <c r="E348" s="26" t="str">
        <f t="shared" si="16"/>
        <v/>
      </c>
      <c r="F348" s="28"/>
      <c r="G348" s="28"/>
      <c r="H348" s="29" t="str">
        <f t="shared" si="17"/>
        <v/>
      </c>
    </row>
    <row r="349" spans="1:8">
      <c r="A349" s="28"/>
      <c r="B349" s="28"/>
      <c r="C349" s="28"/>
      <c r="D349" s="26" t="str">
        <f t="shared" si="15"/>
        <v/>
      </c>
      <c r="E349" s="26" t="str">
        <f t="shared" si="16"/>
        <v/>
      </c>
      <c r="F349" s="28"/>
      <c r="G349" s="28"/>
      <c r="H349" s="29" t="str">
        <f t="shared" si="17"/>
        <v/>
      </c>
    </row>
    <row r="350" spans="1:8">
      <c r="A350" s="28"/>
      <c r="B350" s="28"/>
      <c r="C350" s="28"/>
      <c r="D350" s="26" t="str">
        <f t="shared" si="15"/>
        <v/>
      </c>
      <c r="E350" s="26" t="str">
        <f t="shared" si="16"/>
        <v/>
      </c>
      <c r="F350" s="28"/>
      <c r="G350" s="28"/>
      <c r="H350" s="29" t="str">
        <f t="shared" si="17"/>
        <v/>
      </c>
    </row>
    <row r="351" spans="1:8">
      <c r="A351" s="28"/>
      <c r="B351" s="28"/>
      <c r="C351" s="28"/>
      <c r="D351" s="26" t="str">
        <f t="shared" si="15"/>
        <v/>
      </c>
      <c r="E351" s="26" t="str">
        <f t="shared" si="16"/>
        <v/>
      </c>
      <c r="F351" s="28"/>
      <c r="G351" s="28"/>
      <c r="H351" s="29" t="str">
        <f t="shared" si="17"/>
        <v/>
      </c>
    </row>
    <row r="352" spans="1:8">
      <c r="A352" s="28"/>
      <c r="B352" s="28"/>
      <c r="C352" s="28"/>
      <c r="D352" s="26" t="str">
        <f t="shared" si="15"/>
        <v/>
      </c>
      <c r="E352" s="26" t="str">
        <f t="shared" si="16"/>
        <v/>
      </c>
      <c r="F352" s="28"/>
      <c r="G352" s="28"/>
      <c r="H352" s="29" t="str">
        <f t="shared" si="17"/>
        <v/>
      </c>
    </row>
    <row r="353" spans="1:8">
      <c r="A353" s="28"/>
      <c r="B353" s="28"/>
      <c r="C353" s="28"/>
      <c r="D353" s="26" t="str">
        <f t="shared" si="15"/>
        <v/>
      </c>
      <c r="E353" s="26" t="str">
        <f t="shared" si="16"/>
        <v/>
      </c>
      <c r="F353" s="28"/>
      <c r="G353" s="28"/>
      <c r="H353" s="29" t="str">
        <f t="shared" si="17"/>
        <v/>
      </c>
    </row>
    <row r="354" spans="1:8">
      <c r="A354" s="28"/>
      <c r="B354" s="28"/>
      <c r="C354" s="28"/>
      <c r="D354" s="26" t="str">
        <f t="shared" si="15"/>
        <v/>
      </c>
      <c r="E354" s="26" t="str">
        <f t="shared" si="16"/>
        <v/>
      </c>
      <c r="F354" s="28"/>
      <c r="G354" s="28"/>
      <c r="H354" s="29" t="str">
        <f t="shared" si="17"/>
        <v/>
      </c>
    </row>
    <row r="355" spans="1:8">
      <c r="A355" s="28"/>
      <c r="B355" s="28"/>
      <c r="C355" s="28"/>
      <c r="D355" s="26" t="str">
        <f t="shared" si="15"/>
        <v/>
      </c>
      <c r="E355" s="26" t="str">
        <f t="shared" si="16"/>
        <v/>
      </c>
      <c r="F355" s="28"/>
      <c r="G355" s="28"/>
      <c r="H355" s="29" t="str">
        <f t="shared" si="17"/>
        <v/>
      </c>
    </row>
    <row r="356" spans="1:8">
      <c r="A356" s="28"/>
      <c r="B356" s="28"/>
      <c r="C356" s="28"/>
      <c r="D356" s="26" t="str">
        <f t="shared" si="15"/>
        <v/>
      </c>
      <c r="E356" s="26" t="str">
        <f t="shared" si="16"/>
        <v/>
      </c>
      <c r="F356" s="28"/>
      <c r="G356" s="28"/>
      <c r="H356" s="29" t="str">
        <f t="shared" si="17"/>
        <v/>
      </c>
    </row>
    <row r="357" spans="1:8">
      <c r="A357" s="28"/>
      <c r="B357" s="28"/>
      <c r="C357" s="28"/>
      <c r="D357" s="26" t="str">
        <f t="shared" si="15"/>
        <v/>
      </c>
      <c r="E357" s="26" t="str">
        <f t="shared" si="16"/>
        <v/>
      </c>
      <c r="F357" s="28"/>
      <c r="G357" s="28"/>
      <c r="H357" s="29" t="str">
        <f t="shared" si="17"/>
        <v/>
      </c>
    </row>
    <row r="358" spans="1:8">
      <c r="A358" s="28"/>
      <c r="B358" s="28"/>
      <c r="C358" s="28"/>
      <c r="D358" s="26" t="str">
        <f t="shared" si="15"/>
        <v/>
      </c>
      <c r="E358" s="26" t="str">
        <f t="shared" si="16"/>
        <v/>
      </c>
      <c r="F358" s="28"/>
      <c r="G358" s="28"/>
      <c r="H358" s="29" t="str">
        <f t="shared" si="17"/>
        <v/>
      </c>
    </row>
    <row r="359" spans="1:8">
      <c r="A359" s="28"/>
      <c r="B359" s="28"/>
      <c r="C359" s="28"/>
      <c r="D359" s="26" t="str">
        <f t="shared" si="15"/>
        <v/>
      </c>
      <c r="E359" s="26" t="str">
        <f t="shared" si="16"/>
        <v/>
      </c>
      <c r="F359" s="28"/>
      <c r="G359" s="28"/>
      <c r="H359" s="29" t="str">
        <f t="shared" si="17"/>
        <v/>
      </c>
    </row>
    <row r="360" spans="1:8">
      <c r="A360" s="28"/>
      <c r="B360" s="28"/>
      <c r="C360" s="28"/>
      <c r="D360" s="26" t="str">
        <f t="shared" si="15"/>
        <v/>
      </c>
      <c r="E360" s="26" t="str">
        <f t="shared" si="16"/>
        <v/>
      </c>
      <c r="F360" s="28"/>
      <c r="G360" s="28"/>
      <c r="H360" s="29" t="str">
        <f t="shared" si="17"/>
        <v/>
      </c>
    </row>
    <row r="361" spans="1:8">
      <c r="A361" s="28"/>
      <c r="B361" s="28"/>
      <c r="C361" s="28"/>
      <c r="D361" s="26" t="str">
        <f t="shared" si="15"/>
        <v/>
      </c>
      <c r="E361" s="26" t="str">
        <f t="shared" si="16"/>
        <v/>
      </c>
      <c r="F361" s="28"/>
      <c r="G361" s="28"/>
      <c r="H361" s="29" t="str">
        <f t="shared" si="17"/>
        <v/>
      </c>
    </row>
    <row r="362" spans="1:8">
      <c r="A362" s="28"/>
      <c r="B362" s="28"/>
      <c r="C362" s="28"/>
      <c r="D362" s="26" t="str">
        <f t="shared" si="15"/>
        <v/>
      </c>
      <c r="E362" s="26" t="str">
        <f t="shared" si="16"/>
        <v/>
      </c>
      <c r="F362" s="28"/>
      <c r="G362" s="28"/>
      <c r="H362" s="29" t="str">
        <f t="shared" si="17"/>
        <v/>
      </c>
    </row>
    <row r="363" spans="1:8">
      <c r="A363" s="28"/>
      <c r="B363" s="28"/>
      <c r="C363" s="28"/>
      <c r="D363" s="26" t="str">
        <f t="shared" si="15"/>
        <v/>
      </c>
      <c r="E363" s="26" t="str">
        <f t="shared" si="16"/>
        <v/>
      </c>
      <c r="F363" s="28"/>
      <c r="G363" s="28"/>
      <c r="H363" s="29" t="str">
        <f t="shared" si="17"/>
        <v/>
      </c>
    </row>
    <row r="364" spans="1:8">
      <c r="A364" s="28"/>
      <c r="B364" s="28"/>
      <c r="C364" s="28"/>
      <c r="D364" s="26" t="str">
        <f t="shared" si="15"/>
        <v/>
      </c>
      <c r="E364" s="26" t="str">
        <f t="shared" si="16"/>
        <v/>
      </c>
      <c r="F364" s="28"/>
      <c r="G364" s="28"/>
      <c r="H364" s="29" t="str">
        <f t="shared" si="17"/>
        <v/>
      </c>
    </row>
    <row r="365" spans="1:8">
      <c r="A365" s="28"/>
      <c r="B365" s="28"/>
      <c r="C365" s="28"/>
      <c r="D365" s="26" t="str">
        <f t="shared" si="15"/>
        <v/>
      </c>
      <c r="E365" s="26" t="str">
        <f t="shared" si="16"/>
        <v/>
      </c>
      <c r="F365" s="28"/>
      <c r="G365" s="28"/>
      <c r="H365" s="29" t="str">
        <f t="shared" si="17"/>
        <v/>
      </c>
    </row>
    <row r="366" spans="1:8">
      <c r="A366" s="28"/>
      <c r="B366" s="28"/>
      <c r="C366" s="28"/>
      <c r="D366" s="26" t="str">
        <f t="shared" si="15"/>
        <v/>
      </c>
      <c r="E366" s="26" t="str">
        <f t="shared" si="16"/>
        <v/>
      </c>
      <c r="F366" s="28"/>
      <c r="G366" s="28"/>
      <c r="H366" s="29" t="str">
        <f t="shared" si="17"/>
        <v/>
      </c>
    </row>
    <row r="367" spans="1:8">
      <c r="A367" s="28"/>
      <c r="B367" s="28"/>
      <c r="C367" s="28"/>
      <c r="D367" s="26" t="str">
        <f t="shared" si="15"/>
        <v/>
      </c>
      <c r="E367" s="26" t="str">
        <f t="shared" si="16"/>
        <v/>
      </c>
      <c r="F367" s="28"/>
      <c r="G367" s="28"/>
      <c r="H367" s="29" t="str">
        <f t="shared" si="17"/>
        <v/>
      </c>
    </row>
    <row r="368" spans="1:8">
      <c r="A368" s="28"/>
      <c r="B368" s="28"/>
      <c r="C368" s="28"/>
      <c r="D368" s="26" t="str">
        <f t="shared" si="15"/>
        <v/>
      </c>
      <c r="E368" s="26" t="str">
        <f t="shared" si="16"/>
        <v/>
      </c>
      <c r="F368" s="28"/>
      <c r="G368" s="28"/>
      <c r="H368" s="29" t="str">
        <f t="shared" si="17"/>
        <v/>
      </c>
    </row>
    <row r="369" spans="1:8">
      <c r="A369" s="28"/>
      <c r="B369" s="28"/>
      <c r="C369" s="28"/>
      <c r="D369" s="26" t="str">
        <f t="shared" si="15"/>
        <v/>
      </c>
      <c r="E369" s="26" t="str">
        <f t="shared" si="16"/>
        <v/>
      </c>
      <c r="F369" s="28"/>
      <c r="G369" s="28"/>
      <c r="H369" s="29" t="str">
        <f t="shared" si="17"/>
        <v/>
      </c>
    </row>
    <row r="370" spans="1:8">
      <c r="A370" s="28"/>
      <c r="B370" s="28"/>
      <c r="C370" s="28"/>
      <c r="D370" s="26" t="str">
        <f t="shared" si="15"/>
        <v/>
      </c>
      <c r="E370" s="26" t="str">
        <f t="shared" si="16"/>
        <v/>
      </c>
      <c r="F370" s="28"/>
      <c r="G370" s="28"/>
      <c r="H370" s="29" t="str">
        <f t="shared" si="17"/>
        <v/>
      </c>
    </row>
    <row r="371" spans="1:8">
      <c r="A371" s="28"/>
      <c r="B371" s="28"/>
      <c r="C371" s="28"/>
      <c r="D371" s="26" t="str">
        <f t="shared" si="15"/>
        <v/>
      </c>
      <c r="E371" s="26" t="str">
        <f t="shared" si="16"/>
        <v/>
      </c>
      <c r="F371" s="28"/>
      <c r="G371" s="28"/>
      <c r="H371" s="29" t="str">
        <f t="shared" si="17"/>
        <v/>
      </c>
    </row>
    <row r="372" spans="1:8">
      <c r="A372" s="28"/>
      <c r="B372" s="28"/>
      <c r="C372" s="28"/>
      <c r="D372" s="26" t="str">
        <f t="shared" si="15"/>
        <v/>
      </c>
      <c r="E372" s="26" t="str">
        <f t="shared" si="16"/>
        <v/>
      </c>
      <c r="F372" s="28"/>
      <c r="G372" s="28"/>
      <c r="H372" s="29" t="str">
        <f t="shared" si="17"/>
        <v/>
      </c>
    </row>
    <row r="373" spans="1:8">
      <c r="A373" s="28"/>
      <c r="B373" s="28"/>
      <c r="C373" s="28"/>
      <c r="D373" s="26" t="str">
        <f t="shared" si="15"/>
        <v/>
      </c>
      <c r="E373" s="26" t="str">
        <f t="shared" si="16"/>
        <v/>
      </c>
      <c r="F373" s="28"/>
      <c r="G373" s="28"/>
      <c r="H373" s="29" t="str">
        <f t="shared" si="17"/>
        <v/>
      </c>
    </row>
    <row r="374" spans="1:8">
      <c r="A374" s="28"/>
      <c r="B374" s="28"/>
      <c r="C374" s="28"/>
      <c r="D374" s="26" t="str">
        <f t="shared" si="15"/>
        <v/>
      </c>
      <c r="E374" s="26" t="str">
        <f t="shared" si="16"/>
        <v/>
      </c>
      <c r="F374" s="28"/>
      <c r="G374" s="28"/>
      <c r="H374" s="29" t="str">
        <f t="shared" si="17"/>
        <v/>
      </c>
    </row>
    <row r="375" spans="1:8">
      <c r="A375" s="28"/>
      <c r="B375" s="28"/>
      <c r="C375" s="28"/>
      <c r="D375" s="26" t="str">
        <f t="shared" si="15"/>
        <v/>
      </c>
      <c r="E375" s="26" t="str">
        <f t="shared" si="16"/>
        <v/>
      </c>
      <c r="F375" s="28"/>
      <c r="G375" s="28"/>
      <c r="H375" s="29" t="str">
        <f t="shared" si="17"/>
        <v/>
      </c>
    </row>
    <row r="376" spans="1:8">
      <c r="A376" s="28"/>
      <c r="B376" s="28"/>
      <c r="C376" s="28"/>
      <c r="D376" s="26" t="str">
        <f t="shared" si="15"/>
        <v/>
      </c>
      <c r="E376" s="26" t="str">
        <f t="shared" si="16"/>
        <v/>
      </c>
      <c r="F376" s="28"/>
      <c r="G376" s="28"/>
      <c r="H376" s="29" t="str">
        <f t="shared" si="17"/>
        <v/>
      </c>
    </row>
    <row r="377" spans="1:8">
      <c r="A377" s="28"/>
      <c r="B377" s="28"/>
      <c r="C377" s="28"/>
      <c r="D377" s="26" t="str">
        <f t="shared" si="15"/>
        <v/>
      </c>
      <c r="E377" s="26" t="str">
        <f t="shared" si="16"/>
        <v/>
      </c>
      <c r="F377" s="28"/>
      <c r="G377" s="28"/>
      <c r="H377" s="29" t="str">
        <f t="shared" si="17"/>
        <v/>
      </c>
    </row>
    <row r="378" spans="1:8">
      <c r="A378" s="28"/>
      <c r="B378" s="28"/>
      <c r="C378" s="28"/>
      <c r="D378" s="26" t="str">
        <f t="shared" si="15"/>
        <v/>
      </c>
      <c r="E378" s="26" t="str">
        <f t="shared" si="16"/>
        <v/>
      </c>
      <c r="F378" s="28"/>
      <c r="G378" s="28"/>
      <c r="H378" s="29" t="str">
        <f t="shared" si="17"/>
        <v/>
      </c>
    </row>
    <row r="379" spans="1:8">
      <c r="A379" s="28"/>
      <c r="B379" s="28"/>
      <c r="C379" s="28"/>
      <c r="D379" s="26" t="str">
        <f t="shared" si="15"/>
        <v/>
      </c>
      <c r="E379" s="26" t="str">
        <f t="shared" si="16"/>
        <v/>
      </c>
      <c r="F379" s="28"/>
      <c r="G379" s="28"/>
      <c r="H379" s="29" t="str">
        <f t="shared" si="17"/>
        <v/>
      </c>
    </row>
    <row r="380" spans="1:8">
      <c r="A380" s="28"/>
      <c r="B380" s="28"/>
      <c r="C380" s="28"/>
      <c r="D380" s="26" t="str">
        <f t="shared" si="15"/>
        <v/>
      </c>
      <c r="E380" s="26" t="str">
        <f t="shared" si="16"/>
        <v/>
      </c>
      <c r="F380" s="28"/>
      <c r="G380" s="28"/>
      <c r="H380" s="29" t="str">
        <f t="shared" si="17"/>
        <v/>
      </c>
    </row>
    <row r="381" spans="1:8">
      <c r="A381" s="28"/>
      <c r="B381" s="28"/>
      <c r="C381" s="28"/>
      <c r="D381" s="26" t="str">
        <f t="shared" si="15"/>
        <v/>
      </c>
      <c r="E381" s="26" t="str">
        <f t="shared" si="16"/>
        <v/>
      </c>
      <c r="F381" s="28"/>
      <c r="G381" s="28"/>
      <c r="H381" s="29" t="str">
        <f t="shared" si="17"/>
        <v/>
      </c>
    </row>
    <row r="382" spans="1:8">
      <c r="A382" s="28"/>
      <c r="B382" s="28"/>
      <c r="C382" s="28"/>
      <c r="D382" s="26" t="str">
        <f t="shared" si="15"/>
        <v/>
      </c>
      <c r="E382" s="26" t="str">
        <f t="shared" si="16"/>
        <v/>
      </c>
      <c r="F382" s="28"/>
      <c r="G382" s="28"/>
      <c r="H382" s="29" t="str">
        <f t="shared" si="17"/>
        <v/>
      </c>
    </row>
    <row r="383" spans="1:8">
      <c r="A383" s="28"/>
      <c r="B383" s="28"/>
      <c r="C383" s="28"/>
      <c r="D383" s="26" t="str">
        <f t="shared" si="15"/>
        <v/>
      </c>
      <c r="E383" s="26" t="str">
        <f t="shared" si="16"/>
        <v/>
      </c>
      <c r="F383" s="28"/>
      <c r="G383" s="28"/>
      <c r="H383" s="29" t="str">
        <f t="shared" si="17"/>
        <v/>
      </c>
    </row>
    <row r="384" spans="1:8">
      <c r="A384" s="28"/>
      <c r="B384" s="28"/>
      <c r="C384" s="28"/>
      <c r="D384" s="26" t="str">
        <f t="shared" si="15"/>
        <v/>
      </c>
      <c r="E384" s="26" t="str">
        <f t="shared" si="16"/>
        <v/>
      </c>
      <c r="F384" s="28"/>
      <c r="G384" s="28"/>
      <c r="H384" s="29" t="str">
        <f t="shared" si="17"/>
        <v/>
      </c>
    </row>
    <row r="385" spans="1:8">
      <c r="A385" s="28"/>
      <c r="B385" s="28"/>
      <c r="C385" s="28"/>
      <c r="D385" s="26" t="str">
        <f t="shared" si="15"/>
        <v/>
      </c>
      <c r="E385" s="26" t="str">
        <f t="shared" si="16"/>
        <v/>
      </c>
      <c r="F385" s="28"/>
      <c r="G385" s="28"/>
      <c r="H385" s="29" t="str">
        <f t="shared" si="17"/>
        <v/>
      </c>
    </row>
    <row r="386" spans="1:8">
      <c r="A386" s="28"/>
      <c r="B386" s="28"/>
      <c r="C386" s="28"/>
      <c r="D386" s="26" t="str">
        <f t="shared" ref="D386:D449" si="18">IF(OR(B386="",C386=""),"",C386-B386)</f>
        <v/>
      </c>
      <c r="E386" s="26" t="str">
        <f t="shared" ref="E386:E449" si="19">IF(OR(B386="",C386=""),"",(B386+C386)/2)</f>
        <v/>
      </c>
      <c r="F386" s="28"/>
      <c r="G386" s="28"/>
      <c r="H386" s="29" t="str">
        <f t="shared" ref="H386:H449" si="20">IF(OR(F386="",G386=""),"",G386-F386)</f>
        <v/>
      </c>
    </row>
    <row r="387" spans="1:8">
      <c r="A387" s="28"/>
      <c r="B387" s="28"/>
      <c r="C387" s="28"/>
      <c r="D387" s="26" t="str">
        <f t="shared" si="18"/>
        <v/>
      </c>
      <c r="E387" s="26" t="str">
        <f t="shared" si="19"/>
        <v/>
      </c>
      <c r="F387" s="28"/>
      <c r="G387" s="28"/>
      <c r="H387" s="29" t="str">
        <f t="shared" si="20"/>
        <v/>
      </c>
    </row>
    <row r="388" spans="1:8">
      <c r="A388" s="28"/>
      <c r="B388" s="28"/>
      <c r="C388" s="28"/>
      <c r="D388" s="26" t="str">
        <f t="shared" si="18"/>
        <v/>
      </c>
      <c r="E388" s="26" t="str">
        <f t="shared" si="19"/>
        <v/>
      </c>
      <c r="F388" s="28"/>
      <c r="G388" s="28"/>
      <c r="H388" s="29" t="str">
        <f t="shared" si="20"/>
        <v/>
      </c>
    </row>
    <row r="389" spans="1:8">
      <c r="A389" s="28"/>
      <c r="B389" s="28"/>
      <c r="C389" s="28"/>
      <c r="D389" s="26" t="str">
        <f t="shared" si="18"/>
        <v/>
      </c>
      <c r="E389" s="26" t="str">
        <f t="shared" si="19"/>
        <v/>
      </c>
      <c r="F389" s="28"/>
      <c r="G389" s="28"/>
      <c r="H389" s="29" t="str">
        <f t="shared" si="20"/>
        <v/>
      </c>
    </row>
    <row r="390" spans="1:8">
      <c r="A390" s="28"/>
      <c r="B390" s="28"/>
      <c r="C390" s="28"/>
      <c r="D390" s="26" t="str">
        <f t="shared" si="18"/>
        <v/>
      </c>
      <c r="E390" s="26" t="str">
        <f t="shared" si="19"/>
        <v/>
      </c>
      <c r="F390" s="28"/>
      <c r="G390" s="28"/>
      <c r="H390" s="29" t="str">
        <f t="shared" si="20"/>
        <v/>
      </c>
    </row>
    <row r="391" spans="1:8">
      <c r="A391" s="28"/>
      <c r="B391" s="28"/>
      <c r="C391" s="28"/>
      <c r="D391" s="26" t="str">
        <f t="shared" si="18"/>
        <v/>
      </c>
      <c r="E391" s="26" t="str">
        <f t="shared" si="19"/>
        <v/>
      </c>
      <c r="F391" s="28"/>
      <c r="G391" s="28"/>
      <c r="H391" s="29" t="str">
        <f t="shared" si="20"/>
        <v/>
      </c>
    </row>
    <row r="392" spans="1:8">
      <c r="A392" s="28"/>
      <c r="B392" s="28"/>
      <c r="C392" s="28"/>
      <c r="D392" s="26" t="str">
        <f t="shared" si="18"/>
        <v/>
      </c>
      <c r="E392" s="26" t="str">
        <f t="shared" si="19"/>
        <v/>
      </c>
      <c r="F392" s="28"/>
      <c r="G392" s="28"/>
      <c r="H392" s="29" t="str">
        <f t="shared" si="20"/>
        <v/>
      </c>
    </row>
    <row r="393" spans="1:8">
      <c r="A393" s="28"/>
      <c r="B393" s="28"/>
      <c r="C393" s="28"/>
      <c r="D393" s="26" t="str">
        <f t="shared" si="18"/>
        <v/>
      </c>
      <c r="E393" s="26" t="str">
        <f t="shared" si="19"/>
        <v/>
      </c>
      <c r="F393" s="28"/>
      <c r="G393" s="28"/>
      <c r="H393" s="29" t="str">
        <f t="shared" si="20"/>
        <v/>
      </c>
    </row>
    <row r="394" spans="1:8">
      <c r="A394" s="28"/>
      <c r="B394" s="28"/>
      <c r="C394" s="28"/>
      <c r="D394" s="26" t="str">
        <f t="shared" si="18"/>
        <v/>
      </c>
      <c r="E394" s="26" t="str">
        <f t="shared" si="19"/>
        <v/>
      </c>
      <c r="F394" s="28"/>
      <c r="G394" s="28"/>
      <c r="H394" s="29" t="str">
        <f t="shared" si="20"/>
        <v/>
      </c>
    </row>
    <row r="395" spans="1:8">
      <c r="A395" s="28"/>
      <c r="B395" s="28"/>
      <c r="C395" s="28"/>
      <c r="D395" s="26" t="str">
        <f t="shared" si="18"/>
        <v/>
      </c>
      <c r="E395" s="26" t="str">
        <f t="shared" si="19"/>
        <v/>
      </c>
      <c r="F395" s="28"/>
      <c r="G395" s="28"/>
      <c r="H395" s="29" t="str">
        <f t="shared" si="20"/>
        <v/>
      </c>
    </row>
    <row r="396" spans="1:8">
      <c r="A396" s="28"/>
      <c r="B396" s="28"/>
      <c r="C396" s="28"/>
      <c r="D396" s="26" t="str">
        <f t="shared" si="18"/>
        <v/>
      </c>
      <c r="E396" s="26" t="str">
        <f t="shared" si="19"/>
        <v/>
      </c>
      <c r="F396" s="28"/>
      <c r="G396" s="28"/>
      <c r="H396" s="29" t="str">
        <f t="shared" si="20"/>
        <v/>
      </c>
    </row>
    <row r="397" spans="1:8">
      <c r="A397" s="28"/>
      <c r="B397" s="28"/>
      <c r="C397" s="28"/>
      <c r="D397" s="26" t="str">
        <f t="shared" si="18"/>
        <v/>
      </c>
      <c r="E397" s="26" t="str">
        <f t="shared" si="19"/>
        <v/>
      </c>
      <c r="F397" s="28"/>
      <c r="G397" s="28"/>
      <c r="H397" s="29" t="str">
        <f t="shared" si="20"/>
        <v/>
      </c>
    </row>
    <row r="398" spans="1:8">
      <c r="A398" s="28"/>
      <c r="B398" s="28"/>
      <c r="C398" s="28"/>
      <c r="D398" s="26" t="str">
        <f t="shared" si="18"/>
        <v/>
      </c>
      <c r="E398" s="26" t="str">
        <f t="shared" si="19"/>
        <v/>
      </c>
      <c r="F398" s="28"/>
      <c r="G398" s="28"/>
      <c r="H398" s="29" t="str">
        <f t="shared" si="20"/>
        <v/>
      </c>
    </row>
    <row r="399" spans="1:8">
      <c r="A399" s="28"/>
      <c r="B399" s="28"/>
      <c r="C399" s="28"/>
      <c r="D399" s="26" t="str">
        <f t="shared" si="18"/>
        <v/>
      </c>
      <c r="E399" s="26" t="str">
        <f t="shared" si="19"/>
        <v/>
      </c>
      <c r="F399" s="28"/>
      <c r="G399" s="28"/>
      <c r="H399" s="29" t="str">
        <f t="shared" si="20"/>
        <v/>
      </c>
    </row>
    <row r="400" spans="1:8">
      <c r="A400" s="28"/>
      <c r="B400" s="28"/>
      <c r="C400" s="28"/>
      <c r="D400" s="26" t="str">
        <f t="shared" si="18"/>
        <v/>
      </c>
      <c r="E400" s="26" t="str">
        <f t="shared" si="19"/>
        <v/>
      </c>
      <c r="F400" s="28"/>
      <c r="G400" s="28"/>
      <c r="H400" s="29" t="str">
        <f t="shared" si="20"/>
        <v/>
      </c>
    </row>
    <row r="401" spans="1:8">
      <c r="A401" s="28"/>
      <c r="B401" s="28"/>
      <c r="C401" s="28"/>
      <c r="D401" s="26" t="str">
        <f t="shared" si="18"/>
        <v/>
      </c>
      <c r="E401" s="26" t="str">
        <f t="shared" si="19"/>
        <v/>
      </c>
      <c r="F401" s="28"/>
      <c r="G401" s="28"/>
      <c r="H401" s="29" t="str">
        <f t="shared" si="20"/>
        <v/>
      </c>
    </row>
    <row r="402" spans="1:8">
      <c r="A402" s="28"/>
      <c r="B402" s="28"/>
      <c r="C402" s="28"/>
      <c r="D402" s="26" t="str">
        <f t="shared" si="18"/>
        <v/>
      </c>
      <c r="E402" s="26" t="str">
        <f t="shared" si="19"/>
        <v/>
      </c>
      <c r="F402" s="28"/>
      <c r="G402" s="28"/>
      <c r="H402" s="29" t="str">
        <f t="shared" si="20"/>
        <v/>
      </c>
    </row>
    <row r="403" spans="1:8">
      <c r="A403" s="28"/>
      <c r="B403" s="28"/>
      <c r="C403" s="28"/>
      <c r="D403" s="26" t="str">
        <f t="shared" si="18"/>
        <v/>
      </c>
      <c r="E403" s="26" t="str">
        <f t="shared" si="19"/>
        <v/>
      </c>
      <c r="F403" s="28"/>
      <c r="G403" s="28"/>
      <c r="H403" s="29" t="str">
        <f t="shared" si="20"/>
        <v/>
      </c>
    </row>
    <row r="404" spans="1:8">
      <c r="A404" s="28"/>
      <c r="B404" s="28"/>
      <c r="C404" s="28"/>
      <c r="D404" s="26" t="str">
        <f t="shared" si="18"/>
        <v/>
      </c>
      <c r="E404" s="26" t="str">
        <f t="shared" si="19"/>
        <v/>
      </c>
      <c r="F404" s="28"/>
      <c r="G404" s="28"/>
      <c r="H404" s="29" t="str">
        <f t="shared" si="20"/>
        <v/>
      </c>
    </row>
    <row r="405" spans="1:8">
      <c r="A405" s="28"/>
      <c r="B405" s="28"/>
      <c r="C405" s="28"/>
      <c r="D405" s="26" t="str">
        <f t="shared" si="18"/>
        <v/>
      </c>
      <c r="E405" s="26" t="str">
        <f t="shared" si="19"/>
        <v/>
      </c>
      <c r="F405" s="28"/>
      <c r="G405" s="28"/>
      <c r="H405" s="29" t="str">
        <f t="shared" si="20"/>
        <v/>
      </c>
    </row>
    <row r="406" spans="1:8">
      <c r="A406" s="28"/>
      <c r="B406" s="28"/>
      <c r="C406" s="28"/>
      <c r="D406" s="26" t="str">
        <f t="shared" si="18"/>
        <v/>
      </c>
      <c r="E406" s="26" t="str">
        <f t="shared" si="19"/>
        <v/>
      </c>
      <c r="F406" s="28"/>
      <c r="G406" s="28"/>
      <c r="H406" s="29" t="str">
        <f t="shared" si="20"/>
        <v/>
      </c>
    </row>
    <row r="407" spans="1:8">
      <c r="A407" s="28"/>
      <c r="B407" s="28"/>
      <c r="C407" s="28"/>
      <c r="D407" s="26" t="str">
        <f t="shared" si="18"/>
        <v/>
      </c>
      <c r="E407" s="26" t="str">
        <f t="shared" si="19"/>
        <v/>
      </c>
      <c r="F407" s="28"/>
      <c r="G407" s="28"/>
      <c r="H407" s="29" t="str">
        <f t="shared" si="20"/>
        <v/>
      </c>
    </row>
    <row r="408" spans="1:8">
      <c r="A408" s="28"/>
      <c r="B408" s="28"/>
      <c r="C408" s="28"/>
      <c r="D408" s="26" t="str">
        <f t="shared" si="18"/>
        <v/>
      </c>
      <c r="E408" s="26" t="str">
        <f t="shared" si="19"/>
        <v/>
      </c>
      <c r="F408" s="28"/>
      <c r="G408" s="28"/>
      <c r="H408" s="29" t="str">
        <f t="shared" si="20"/>
        <v/>
      </c>
    </row>
    <row r="409" spans="1:8">
      <c r="A409" s="28"/>
      <c r="B409" s="28"/>
      <c r="C409" s="28"/>
      <c r="D409" s="26" t="str">
        <f t="shared" si="18"/>
        <v/>
      </c>
      <c r="E409" s="26" t="str">
        <f t="shared" si="19"/>
        <v/>
      </c>
      <c r="F409" s="28"/>
      <c r="G409" s="28"/>
      <c r="H409" s="29" t="str">
        <f t="shared" si="20"/>
        <v/>
      </c>
    </row>
    <row r="410" spans="1:8">
      <c r="A410" s="28"/>
      <c r="B410" s="28"/>
      <c r="C410" s="28"/>
      <c r="D410" s="26" t="str">
        <f t="shared" si="18"/>
        <v/>
      </c>
      <c r="E410" s="26" t="str">
        <f t="shared" si="19"/>
        <v/>
      </c>
      <c r="F410" s="28"/>
      <c r="G410" s="28"/>
      <c r="H410" s="29" t="str">
        <f t="shared" si="20"/>
        <v/>
      </c>
    </row>
    <row r="411" spans="1:8">
      <c r="A411" s="28"/>
      <c r="B411" s="28"/>
      <c r="C411" s="28"/>
      <c r="D411" s="26" t="str">
        <f t="shared" si="18"/>
        <v/>
      </c>
      <c r="E411" s="26" t="str">
        <f t="shared" si="19"/>
        <v/>
      </c>
      <c r="F411" s="28"/>
      <c r="G411" s="28"/>
      <c r="H411" s="29" t="str">
        <f t="shared" si="20"/>
        <v/>
      </c>
    </row>
    <row r="412" spans="1:8">
      <c r="A412" s="28"/>
      <c r="B412" s="28"/>
      <c r="C412" s="28"/>
      <c r="D412" s="26" t="str">
        <f t="shared" si="18"/>
        <v/>
      </c>
      <c r="E412" s="26" t="str">
        <f t="shared" si="19"/>
        <v/>
      </c>
      <c r="F412" s="28"/>
      <c r="G412" s="28"/>
      <c r="H412" s="29" t="str">
        <f t="shared" si="20"/>
        <v/>
      </c>
    </row>
    <row r="413" spans="1:8">
      <c r="A413" s="28"/>
      <c r="B413" s="28"/>
      <c r="C413" s="28"/>
      <c r="D413" s="26" t="str">
        <f t="shared" si="18"/>
        <v/>
      </c>
      <c r="E413" s="26" t="str">
        <f t="shared" si="19"/>
        <v/>
      </c>
      <c r="F413" s="28"/>
      <c r="G413" s="28"/>
      <c r="H413" s="29" t="str">
        <f t="shared" si="20"/>
        <v/>
      </c>
    </row>
    <row r="414" spans="1:8">
      <c r="A414" s="28"/>
      <c r="B414" s="28"/>
      <c r="C414" s="28"/>
      <c r="D414" s="26" t="str">
        <f t="shared" si="18"/>
        <v/>
      </c>
      <c r="E414" s="26" t="str">
        <f t="shared" si="19"/>
        <v/>
      </c>
      <c r="F414" s="28"/>
      <c r="G414" s="28"/>
      <c r="H414" s="29" t="str">
        <f t="shared" si="20"/>
        <v/>
      </c>
    </row>
    <row r="415" spans="1:8">
      <c r="A415" s="28"/>
      <c r="B415" s="28"/>
      <c r="C415" s="28"/>
      <c r="D415" s="26" t="str">
        <f t="shared" si="18"/>
        <v/>
      </c>
      <c r="E415" s="26" t="str">
        <f t="shared" si="19"/>
        <v/>
      </c>
      <c r="F415" s="28"/>
      <c r="G415" s="28"/>
      <c r="H415" s="29" t="str">
        <f t="shared" si="20"/>
        <v/>
      </c>
    </row>
    <row r="416" spans="1:8">
      <c r="A416" s="28"/>
      <c r="B416" s="28"/>
      <c r="C416" s="28"/>
      <c r="D416" s="26" t="str">
        <f t="shared" si="18"/>
        <v/>
      </c>
      <c r="E416" s="26" t="str">
        <f t="shared" si="19"/>
        <v/>
      </c>
      <c r="F416" s="28"/>
      <c r="G416" s="28"/>
      <c r="H416" s="29" t="str">
        <f t="shared" si="20"/>
        <v/>
      </c>
    </row>
    <row r="417" spans="1:8">
      <c r="A417" s="28"/>
      <c r="B417" s="28"/>
      <c r="C417" s="28"/>
      <c r="D417" s="26" t="str">
        <f t="shared" si="18"/>
        <v/>
      </c>
      <c r="E417" s="26" t="str">
        <f t="shared" si="19"/>
        <v/>
      </c>
      <c r="F417" s="28"/>
      <c r="G417" s="28"/>
      <c r="H417" s="29" t="str">
        <f t="shared" si="20"/>
        <v/>
      </c>
    </row>
    <row r="418" spans="1:8">
      <c r="A418" s="28"/>
      <c r="B418" s="28"/>
      <c r="C418" s="28"/>
      <c r="D418" s="26" t="str">
        <f t="shared" si="18"/>
        <v/>
      </c>
      <c r="E418" s="26" t="str">
        <f t="shared" si="19"/>
        <v/>
      </c>
      <c r="F418" s="28"/>
      <c r="G418" s="28"/>
      <c r="H418" s="29" t="str">
        <f t="shared" si="20"/>
        <v/>
      </c>
    </row>
    <row r="419" spans="1:8">
      <c r="A419" s="28"/>
      <c r="B419" s="28"/>
      <c r="C419" s="28"/>
      <c r="D419" s="26" t="str">
        <f t="shared" si="18"/>
        <v/>
      </c>
      <c r="E419" s="26" t="str">
        <f t="shared" si="19"/>
        <v/>
      </c>
      <c r="F419" s="28"/>
      <c r="G419" s="28"/>
      <c r="H419" s="29" t="str">
        <f t="shared" si="20"/>
        <v/>
      </c>
    </row>
    <row r="420" spans="1:8">
      <c r="A420" s="28"/>
      <c r="B420" s="28"/>
      <c r="C420" s="28"/>
      <c r="D420" s="26" t="str">
        <f t="shared" si="18"/>
        <v/>
      </c>
      <c r="E420" s="26" t="str">
        <f t="shared" si="19"/>
        <v/>
      </c>
      <c r="F420" s="28"/>
      <c r="G420" s="28"/>
      <c r="H420" s="29" t="str">
        <f t="shared" si="20"/>
        <v/>
      </c>
    </row>
    <row r="421" spans="1:8">
      <c r="A421" s="28"/>
      <c r="B421" s="28"/>
      <c r="C421" s="28"/>
      <c r="D421" s="26" t="str">
        <f t="shared" si="18"/>
        <v/>
      </c>
      <c r="E421" s="26" t="str">
        <f t="shared" si="19"/>
        <v/>
      </c>
      <c r="F421" s="28"/>
      <c r="G421" s="28"/>
      <c r="H421" s="29" t="str">
        <f t="shared" si="20"/>
        <v/>
      </c>
    </row>
    <row r="422" spans="1:8">
      <c r="A422" s="28"/>
      <c r="B422" s="28"/>
      <c r="C422" s="28"/>
      <c r="D422" s="26" t="str">
        <f t="shared" si="18"/>
        <v/>
      </c>
      <c r="E422" s="26" t="str">
        <f t="shared" si="19"/>
        <v/>
      </c>
      <c r="F422" s="28"/>
      <c r="G422" s="28"/>
      <c r="H422" s="29" t="str">
        <f t="shared" si="20"/>
        <v/>
      </c>
    </row>
    <row r="423" spans="1:8">
      <c r="A423" s="28"/>
      <c r="B423" s="28"/>
      <c r="C423" s="28"/>
      <c r="D423" s="26" t="str">
        <f t="shared" si="18"/>
        <v/>
      </c>
      <c r="E423" s="26" t="str">
        <f t="shared" si="19"/>
        <v/>
      </c>
      <c r="F423" s="28"/>
      <c r="G423" s="28"/>
      <c r="H423" s="29" t="str">
        <f t="shared" si="20"/>
        <v/>
      </c>
    </row>
    <row r="424" spans="1:8">
      <c r="A424" s="28"/>
      <c r="B424" s="28"/>
      <c r="C424" s="28"/>
      <c r="D424" s="26" t="str">
        <f t="shared" si="18"/>
        <v/>
      </c>
      <c r="E424" s="26" t="str">
        <f t="shared" si="19"/>
        <v/>
      </c>
      <c r="F424" s="28"/>
      <c r="G424" s="28"/>
      <c r="H424" s="29" t="str">
        <f t="shared" si="20"/>
        <v/>
      </c>
    </row>
    <row r="425" spans="1:8">
      <c r="A425" s="28"/>
      <c r="B425" s="28"/>
      <c r="C425" s="28"/>
      <c r="D425" s="26" t="str">
        <f t="shared" si="18"/>
        <v/>
      </c>
      <c r="E425" s="26" t="str">
        <f t="shared" si="19"/>
        <v/>
      </c>
      <c r="F425" s="28"/>
      <c r="G425" s="28"/>
      <c r="H425" s="29" t="str">
        <f t="shared" si="20"/>
        <v/>
      </c>
    </row>
    <row r="426" spans="1:8">
      <c r="A426" s="28"/>
      <c r="B426" s="28"/>
      <c r="C426" s="28"/>
      <c r="D426" s="26" t="str">
        <f t="shared" si="18"/>
        <v/>
      </c>
      <c r="E426" s="26" t="str">
        <f t="shared" si="19"/>
        <v/>
      </c>
      <c r="F426" s="28"/>
      <c r="G426" s="28"/>
      <c r="H426" s="29" t="str">
        <f t="shared" si="20"/>
        <v/>
      </c>
    </row>
    <row r="427" spans="1:8">
      <c r="A427" s="28"/>
      <c r="B427" s="28"/>
      <c r="C427" s="28"/>
      <c r="D427" s="26" t="str">
        <f t="shared" si="18"/>
        <v/>
      </c>
      <c r="E427" s="26" t="str">
        <f t="shared" si="19"/>
        <v/>
      </c>
      <c r="F427" s="28"/>
      <c r="G427" s="28"/>
      <c r="H427" s="29" t="str">
        <f t="shared" si="20"/>
        <v/>
      </c>
    </row>
    <row r="428" spans="1:8">
      <c r="A428" s="28"/>
      <c r="B428" s="28"/>
      <c r="C428" s="28"/>
      <c r="D428" s="26" t="str">
        <f t="shared" si="18"/>
        <v/>
      </c>
      <c r="E428" s="26" t="str">
        <f t="shared" si="19"/>
        <v/>
      </c>
      <c r="F428" s="28"/>
      <c r="G428" s="28"/>
      <c r="H428" s="29" t="str">
        <f t="shared" si="20"/>
        <v/>
      </c>
    </row>
    <row r="429" spans="1:8">
      <c r="A429" s="28"/>
      <c r="B429" s="28"/>
      <c r="C429" s="28"/>
      <c r="D429" s="26" t="str">
        <f t="shared" si="18"/>
        <v/>
      </c>
      <c r="E429" s="26" t="str">
        <f t="shared" si="19"/>
        <v/>
      </c>
      <c r="F429" s="28"/>
      <c r="G429" s="28"/>
      <c r="H429" s="29" t="str">
        <f t="shared" si="20"/>
        <v/>
      </c>
    </row>
    <row r="430" spans="1:8">
      <c r="A430" s="28"/>
      <c r="B430" s="28"/>
      <c r="C430" s="28"/>
      <c r="D430" s="26" t="str">
        <f t="shared" si="18"/>
        <v/>
      </c>
      <c r="E430" s="26" t="str">
        <f t="shared" si="19"/>
        <v/>
      </c>
      <c r="F430" s="28"/>
      <c r="G430" s="28"/>
      <c r="H430" s="29" t="str">
        <f t="shared" si="20"/>
        <v/>
      </c>
    </row>
    <row r="431" spans="1:8">
      <c r="A431" s="28"/>
      <c r="B431" s="28"/>
      <c r="C431" s="28"/>
      <c r="D431" s="26" t="str">
        <f t="shared" si="18"/>
        <v/>
      </c>
      <c r="E431" s="26" t="str">
        <f t="shared" si="19"/>
        <v/>
      </c>
      <c r="F431" s="28"/>
      <c r="G431" s="28"/>
      <c r="H431" s="29" t="str">
        <f t="shared" si="20"/>
        <v/>
      </c>
    </row>
    <row r="432" spans="1:8">
      <c r="A432" s="28"/>
      <c r="B432" s="28"/>
      <c r="C432" s="28"/>
      <c r="D432" s="26" t="str">
        <f t="shared" si="18"/>
        <v/>
      </c>
      <c r="E432" s="26" t="str">
        <f t="shared" si="19"/>
        <v/>
      </c>
      <c r="F432" s="28"/>
      <c r="G432" s="28"/>
      <c r="H432" s="29" t="str">
        <f t="shared" si="20"/>
        <v/>
      </c>
    </row>
    <row r="433" spans="1:8">
      <c r="A433" s="28"/>
      <c r="B433" s="28"/>
      <c r="C433" s="28"/>
      <c r="D433" s="26" t="str">
        <f t="shared" si="18"/>
        <v/>
      </c>
      <c r="E433" s="26" t="str">
        <f t="shared" si="19"/>
        <v/>
      </c>
      <c r="F433" s="28"/>
      <c r="G433" s="28"/>
      <c r="H433" s="29" t="str">
        <f t="shared" si="20"/>
        <v/>
      </c>
    </row>
    <row r="434" spans="1:8">
      <c r="A434" s="28"/>
      <c r="B434" s="28"/>
      <c r="C434" s="28"/>
      <c r="D434" s="26" t="str">
        <f t="shared" si="18"/>
        <v/>
      </c>
      <c r="E434" s="26" t="str">
        <f t="shared" si="19"/>
        <v/>
      </c>
      <c r="F434" s="28"/>
      <c r="G434" s="28"/>
      <c r="H434" s="29" t="str">
        <f t="shared" si="20"/>
        <v/>
      </c>
    </row>
    <row r="435" spans="1:8">
      <c r="A435" s="28"/>
      <c r="B435" s="28"/>
      <c r="C435" s="28"/>
      <c r="D435" s="26" t="str">
        <f t="shared" si="18"/>
        <v/>
      </c>
      <c r="E435" s="26" t="str">
        <f t="shared" si="19"/>
        <v/>
      </c>
      <c r="F435" s="28"/>
      <c r="G435" s="28"/>
      <c r="H435" s="29" t="str">
        <f t="shared" si="20"/>
        <v/>
      </c>
    </row>
    <row r="436" spans="1:8">
      <c r="A436" s="28"/>
      <c r="B436" s="28"/>
      <c r="C436" s="28"/>
      <c r="D436" s="26" t="str">
        <f t="shared" si="18"/>
        <v/>
      </c>
      <c r="E436" s="26" t="str">
        <f t="shared" si="19"/>
        <v/>
      </c>
      <c r="F436" s="28"/>
      <c r="G436" s="28"/>
      <c r="H436" s="29" t="str">
        <f t="shared" si="20"/>
        <v/>
      </c>
    </row>
    <row r="437" spans="1:8">
      <c r="A437" s="28"/>
      <c r="B437" s="28"/>
      <c r="C437" s="28"/>
      <c r="D437" s="26" t="str">
        <f t="shared" si="18"/>
        <v/>
      </c>
      <c r="E437" s="26" t="str">
        <f t="shared" si="19"/>
        <v/>
      </c>
      <c r="F437" s="28"/>
      <c r="G437" s="28"/>
      <c r="H437" s="29" t="str">
        <f t="shared" si="20"/>
        <v/>
      </c>
    </row>
    <row r="438" spans="1:8">
      <c r="A438" s="28"/>
      <c r="B438" s="28"/>
      <c r="C438" s="28"/>
      <c r="D438" s="26" t="str">
        <f t="shared" si="18"/>
        <v/>
      </c>
      <c r="E438" s="26" t="str">
        <f t="shared" si="19"/>
        <v/>
      </c>
      <c r="F438" s="28"/>
      <c r="G438" s="28"/>
      <c r="H438" s="29" t="str">
        <f t="shared" si="20"/>
        <v/>
      </c>
    </row>
    <row r="439" spans="1:8">
      <c r="A439" s="28"/>
      <c r="B439" s="28"/>
      <c r="C439" s="28"/>
      <c r="D439" s="26" t="str">
        <f t="shared" si="18"/>
        <v/>
      </c>
      <c r="E439" s="26" t="str">
        <f t="shared" si="19"/>
        <v/>
      </c>
      <c r="F439" s="28"/>
      <c r="G439" s="28"/>
      <c r="H439" s="29" t="str">
        <f t="shared" si="20"/>
        <v/>
      </c>
    </row>
    <row r="440" spans="1:8">
      <c r="A440" s="28"/>
      <c r="B440" s="28"/>
      <c r="C440" s="28"/>
      <c r="D440" s="26" t="str">
        <f t="shared" si="18"/>
        <v/>
      </c>
      <c r="E440" s="26" t="str">
        <f t="shared" si="19"/>
        <v/>
      </c>
      <c r="F440" s="28"/>
      <c r="G440" s="28"/>
      <c r="H440" s="29" t="str">
        <f t="shared" si="20"/>
        <v/>
      </c>
    </row>
    <row r="441" spans="1:8">
      <c r="A441" s="28"/>
      <c r="B441" s="28"/>
      <c r="C441" s="28"/>
      <c r="D441" s="26" t="str">
        <f t="shared" si="18"/>
        <v/>
      </c>
      <c r="E441" s="26" t="str">
        <f t="shared" si="19"/>
        <v/>
      </c>
      <c r="F441" s="28"/>
      <c r="G441" s="28"/>
      <c r="H441" s="29" t="str">
        <f t="shared" si="20"/>
        <v/>
      </c>
    </row>
    <row r="442" spans="1:8">
      <c r="A442" s="28"/>
      <c r="B442" s="28"/>
      <c r="C442" s="28"/>
      <c r="D442" s="26" t="str">
        <f t="shared" si="18"/>
        <v/>
      </c>
      <c r="E442" s="26" t="str">
        <f t="shared" si="19"/>
        <v/>
      </c>
      <c r="F442" s="28"/>
      <c r="G442" s="28"/>
      <c r="H442" s="29" t="str">
        <f t="shared" si="20"/>
        <v/>
      </c>
    </row>
    <row r="443" spans="1:8">
      <c r="A443" s="28"/>
      <c r="B443" s="28"/>
      <c r="C443" s="28"/>
      <c r="D443" s="26" t="str">
        <f t="shared" si="18"/>
        <v/>
      </c>
      <c r="E443" s="26" t="str">
        <f t="shared" si="19"/>
        <v/>
      </c>
      <c r="F443" s="28"/>
      <c r="G443" s="28"/>
      <c r="H443" s="29" t="str">
        <f t="shared" si="20"/>
        <v/>
      </c>
    </row>
    <row r="444" spans="1:8">
      <c r="A444" s="28"/>
      <c r="B444" s="28"/>
      <c r="C444" s="28"/>
      <c r="D444" s="26" t="str">
        <f t="shared" si="18"/>
        <v/>
      </c>
      <c r="E444" s="26" t="str">
        <f t="shared" si="19"/>
        <v/>
      </c>
      <c r="F444" s="28"/>
      <c r="G444" s="28"/>
      <c r="H444" s="29" t="str">
        <f t="shared" si="20"/>
        <v/>
      </c>
    </row>
    <row r="445" spans="1:8">
      <c r="A445" s="28"/>
      <c r="B445" s="28"/>
      <c r="C445" s="28"/>
      <c r="D445" s="26" t="str">
        <f t="shared" si="18"/>
        <v/>
      </c>
      <c r="E445" s="26" t="str">
        <f t="shared" si="19"/>
        <v/>
      </c>
      <c r="F445" s="28"/>
      <c r="G445" s="28"/>
      <c r="H445" s="29" t="str">
        <f t="shared" si="20"/>
        <v/>
      </c>
    </row>
    <row r="446" spans="1:8">
      <c r="A446" s="28"/>
      <c r="B446" s="28"/>
      <c r="C446" s="28"/>
      <c r="D446" s="26" t="str">
        <f t="shared" si="18"/>
        <v/>
      </c>
      <c r="E446" s="26" t="str">
        <f t="shared" si="19"/>
        <v/>
      </c>
      <c r="F446" s="28"/>
      <c r="G446" s="28"/>
      <c r="H446" s="29" t="str">
        <f t="shared" si="20"/>
        <v/>
      </c>
    </row>
    <row r="447" spans="1:8">
      <c r="A447" s="28"/>
      <c r="B447" s="28"/>
      <c r="C447" s="28"/>
      <c r="D447" s="26" t="str">
        <f t="shared" si="18"/>
        <v/>
      </c>
      <c r="E447" s="26" t="str">
        <f t="shared" si="19"/>
        <v/>
      </c>
      <c r="F447" s="28"/>
      <c r="G447" s="28"/>
      <c r="H447" s="29" t="str">
        <f t="shared" si="20"/>
        <v/>
      </c>
    </row>
    <row r="448" spans="1:8">
      <c r="A448" s="28"/>
      <c r="B448" s="28"/>
      <c r="C448" s="28"/>
      <c r="D448" s="26" t="str">
        <f t="shared" si="18"/>
        <v/>
      </c>
      <c r="E448" s="26" t="str">
        <f t="shared" si="19"/>
        <v/>
      </c>
      <c r="F448" s="28"/>
      <c r="G448" s="28"/>
      <c r="H448" s="29" t="str">
        <f t="shared" si="20"/>
        <v/>
      </c>
    </row>
    <row r="449" spans="1:8">
      <c r="A449" s="28"/>
      <c r="B449" s="28"/>
      <c r="C449" s="28"/>
      <c r="D449" s="26" t="str">
        <f t="shared" si="18"/>
        <v/>
      </c>
      <c r="E449" s="26" t="str">
        <f t="shared" si="19"/>
        <v/>
      </c>
      <c r="F449" s="28"/>
      <c r="G449" s="28"/>
      <c r="H449" s="29" t="str">
        <f t="shared" si="20"/>
        <v/>
      </c>
    </row>
    <row r="450" spans="1:8">
      <c r="A450" s="28"/>
      <c r="B450" s="28"/>
      <c r="C450" s="28"/>
      <c r="D450" s="26" t="str">
        <f t="shared" ref="D450:D513" si="21">IF(OR(B450="",C450=""),"",C450-B450)</f>
        <v/>
      </c>
      <c r="E450" s="26" t="str">
        <f t="shared" ref="E450:E513" si="22">IF(OR(B450="",C450=""),"",(B450+C450)/2)</f>
        <v/>
      </c>
      <c r="F450" s="28"/>
      <c r="G450" s="28"/>
      <c r="H450" s="29" t="str">
        <f t="shared" ref="H450:H513" si="23">IF(OR(F450="",G450=""),"",G450-F450)</f>
        <v/>
      </c>
    </row>
    <row r="451" spans="1:8">
      <c r="A451" s="28"/>
      <c r="B451" s="28"/>
      <c r="C451" s="28"/>
      <c r="D451" s="26" t="str">
        <f t="shared" si="21"/>
        <v/>
      </c>
      <c r="E451" s="26" t="str">
        <f t="shared" si="22"/>
        <v/>
      </c>
      <c r="F451" s="28"/>
      <c r="G451" s="28"/>
      <c r="H451" s="29" t="str">
        <f t="shared" si="23"/>
        <v/>
      </c>
    </row>
    <row r="452" spans="1:8">
      <c r="A452" s="28"/>
      <c r="B452" s="28"/>
      <c r="C452" s="28"/>
      <c r="D452" s="26" t="str">
        <f t="shared" si="21"/>
        <v/>
      </c>
      <c r="E452" s="26" t="str">
        <f t="shared" si="22"/>
        <v/>
      </c>
      <c r="F452" s="28"/>
      <c r="G452" s="28"/>
      <c r="H452" s="29" t="str">
        <f t="shared" si="23"/>
        <v/>
      </c>
    </row>
    <row r="453" spans="1:8">
      <c r="A453" s="28"/>
      <c r="B453" s="28"/>
      <c r="C453" s="28"/>
      <c r="D453" s="26" t="str">
        <f t="shared" si="21"/>
        <v/>
      </c>
      <c r="E453" s="26" t="str">
        <f t="shared" si="22"/>
        <v/>
      </c>
      <c r="F453" s="28"/>
      <c r="G453" s="28"/>
      <c r="H453" s="29" t="str">
        <f t="shared" si="23"/>
        <v/>
      </c>
    </row>
    <row r="454" spans="1:8">
      <c r="A454" s="28"/>
      <c r="B454" s="28"/>
      <c r="C454" s="28"/>
      <c r="D454" s="26" t="str">
        <f t="shared" si="21"/>
        <v/>
      </c>
      <c r="E454" s="26" t="str">
        <f t="shared" si="22"/>
        <v/>
      </c>
      <c r="F454" s="28"/>
      <c r="G454" s="28"/>
      <c r="H454" s="29" t="str">
        <f t="shared" si="23"/>
        <v/>
      </c>
    </row>
    <row r="455" spans="1:8">
      <c r="A455" s="28"/>
      <c r="B455" s="28"/>
      <c r="C455" s="28"/>
      <c r="D455" s="26" t="str">
        <f t="shared" si="21"/>
        <v/>
      </c>
      <c r="E455" s="26" t="str">
        <f t="shared" si="22"/>
        <v/>
      </c>
      <c r="F455" s="28"/>
      <c r="G455" s="28"/>
      <c r="H455" s="29" t="str">
        <f t="shared" si="23"/>
        <v/>
      </c>
    </row>
    <row r="456" spans="1:8">
      <c r="A456" s="28"/>
      <c r="B456" s="28"/>
      <c r="C456" s="28"/>
      <c r="D456" s="26" t="str">
        <f t="shared" si="21"/>
        <v/>
      </c>
      <c r="E456" s="26" t="str">
        <f t="shared" si="22"/>
        <v/>
      </c>
      <c r="F456" s="28"/>
      <c r="G456" s="28"/>
      <c r="H456" s="29" t="str">
        <f t="shared" si="23"/>
        <v/>
      </c>
    </row>
    <row r="457" spans="1:8">
      <c r="A457" s="28"/>
      <c r="B457" s="28"/>
      <c r="C457" s="28"/>
      <c r="D457" s="26" t="str">
        <f t="shared" si="21"/>
        <v/>
      </c>
      <c r="E457" s="26" t="str">
        <f t="shared" si="22"/>
        <v/>
      </c>
      <c r="F457" s="28"/>
      <c r="G457" s="28"/>
      <c r="H457" s="29" t="str">
        <f t="shared" si="23"/>
        <v/>
      </c>
    </row>
    <row r="458" spans="1:8">
      <c r="A458" s="28"/>
      <c r="B458" s="28"/>
      <c r="C458" s="28"/>
      <c r="D458" s="26" t="str">
        <f t="shared" si="21"/>
        <v/>
      </c>
      <c r="E458" s="26" t="str">
        <f t="shared" si="22"/>
        <v/>
      </c>
      <c r="F458" s="28"/>
      <c r="G458" s="28"/>
      <c r="H458" s="29" t="str">
        <f t="shared" si="23"/>
        <v/>
      </c>
    </row>
    <row r="459" spans="1:8">
      <c r="A459" s="28"/>
      <c r="B459" s="28"/>
      <c r="C459" s="28"/>
      <c r="D459" s="26" t="str">
        <f t="shared" si="21"/>
        <v/>
      </c>
      <c r="E459" s="26" t="str">
        <f t="shared" si="22"/>
        <v/>
      </c>
      <c r="F459" s="28"/>
      <c r="G459" s="28"/>
      <c r="H459" s="29" t="str">
        <f t="shared" si="23"/>
        <v/>
      </c>
    </row>
    <row r="460" spans="1:8">
      <c r="A460" s="28"/>
      <c r="B460" s="28"/>
      <c r="C460" s="28"/>
      <c r="D460" s="26" t="str">
        <f t="shared" si="21"/>
        <v/>
      </c>
      <c r="E460" s="26" t="str">
        <f t="shared" si="22"/>
        <v/>
      </c>
      <c r="F460" s="28"/>
      <c r="G460" s="28"/>
      <c r="H460" s="29" t="str">
        <f t="shared" si="23"/>
        <v/>
      </c>
    </row>
    <row r="461" spans="1:8">
      <c r="A461" s="28"/>
      <c r="B461" s="28"/>
      <c r="C461" s="28"/>
      <c r="D461" s="26" t="str">
        <f t="shared" si="21"/>
        <v/>
      </c>
      <c r="E461" s="26" t="str">
        <f t="shared" si="22"/>
        <v/>
      </c>
      <c r="F461" s="28"/>
      <c r="G461" s="28"/>
      <c r="H461" s="29" t="str">
        <f t="shared" si="23"/>
        <v/>
      </c>
    </row>
    <row r="462" spans="1:8">
      <c r="A462" s="28"/>
      <c r="B462" s="28"/>
      <c r="C462" s="28"/>
      <c r="D462" s="26" t="str">
        <f t="shared" si="21"/>
        <v/>
      </c>
      <c r="E462" s="26" t="str">
        <f t="shared" si="22"/>
        <v/>
      </c>
      <c r="F462" s="28"/>
      <c r="G462" s="28"/>
      <c r="H462" s="29" t="str">
        <f t="shared" si="23"/>
        <v/>
      </c>
    </row>
    <row r="463" spans="1:8">
      <c r="A463" s="28"/>
      <c r="B463" s="28"/>
      <c r="C463" s="28"/>
      <c r="D463" s="26" t="str">
        <f t="shared" si="21"/>
        <v/>
      </c>
      <c r="E463" s="26" t="str">
        <f t="shared" si="22"/>
        <v/>
      </c>
      <c r="F463" s="28"/>
      <c r="G463" s="28"/>
      <c r="H463" s="29" t="str">
        <f t="shared" si="23"/>
        <v/>
      </c>
    </row>
    <row r="464" spans="1:8">
      <c r="A464" s="28"/>
      <c r="B464" s="28"/>
      <c r="C464" s="28"/>
      <c r="D464" s="26" t="str">
        <f t="shared" si="21"/>
        <v/>
      </c>
      <c r="E464" s="26" t="str">
        <f t="shared" si="22"/>
        <v/>
      </c>
      <c r="F464" s="28"/>
      <c r="G464" s="28"/>
      <c r="H464" s="29" t="str">
        <f t="shared" si="23"/>
        <v/>
      </c>
    </row>
    <row r="465" spans="1:8">
      <c r="A465" s="28"/>
      <c r="B465" s="28"/>
      <c r="C465" s="28"/>
      <c r="D465" s="26" t="str">
        <f t="shared" si="21"/>
        <v/>
      </c>
      <c r="E465" s="26" t="str">
        <f t="shared" si="22"/>
        <v/>
      </c>
      <c r="F465" s="28"/>
      <c r="G465" s="28"/>
      <c r="H465" s="29" t="str">
        <f t="shared" si="23"/>
        <v/>
      </c>
    </row>
    <row r="466" spans="1:8">
      <c r="A466" s="28"/>
      <c r="B466" s="28"/>
      <c r="C466" s="28"/>
      <c r="D466" s="26" t="str">
        <f t="shared" si="21"/>
        <v/>
      </c>
      <c r="E466" s="26" t="str">
        <f t="shared" si="22"/>
        <v/>
      </c>
      <c r="F466" s="28"/>
      <c r="G466" s="28"/>
      <c r="H466" s="29" t="str">
        <f t="shared" si="23"/>
        <v/>
      </c>
    </row>
    <row r="467" spans="1:8">
      <c r="A467" s="28"/>
      <c r="B467" s="28"/>
      <c r="C467" s="28"/>
      <c r="D467" s="26" t="str">
        <f t="shared" si="21"/>
        <v/>
      </c>
      <c r="E467" s="26" t="str">
        <f t="shared" si="22"/>
        <v/>
      </c>
      <c r="F467" s="28"/>
      <c r="G467" s="28"/>
      <c r="H467" s="29" t="str">
        <f t="shared" si="23"/>
        <v/>
      </c>
    </row>
    <row r="468" spans="1:8">
      <c r="A468" s="28"/>
      <c r="B468" s="28"/>
      <c r="C468" s="28"/>
      <c r="D468" s="26" t="str">
        <f t="shared" si="21"/>
        <v/>
      </c>
      <c r="E468" s="26" t="str">
        <f t="shared" si="22"/>
        <v/>
      </c>
      <c r="F468" s="28"/>
      <c r="G468" s="28"/>
      <c r="H468" s="29" t="str">
        <f t="shared" si="23"/>
        <v/>
      </c>
    </row>
    <row r="469" spans="1:8">
      <c r="A469" s="28"/>
      <c r="B469" s="28"/>
      <c r="C469" s="28"/>
      <c r="D469" s="26" t="str">
        <f t="shared" si="21"/>
        <v/>
      </c>
      <c r="E469" s="26" t="str">
        <f t="shared" si="22"/>
        <v/>
      </c>
      <c r="F469" s="28"/>
      <c r="G469" s="28"/>
      <c r="H469" s="29" t="str">
        <f t="shared" si="23"/>
        <v/>
      </c>
    </row>
    <row r="470" spans="1:8">
      <c r="A470" s="28"/>
      <c r="B470" s="28"/>
      <c r="C470" s="28"/>
      <c r="D470" s="26" t="str">
        <f t="shared" si="21"/>
        <v/>
      </c>
      <c r="E470" s="26" t="str">
        <f t="shared" si="22"/>
        <v/>
      </c>
      <c r="F470" s="28"/>
      <c r="G470" s="28"/>
      <c r="H470" s="29" t="str">
        <f t="shared" si="23"/>
        <v/>
      </c>
    </row>
    <row r="471" spans="1:8">
      <c r="A471" s="28"/>
      <c r="B471" s="28"/>
      <c r="C471" s="28"/>
      <c r="D471" s="26" t="str">
        <f t="shared" si="21"/>
        <v/>
      </c>
      <c r="E471" s="26" t="str">
        <f t="shared" si="22"/>
        <v/>
      </c>
      <c r="F471" s="28"/>
      <c r="G471" s="28"/>
      <c r="H471" s="29" t="str">
        <f t="shared" si="23"/>
        <v/>
      </c>
    </row>
    <row r="472" spans="1:8">
      <c r="A472" s="28"/>
      <c r="B472" s="28"/>
      <c r="C472" s="28"/>
      <c r="D472" s="26" t="str">
        <f t="shared" si="21"/>
        <v/>
      </c>
      <c r="E472" s="26" t="str">
        <f t="shared" si="22"/>
        <v/>
      </c>
      <c r="F472" s="28"/>
      <c r="G472" s="28"/>
      <c r="H472" s="29" t="str">
        <f t="shared" si="23"/>
        <v/>
      </c>
    </row>
    <row r="473" spans="1:8">
      <c r="A473" s="28"/>
      <c r="B473" s="28"/>
      <c r="C473" s="28"/>
      <c r="D473" s="26" t="str">
        <f t="shared" si="21"/>
        <v/>
      </c>
      <c r="E473" s="26" t="str">
        <f t="shared" si="22"/>
        <v/>
      </c>
      <c r="F473" s="28"/>
      <c r="G473" s="28"/>
      <c r="H473" s="29" t="str">
        <f t="shared" si="23"/>
        <v/>
      </c>
    </row>
    <row r="474" spans="1:8">
      <c r="A474" s="28"/>
      <c r="B474" s="28"/>
      <c r="C474" s="28"/>
      <c r="D474" s="26" t="str">
        <f t="shared" si="21"/>
        <v/>
      </c>
      <c r="E474" s="26" t="str">
        <f t="shared" si="22"/>
        <v/>
      </c>
      <c r="F474" s="28"/>
      <c r="G474" s="28"/>
      <c r="H474" s="29" t="str">
        <f t="shared" si="23"/>
        <v/>
      </c>
    </row>
    <row r="475" spans="1:8">
      <c r="A475" s="28"/>
      <c r="B475" s="28"/>
      <c r="C475" s="28"/>
      <c r="D475" s="26" t="str">
        <f t="shared" si="21"/>
        <v/>
      </c>
      <c r="E475" s="26" t="str">
        <f t="shared" si="22"/>
        <v/>
      </c>
      <c r="F475" s="28"/>
      <c r="G475" s="28"/>
      <c r="H475" s="29" t="str">
        <f t="shared" si="23"/>
        <v/>
      </c>
    </row>
    <row r="476" spans="1:8">
      <c r="A476" s="28"/>
      <c r="B476" s="28"/>
      <c r="C476" s="28"/>
      <c r="D476" s="26" t="str">
        <f t="shared" si="21"/>
        <v/>
      </c>
      <c r="E476" s="26" t="str">
        <f t="shared" si="22"/>
        <v/>
      </c>
      <c r="F476" s="28"/>
      <c r="G476" s="28"/>
      <c r="H476" s="29" t="str">
        <f t="shared" si="23"/>
        <v/>
      </c>
    </row>
    <row r="477" spans="1:8">
      <c r="A477" s="28"/>
      <c r="B477" s="28"/>
      <c r="C477" s="28"/>
      <c r="D477" s="26" t="str">
        <f t="shared" si="21"/>
        <v/>
      </c>
      <c r="E477" s="26" t="str">
        <f t="shared" si="22"/>
        <v/>
      </c>
      <c r="F477" s="28"/>
      <c r="G477" s="28"/>
      <c r="H477" s="29" t="str">
        <f t="shared" si="23"/>
        <v/>
      </c>
    </row>
    <row r="478" spans="1:8">
      <c r="A478" s="28"/>
      <c r="B478" s="28"/>
      <c r="C478" s="28"/>
      <c r="D478" s="26" t="str">
        <f t="shared" si="21"/>
        <v/>
      </c>
      <c r="E478" s="26" t="str">
        <f t="shared" si="22"/>
        <v/>
      </c>
      <c r="F478" s="28"/>
      <c r="G478" s="28"/>
      <c r="H478" s="29" t="str">
        <f t="shared" si="23"/>
        <v/>
      </c>
    </row>
    <row r="479" spans="1:8">
      <c r="A479" s="28"/>
      <c r="B479" s="28"/>
      <c r="C479" s="28"/>
      <c r="D479" s="26" t="str">
        <f t="shared" si="21"/>
        <v/>
      </c>
      <c r="E479" s="26" t="str">
        <f t="shared" si="22"/>
        <v/>
      </c>
      <c r="F479" s="28"/>
      <c r="G479" s="28"/>
      <c r="H479" s="29" t="str">
        <f t="shared" si="23"/>
        <v/>
      </c>
    </row>
    <row r="480" spans="1:8">
      <c r="A480" s="28"/>
      <c r="B480" s="28"/>
      <c r="C480" s="28"/>
      <c r="D480" s="26" t="str">
        <f t="shared" si="21"/>
        <v/>
      </c>
      <c r="E480" s="26" t="str">
        <f t="shared" si="22"/>
        <v/>
      </c>
      <c r="F480" s="28"/>
      <c r="G480" s="28"/>
      <c r="H480" s="29" t="str">
        <f t="shared" si="23"/>
        <v/>
      </c>
    </row>
    <row r="481" spans="1:8">
      <c r="A481" s="28"/>
      <c r="B481" s="28"/>
      <c r="C481" s="28"/>
      <c r="D481" s="26" t="str">
        <f t="shared" si="21"/>
        <v/>
      </c>
      <c r="E481" s="26" t="str">
        <f t="shared" si="22"/>
        <v/>
      </c>
      <c r="F481" s="28"/>
      <c r="G481" s="28"/>
      <c r="H481" s="29" t="str">
        <f t="shared" si="23"/>
        <v/>
      </c>
    </row>
    <row r="482" spans="1:8">
      <c r="A482" s="28"/>
      <c r="B482" s="28"/>
      <c r="C482" s="28"/>
      <c r="D482" s="26" t="str">
        <f t="shared" si="21"/>
        <v/>
      </c>
      <c r="E482" s="26" t="str">
        <f t="shared" si="22"/>
        <v/>
      </c>
      <c r="F482" s="28"/>
      <c r="G482" s="28"/>
      <c r="H482" s="29" t="str">
        <f t="shared" si="23"/>
        <v/>
      </c>
    </row>
    <row r="483" spans="1:8">
      <c r="A483" s="28"/>
      <c r="B483" s="28"/>
      <c r="C483" s="28"/>
      <c r="D483" s="26" t="str">
        <f t="shared" si="21"/>
        <v/>
      </c>
      <c r="E483" s="26" t="str">
        <f t="shared" si="22"/>
        <v/>
      </c>
      <c r="F483" s="28"/>
      <c r="G483" s="28"/>
      <c r="H483" s="29" t="str">
        <f t="shared" si="23"/>
        <v/>
      </c>
    </row>
    <row r="484" spans="1:8">
      <c r="A484" s="28"/>
      <c r="B484" s="28"/>
      <c r="C484" s="28"/>
      <c r="D484" s="26" t="str">
        <f t="shared" si="21"/>
        <v/>
      </c>
      <c r="E484" s="26" t="str">
        <f t="shared" si="22"/>
        <v/>
      </c>
      <c r="F484" s="28"/>
      <c r="G484" s="28"/>
      <c r="H484" s="29" t="str">
        <f t="shared" si="23"/>
        <v/>
      </c>
    </row>
    <row r="485" spans="1:8">
      <c r="A485" s="28"/>
      <c r="B485" s="28"/>
      <c r="C485" s="28"/>
      <c r="D485" s="26" t="str">
        <f t="shared" si="21"/>
        <v/>
      </c>
      <c r="E485" s="26" t="str">
        <f t="shared" si="22"/>
        <v/>
      </c>
      <c r="F485" s="28"/>
      <c r="G485" s="28"/>
      <c r="H485" s="29" t="str">
        <f t="shared" si="23"/>
        <v/>
      </c>
    </row>
    <row r="486" spans="1:8">
      <c r="A486" s="28"/>
      <c r="B486" s="28"/>
      <c r="C486" s="28"/>
      <c r="D486" s="26" t="str">
        <f t="shared" si="21"/>
        <v/>
      </c>
      <c r="E486" s="26" t="str">
        <f t="shared" si="22"/>
        <v/>
      </c>
      <c r="F486" s="28"/>
      <c r="G486" s="28"/>
      <c r="H486" s="29" t="str">
        <f t="shared" si="23"/>
        <v/>
      </c>
    </row>
    <row r="487" spans="1:8">
      <c r="A487" s="28"/>
      <c r="B487" s="28"/>
      <c r="C487" s="28"/>
      <c r="D487" s="26" t="str">
        <f t="shared" si="21"/>
        <v/>
      </c>
      <c r="E487" s="26" t="str">
        <f t="shared" si="22"/>
        <v/>
      </c>
      <c r="F487" s="28"/>
      <c r="G487" s="28"/>
      <c r="H487" s="29" t="str">
        <f t="shared" si="23"/>
        <v/>
      </c>
    </row>
    <row r="488" spans="1:8">
      <c r="A488" s="28"/>
      <c r="B488" s="28"/>
      <c r="C488" s="28"/>
      <c r="D488" s="26" t="str">
        <f t="shared" si="21"/>
        <v/>
      </c>
      <c r="E488" s="26" t="str">
        <f t="shared" si="22"/>
        <v/>
      </c>
      <c r="F488" s="28"/>
      <c r="G488" s="28"/>
      <c r="H488" s="29" t="str">
        <f t="shared" si="23"/>
        <v/>
      </c>
    </row>
    <row r="489" spans="1:8">
      <c r="A489" s="28"/>
      <c r="B489" s="28"/>
      <c r="C489" s="28"/>
      <c r="D489" s="26" t="str">
        <f t="shared" si="21"/>
        <v/>
      </c>
      <c r="E489" s="26" t="str">
        <f t="shared" si="22"/>
        <v/>
      </c>
      <c r="F489" s="28"/>
      <c r="G489" s="28"/>
      <c r="H489" s="29" t="str">
        <f t="shared" si="23"/>
        <v/>
      </c>
    </row>
    <row r="490" spans="1:8">
      <c r="A490" s="28"/>
      <c r="B490" s="28"/>
      <c r="C490" s="28"/>
      <c r="D490" s="26" t="str">
        <f t="shared" si="21"/>
        <v/>
      </c>
      <c r="E490" s="26" t="str">
        <f t="shared" si="22"/>
        <v/>
      </c>
      <c r="F490" s="28"/>
      <c r="G490" s="28"/>
      <c r="H490" s="29" t="str">
        <f t="shared" si="23"/>
        <v/>
      </c>
    </row>
    <row r="491" spans="1:8">
      <c r="A491" s="28"/>
      <c r="B491" s="28"/>
      <c r="C491" s="28"/>
      <c r="D491" s="26" t="str">
        <f t="shared" si="21"/>
        <v/>
      </c>
      <c r="E491" s="26" t="str">
        <f t="shared" si="22"/>
        <v/>
      </c>
      <c r="F491" s="28"/>
      <c r="G491" s="28"/>
      <c r="H491" s="29" t="str">
        <f t="shared" si="23"/>
        <v/>
      </c>
    </row>
    <row r="492" spans="1:8">
      <c r="A492" s="28"/>
      <c r="B492" s="28"/>
      <c r="C492" s="28"/>
      <c r="D492" s="26" t="str">
        <f t="shared" si="21"/>
        <v/>
      </c>
      <c r="E492" s="26" t="str">
        <f t="shared" si="22"/>
        <v/>
      </c>
      <c r="F492" s="28"/>
      <c r="G492" s="28"/>
      <c r="H492" s="29" t="str">
        <f t="shared" si="23"/>
        <v/>
      </c>
    </row>
    <row r="493" spans="1:8">
      <c r="A493" s="28"/>
      <c r="B493" s="28"/>
      <c r="C493" s="28"/>
      <c r="D493" s="26" t="str">
        <f t="shared" si="21"/>
        <v/>
      </c>
      <c r="E493" s="26" t="str">
        <f t="shared" si="22"/>
        <v/>
      </c>
      <c r="F493" s="28"/>
      <c r="G493" s="28"/>
      <c r="H493" s="29" t="str">
        <f t="shared" si="23"/>
        <v/>
      </c>
    </row>
    <row r="494" spans="1:8">
      <c r="A494" s="28"/>
      <c r="B494" s="28"/>
      <c r="C494" s="28"/>
      <c r="D494" s="26" t="str">
        <f t="shared" si="21"/>
        <v/>
      </c>
      <c r="E494" s="26" t="str">
        <f t="shared" si="22"/>
        <v/>
      </c>
      <c r="F494" s="28"/>
      <c r="G494" s="28"/>
      <c r="H494" s="29" t="str">
        <f t="shared" si="23"/>
        <v/>
      </c>
    </row>
    <row r="495" spans="1:8">
      <c r="A495" s="28"/>
      <c r="B495" s="28"/>
      <c r="C495" s="28"/>
      <c r="D495" s="26" t="str">
        <f t="shared" si="21"/>
        <v/>
      </c>
      <c r="E495" s="26" t="str">
        <f t="shared" si="22"/>
        <v/>
      </c>
      <c r="F495" s="28"/>
      <c r="G495" s="28"/>
      <c r="H495" s="29" t="str">
        <f t="shared" si="23"/>
        <v/>
      </c>
    </row>
    <row r="496" spans="1:8">
      <c r="A496" s="28"/>
      <c r="B496" s="28"/>
      <c r="C496" s="28"/>
      <c r="D496" s="26" t="str">
        <f t="shared" si="21"/>
        <v/>
      </c>
      <c r="E496" s="26" t="str">
        <f t="shared" si="22"/>
        <v/>
      </c>
      <c r="F496" s="28"/>
      <c r="G496" s="28"/>
      <c r="H496" s="29" t="str">
        <f t="shared" si="23"/>
        <v/>
      </c>
    </row>
    <row r="497" spans="1:8">
      <c r="A497" s="28"/>
      <c r="B497" s="28"/>
      <c r="C497" s="28"/>
      <c r="D497" s="26" t="str">
        <f t="shared" si="21"/>
        <v/>
      </c>
      <c r="E497" s="26" t="str">
        <f t="shared" si="22"/>
        <v/>
      </c>
      <c r="F497" s="28"/>
      <c r="G497" s="28"/>
      <c r="H497" s="29" t="str">
        <f t="shared" si="23"/>
        <v/>
      </c>
    </row>
    <row r="498" spans="1:8">
      <c r="A498" s="28"/>
      <c r="B498" s="28"/>
      <c r="C498" s="28"/>
      <c r="D498" s="26" t="str">
        <f t="shared" si="21"/>
        <v/>
      </c>
      <c r="E498" s="26" t="str">
        <f t="shared" si="22"/>
        <v/>
      </c>
      <c r="F498" s="28"/>
      <c r="G498" s="28"/>
      <c r="H498" s="29" t="str">
        <f t="shared" si="23"/>
        <v/>
      </c>
    </row>
    <row r="499" spans="1:8">
      <c r="A499" s="28"/>
      <c r="B499" s="28"/>
      <c r="C499" s="28"/>
      <c r="D499" s="26" t="str">
        <f t="shared" si="21"/>
        <v/>
      </c>
      <c r="E499" s="26" t="str">
        <f t="shared" si="22"/>
        <v/>
      </c>
      <c r="F499" s="28"/>
      <c r="G499" s="28"/>
      <c r="H499" s="29" t="str">
        <f t="shared" si="23"/>
        <v/>
      </c>
    </row>
    <row r="500" spans="1:8">
      <c r="A500" s="28"/>
      <c r="B500" s="28"/>
      <c r="C500" s="28"/>
      <c r="D500" s="26" t="str">
        <f t="shared" si="21"/>
        <v/>
      </c>
      <c r="E500" s="26" t="str">
        <f t="shared" si="22"/>
        <v/>
      </c>
      <c r="F500" s="28"/>
      <c r="G500" s="28"/>
      <c r="H500" s="29" t="str">
        <f t="shared" si="23"/>
        <v/>
      </c>
    </row>
    <row r="501" spans="1:8">
      <c r="A501" s="28"/>
      <c r="B501" s="28"/>
      <c r="C501" s="28"/>
      <c r="D501" s="26" t="str">
        <f t="shared" si="21"/>
        <v/>
      </c>
      <c r="E501" s="26" t="str">
        <f t="shared" si="22"/>
        <v/>
      </c>
      <c r="F501" s="28"/>
      <c r="G501" s="28"/>
      <c r="H501" s="29" t="str">
        <f t="shared" si="23"/>
        <v/>
      </c>
    </row>
    <row r="502" spans="1:8">
      <c r="A502" s="28"/>
      <c r="B502" s="28"/>
      <c r="C502" s="28"/>
      <c r="D502" s="26" t="str">
        <f t="shared" si="21"/>
        <v/>
      </c>
      <c r="E502" s="26" t="str">
        <f t="shared" si="22"/>
        <v/>
      </c>
      <c r="F502" s="28"/>
      <c r="G502" s="28"/>
      <c r="H502" s="29" t="str">
        <f t="shared" si="23"/>
        <v/>
      </c>
    </row>
    <row r="503" spans="1:8">
      <c r="A503" s="28"/>
      <c r="B503" s="28"/>
      <c r="C503" s="28"/>
      <c r="D503" s="26" t="str">
        <f t="shared" si="21"/>
        <v/>
      </c>
      <c r="E503" s="26" t="str">
        <f t="shared" si="22"/>
        <v/>
      </c>
      <c r="F503" s="28"/>
      <c r="G503" s="28"/>
      <c r="H503" s="29" t="str">
        <f t="shared" si="23"/>
        <v/>
      </c>
    </row>
    <row r="504" spans="1:8">
      <c r="A504" s="28"/>
      <c r="B504" s="28"/>
      <c r="C504" s="28"/>
      <c r="D504" s="26" t="str">
        <f t="shared" si="21"/>
        <v/>
      </c>
      <c r="E504" s="26" t="str">
        <f t="shared" si="22"/>
        <v/>
      </c>
      <c r="F504" s="28"/>
      <c r="G504" s="28"/>
      <c r="H504" s="29" t="str">
        <f t="shared" si="23"/>
        <v/>
      </c>
    </row>
    <row r="505" spans="1:8">
      <c r="A505" s="28"/>
      <c r="B505" s="28"/>
      <c r="C505" s="28"/>
      <c r="D505" s="26" t="str">
        <f t="shared" si="21"/>
        <v/>
      </c>
      <c r="E505" s="26" t="str">
        <f t="shared" si="22"/>
        <v/>
      </c>
      <c r="F505" s="28"/>
      <c r="G505" s="28"/>
      <c r="H505" s="29" t="str">
        <f t="shared" si="23"/>
        <v/>
      </c>
    </row>
    <row r="506" spans="1:8">
      <c r="A506" s="28"/>
      <c r="B506" s="28"/>
      <c r="C506" s="28"/>
      <c r="D506" s="26" t="str">
        <f t="shared" si="21"/>
        <v/>
      </c>
      <c r="E506" s="26" t="str">
        <f t="shared" si="22"/>
        <v/>
      </c>
      <c r="F506" s="28"/>
      <c r="G506" s="28"/>
      <c r="H506" s="29" t="str">
        <f t="shared" si="23"/>
        <v/>
      </c>
    </row>
    <row r="507" spans="1:8">
      <c r="A507" s="28"/>
      <c r="B507" s="28"/>
      <c r="C507" s="28"/>
      <c r="D507" s="26" t="str">
        <f t="shared" si="21"/>
        <v/>
      </c>
      <c r="E507" s="26" t="str">
        <f t="shared" si="22"/>
        <v/>
      </c>
      <c r="F507" s="28"/>
      <c r="G507" s="28"/>
      <c r="H507" s="29" t="str">
        <f t="shared" si="23"/>
        <v/>
      </c>
    </row>
    <row r="508" spans="1:8">
      <c r="A508" s="28"/>
      <c r="B508" s="28"/>
      <c r="C508" s="28"/>
      <c r="D508" s="26" t="str">
        <f t="shared" si="21"/>
        <v/>
      </c>
      <c r="E508" s="26" t="str">
        <f t="shared" si="22"/>
        <v/>
      </c>
      <c r="F508" s="28"/>
      <c r="G508" s="28"/>
      <c r="H508" s="29" t="str">
        <f t="shared" si="23"/>
        <v/>
      </c>
    </row>
    <row r="509" spans="1:8">
      <c r="A509" s="28"/>
      <c r="B509" s="28"/>
      <c r="C509" s="28"/>
      <c r="D509" s="26" t="str">
        <f t="shared" si="21"/>
        <v/>
      </c>
      <c r="E509" s="26" t="str">
        <f t="shared" si="22"/>
        <v/>
      </c>
      <c r="F509" s="28"/>
      <c r="G509" s="28"/>
      <c r="H509" s="29" t="str">
        <f t="shared" si="23"/>
        <v/>
      </c>
    </row>
    <row r="510" spans="1:8">
      <c r="A510" s="28"/>
      <c r="B510" s="28"/>
      <c r="C510" s="28"/>
      <c r="D510" s="26" t="str">
        <f t="shared" si="21"/>
        <v/>
      </c>
      <c r="E510" s="26" t="str">
        <f t="shared" si="22"/>
        <v/>
      </c>
      <c r="F510" s="28"/>
      <c r="G510" s="28"/>
      <c r="H510" s="29" t="str">
        <f t="shared" si="23"/>
        <v/>
      </c>
    </row>
    <row r="511" spans="1:8">
      <c r="A511" s="28"/>
      <c r="B511" s="28"/>
      <c r="C511" s="28"/>
      <c r="D511" s="26" t="str">
        <f t="shared" si="21"/>
        <v/>
      </c>
      <c r="E511" s="26" t="str">
        <f t="shared" si="22"/>
        <v/>
      </c>
      <c r="F511" s="28"/>
      <c r="G511" s="28"/>
      <c r="H511" s="29" t="str">
        <f t="shared" si="23"/>
        <v/>
      </c>
    </row>
    <row r="512" spans="1:8">
      <c r="A512" s="28"/>
      <c r="B512" s="28"/>
      <c r="C512" s="28"/>
      <c r="D512" s="26" t="str">
        <f t="shared" si="21"/>
        <v/>
      </c>
      <c r="E512" s="26" t="str">
        <f t="shared" si="22"/>
        <v/>
      </c>
      <c r="F512" s="28"/>
      <c r="G512" s="28"/>
      <c r="H512" s="29" t="str">
        <f t="shared" si="23"/>
        <v/>
      </c>
    </row>
    <row r="513" spans="1:8">
      <c r="A513" s="28"/>
      <c r="B513" s="28"/>
      <c r="C513" s="28"/>
      <c r="D513" s="26" t="str">
        <f t="shared" si="21"/>
        <v/>
      </c>
      <c r="E513" s="26" t="str">
        <f t="shared" si="22"/>
        <v/>
      </c>
      <c r="F513" s="28"/>
      <c r="G513" s="28"/>
      <c r="H513" s="29" t="str">
        <f t="shared" si="23"/>
        <v/>
      </c>
    </row>
    <row r="514" spans="1:8">
      <c r="A514" s="28"/>
      <c r="B514" s="28"/>
      <c r="C514" s="28"/>
      <c r="D514" s="26" t="str">
        <f t="shared" ref="D514:D577" si="24">IF(OR(B514="",C514=""),"",C514-B514)</f>
        <v/>
      </c>
      <c r="E514" s="26" t="str">
        <f t="shared" ref="E514:E577" si="25">IF(OR(B514="",C514=""),"",(B514+C514)/2)</f>
        <v/>
      </c>
      <c r="F514" s="28"/>
      <c r="G514" s="28"/>
      <c r="H514" s="29" t="str">
        <f t="shared" ref="H514:H577" si="26">IF(OR(F514="",G514=""),"",G514-F514)</f>
        <v/>
      </c>
    </row>
    <row r="515" spans="1:8">
      <c r="A515" s="28"/>
      <c r="B515" s="28"/>
      <c r="C515" s="28"/>
      <c r="D515" s="26" t="str">
        <f t="shared" si="24"/>
        <v/>
      </c>
      <c r="E515" s="26" t="str">
        <f t="shared" si="25"/>
        <v/>
      </c>
      <c r="F515" s="28"/>
      <c r="G515" s="28"/>
      <c r="H515" s="29" t="str">
        <f t="shared" si="26"/>
        <v/>
      </c>
    </row>
    <row r="516" spans="1:8">
      <c r="A516" s="28"/>
      <c r="B516" s="28"/>
      <c r="C516" s="28"/>
      <c r="D516" s="26" t="str">
        <f t="shared" si="24"/>
        <v/>
      </c>
      <c r="E516" s="26" t="str">
        <f t="shared" si="25"/>
        <v/>
      </c>
      <c r="F516" s="28"/>
      <c r="G516" s="28"/>
      <c r="H516" s="29" t="str">
        <f t="shared" si="26"/>
        <v/>
      </c>
    </row>
    <row r="517" spans="1:8">
      <c r="A517" s="28"/>
      <c r="B517" s="28"/>
      <c r="C517" s="28"/>
      <c r="D517" s="26" t="str">
        <f t="shared" si="24"/>
        <v/>
      </c>
      <c r="E517" s="26" t="str">
        <f t="shared" si="25"/>
        <v/>
      </c>
      <c r="F517" s="28"/>
      <c r="G517" s="28"/>
      <c r="H517" s="29" t="str">
        <f t="shared" si="26"/>
        <v/>
      </c>
    </row>
    <row r="518" spans="1:8">
      <c r="A518" s="28"/>
      <c r="B518" s="28"/>
      <c r="C518" s="28"/>
      <c r="D518" s="26" t="str">
        <f t="shared" si="24"/>
        <v/>
      </c>
      <c r="E518" s="26" t="str">
        <f t="shared" si="25"/>
        <v/>
      </c>
      <c r="F518" s="28"/>
      <c r="G518" s="28"/>
      <c r="H518" s="29" t="str">
        <f t="shared" si="26"/>
        <v/>
      </c>
    </row>
    <row r="519" spans="1:8">
      <c r="A519" s="28"/>
      <c r="B519" s="28"/>
      <c r="C519" s="28"/>
      <c r="D519" s="26" t="str">
        <f t="shared" si="24"/>
        <v/>
      </c>
      <c r="E519" s="26" t="str">
        <f t="shared" si="25"/>
        <v/>
      </c>
      <c r="F519" s="28"/>
      <c r="G519" s="28"/>
      <c r="H519" s="29" t="str">
        <f t="shared" si="26"/>
        <v/>
      </c>
    </row>
    <row r="520" spans="1:8">
      <c r="A520" s="28"/>
      <c r="B520" s="28"/>
      <c r="C520" s="28"/>
      <c r="D520" s="26" t="str">
        <f t="shared" si="24"/>
        <v/>
      </c>
      <c r="E520" s="26" t="str">
        <f t="shared" si="25"/>
        <v/>
      </c>
      <c r="F520" s="28"/>
      <c r="G520" s="28"/>
      <c r="H520" s="29" t="str">
        <f t="shared" si="26"/>
        <v/>
      </c>
    </row>
    <row r="521" spans="1:8">
      <c r="A521" s="28"/>
      <c r="B521" s="28"/>
      <c r="C521" s="28"/>
      <c r="D521" s="26" t="str">
        <f t="shared" si="24"/>
        <v/>
      </c>
      <c r="E521" s="26" t="str">
        <f t="shared" si="25"/>
        <v/>
      </c>
      <c r="F521" s="28"/>
      <c r="G521" s="28"/>
      <c r="H521" s="29" t="str">
        <f t="shared" si="26"/>
        <v/>
      </c>
    </row>
    <row r="522" spans="1:8">
      <c r="A522" s="28"/>
      <c r="B522" s="28"/>
      <c r="C522" s="28"/>
      <c r="D522" s="26" t="str">
        <f t="shared" si="24"/>
        <v/>
      </c>
      <c r="E522" s="26" t="str">
        <f t="shared" si="25"/>
        <v/>
      </c>
      <c r="F522" s="28"/>
      <c r="G522" s="28"/>
      <c r="H522" s="29" t="str">
        <f t="shared" si="26"/>
        <v/>
      </c>
    </row>
    <row r="523" spans="1:8">
      <c r="A523" s="28"/>
      <c r="B523" s="28"/>
      <c r="C523" s="28"/>
      <c r="D523" s="26" t="str">
        <f t="shared" si="24"/>
        <v/>
      </c>
      <c r="E523" s="26" t="str">
        <f t="shared" si="25"/>
        <v/>
      </c>
      <c r="F523" s="28"/>
      <c r="G523" s="28"/>
      <c r="H523" s="29" t="str">
        <f t="shared" si="26"/>
        <v/>
      </c>
    </row>
    <row r="524" spans="1:8">
      <c r="A524" s="28"/>
      <c r="B524" s="28"/>
      <c r="C524" s="28"/>
      <c r="D524" s="26" t="str">
        <f t="shared" si="24"/>
        <v/>
      </c>
      <c r="E524" s="26" t="str">
        <f t="shared" si="25"/>
        <v/>
      </c>
      <c r="F524" s="28"/>
      <c r="G524" s="28"/>
      <c r="H524" s="29" t="str">
        <f t="shared" si="26"/>
        <v/>
      </c>
    </row>
    <row r="525" spans="1:8">
      <c r="A525" s="28"/>
      <c r="B525" s="28"/>
      <c r="C525" s="28"/>
      <c r="D525" s="26" t="str">
        <f t="shared" si="24"/>
        <v/>
      </c>
      <c r="E525" s="26" t="str">
        <f t="shared" si="25"/>
        <v/>
      </c>
      <c r="F525" s="28"/>
      <c r="G525" s="28"/>
      <c r="H525" s="29" t="str">
        <f t="shared" si="26"/>
        <v/>
      </c>
    </row>
    <row r="526" spans="1:8">
      <c r="A526" s="28"/>
      <c r="B526" s="28"/>
      <c r="C526" s="28"/>
      <c r="D526" s="26" t="str">
        <f t="shared" si="24"/>
        <v/>
      </c>
      <c r="E526" s="26" t="str">
        <f t="shared" si="25"/>
        <v/>
      </c>
      <c r="F526" s="28"/>
      <c r="G526" s="28"/>
      <c r="H526" s="29" t="str">
        <f t="shared" si="26"/>
        <v/>
      </c>
    </row>
    <row r="527" spans="1:8">
      <c r="A527" s="28"/>
      <c r="B527" s="28"/>
      <c r="C527" s="28"/>
      <c r="D527" s="26" t="str">
        <f t="shared" si="24"/>
        <v/>
      </c>
      <c r="E527" s="26" t="str">
        <f t="shared" si="25"/>
        <v/>
      </c>
      <c r="F527" s="28"/>
      <c r="G527" s="28"/>
      <c r="H527" s="29" t="str">
        <f t="shared" si="26"/>
        <v/>
      </c>
    </row>
    <row r="528" spans="1:8">
      <c r="A528" s="28"/>
      <c r="B528" s="28"/>
      <c r="C528" s="28"/>
      <c r="D528" s="26" t="str">
        <f t="shared" si="24"/>
        <v/>
      </c>
      <c r="E528" s="26" t="str">
        <f t="shared" si="25"/>
        <v/>
      </c>
      <c r="F528" s="28"/>
      <c r="G528" s="28"/>
      <c r="H528" s="29" t="str">
        <f t="shared" si="26"/>
        <v/>
      </c>
    </row>
    <row r="529" spans="1:8">
      <c r="A529" s="28"/>
      <c r="B529" s="28"/>
      <c r="C529" s="28"/>
      <c r="D529" s="26" t="str">
        <f t="shared" si="24"/>
        <v/>
      </c>
      <c r="E529" s="26" t="str">
        <f t="shared" si="25"/>
        <v/>
      </c>
      <c r="F529" s="28"/>
      <c r="G529" s="28"/>
      <c r="H529" s="29" t="str">
        <f t="shared" si="26"/>
        <v/>
      </c>
    </row>
    <row r="530" spans="1:8">
      <c r="A530" s="28"/>
      <c r="B530" s="28"/>
      <c r="C530" s="28"/>
      <c r="D530" s="26" t="str">
        <f t="shared" si="24"/>
        <v/>
      </c>
      <c r="E530" s="26" t="str">
        <f t="shared" si="25"/>
        <v/>
      </c>
      <c r="F530" s="28"/>
      <c r="G530" s="28"/>
      <c r="H530" s="29" t="str">
        <f t="shared" si="26"/>
        <v/>
      </c>
    </row>
    <row r="531" spans="1:8">
      <c r="A531" s="28"/>
      <c r="B531" s="28"/>
      <c r="C531" s="28"/>
      <c r="D531" s="26" t="str">
        <f t="shared" si="24"/>
        <v/>
      </c>
      <c r="E531" s="26" t="str">
        <f t="shared" si="25"/>
        <v/>
      </c>
      <c r="F531" s="28"/>
      <c r="G531" s="28"/>
      <c r="H531" s="29" t="str">
        <f t="shared" si="26"/>
        <v/>
      </c>
    </row>
    <row r="532" spans="1:8">
      <c r="A532" s="28"/>
      <c r="B532" s="28"/>
      <c r="C532" s="28"/>
      <c r="D532" s="26" t="str">
        <f t="shared" si="24"/>
        <v/>
      </c>
      <c r="E532" s="26" t="str">
        <f t="shared" si="25"/>
        <v/>
      </c>
      <c r="F532" s="28"/>
      <c r="G532" s="28"/>
      <c r="H532" s="29" t="str">
        <f t="shared" si="26"/>
        <v/>
      </c>
    </row>
    <row r="533" spans="1:8">
      <c r="A533" s="28"/>
      <c r="B533" s="28"/>
      <c r="C533" s="28"/>
      <c r="D533" s="26" t="str">
        <f t="shared" si="24"/>
        <v/>
      </c>
      <c r="E533" s="26" t="str">
        <f t="shared" si="25"/>
        <v/>
      </c>
      <c r="F533" s="28"/>
      <c r="G533" s="28"/>
      <c r="H533" s="29" t="str">
        <f t="shared" si="26"/>
        <v/>
      </c>
    </row>
    <row r="534" spans="1:8">
      <c r="A534" s="28"/>
      <c r="B534" s="28"/>
      <c r="C534" s="28"/>
      <c r="D534" s="26" t="str">
        <f t="shared" si="24"/>
        <v/>
      </c>
      <c r="E534" s="26" t="str">
        <f t="shared" si="25"/>
        <v/>
      </c>
      <c r="F534" s="28"/>
      <c r="G534" s="28"/>
      <c r="H534" s="29" t="str">
        <f t="shared" si="26"/>
        <v/>
      </c>
    </row>
    <row r="535" spans="1:8">
      <c r="A535" s="28"/>
      <c r="B535" s="28"/>
      <c r="C535" s="28"/>
      <c r="D535" s="26" t="str">
        <f t="shared" si="24"/>
        <v/>
      </c>
      <c r="E535" s="26" t="str">
        <f t="shared" si="25"/>
        <v/>
      </c>
      <c r="F535" s="28"/>
      <c r="G535" s="28"/>
      <c r="H535" s="29" t="str">
        <f t="shared" si="26"/>
        <v/>
      </c>
    </row>
    <row r="536" spans="1:8">
      <c r="A536" s="28"/>
      <c r="B536" s="28"/>
      <c r="C536" s="28"/>
      <c r="D536" s="26" t="str">
        <f t="shared" si="24"/>
        <v/>
      </c>
      <c r="E536" s="26" t="str">
        <f t="shared" si="25"/>
        <v/>
      </c>
      <c r="F536" s="28"/>
      <c r="G536" s="28"/>
      <c r="H536" s="29" t="str">
        <f t="shared" si="26"/>
        <v/>
      </c>
    </row>
    <row r="537" spans="1:8">
      <c r="A537" s="28"/>
      <c r="B537" s="28"/>
      <c r="C537" s="28"/>
      <c r="D537" s="26" t="str">
        <f t="shared" si="24"/>
        <v/>
      </c>
      <c r="E537" s="26" t="str">
        <f t="shared" si="25"/>
        <v/>
      </c>
      <c r="F537" s="28"/>
      <c r="G537" s="28"/>
      <c r="H537" s="29" t="str">
        <f t="shared" si="26"/>
        <v/>
      </c>
    </row>
    <row r="538" spans="1:8">
      <c r="A538" s="28"/>
      <c r="B538" s="28"/>
      <c r="C538" s="28"/>
      <c r="D538" s="26" t="str">
        <f t="shared" si="24"/>
        <v/>
      </c>
      <c r="E538" s="26" t="str">
        <f t="shared" si="25"/>
        <v/>
      </c>
      <c r="F538" s="28"/>
      <c r="G538" s="28"/>
      <c r="H538" s="29" t="str">
        <f t="shared" si="26"/>
        <v/>
      </c>
    </row>
    <row r="539" spans="1:8">
      <c r="A539" s="28"/>
      <c r="B539" s="28"/>
      <c r="C539" s="28"/>
      <c r="D539" s="26" t="str">
        <f t="shared" si="24"/>
        <v/>
      </c>
      <c r="E539" s="26" t="str">
        <f t="shared" si="25"/>
        <v/>
      </c>
      <c r="F539" s="28"/>
      <c r="G539" s="28"/>
      <c r="H539" s="29" t="str">
        <f t="shared" si="26"/>
        <v/>
      </c>
    </row>
    <row r="540" spans="1:8">
      <c r="A540" s="28"/>
      <c r="B540" s="28"/>
      <c r="C540" s="28"/>
      <c r="D540" s="26" t="str">
        <f t="shared" si="24"/>
        <v/>
      </c>
      <c r="E540" s="26" t="str">
        <f t="shared" si="25"/>
        <v/>
      </c>
      <c r="F540" s="28"/>
      <c r="G540" s="28"/>
      <c r="H540" s="29" t="str">
        <f t="shared" si="26"/>
        <v/>
      </c>
    </row>
    <row r="541" spans="1:8">
      <c r="A541" s="28"/>
      <c r="B541" s="28"/>
      <c r="C541" s="28"/>
      <c r="D541" s="26" t="str">
        <f t="shared" si="24"/>
        <v/>
      </c>
      <c r="E541" s="26" t="str">
        <f t="shared" si="25"/>
        <v/>
      </c>
      <c r="F541" s="28"/>
      <c r="G541" s="28"/>
      <c r="H541" s="29" t="str">
        <f t="shared" si="26"/>
        <v/>
      </c>
    </row>
    <row r="542" spans="1:8">
      <c r="A542" s="28"/>
      <c r="B542" s="28"/>
      <c r="C542" s="28"/>
      <c r="D542" s="26" t="str">
        <f t="shared" si="24"/>
        <v/>
      </c>
      <c r="E542" s="26" t="str">
        <f t="shared" si="25"/>
        <v/>
      </c>
      <c r="F542" s="28"/>
      <c r="G542" s="28"/>
      <c r="H542" s="29" t="str">
        <f t="shared" si="26"/>
        <v/>
      </c>
    </row>
    <row r="543" spans="1:8">
      <c r="A543" s="28"/>
      <c r="B543" s="28"/>
      <c r="C543" s="28"/>
      <c r="D543" s="26" t="str">
        <f t="shared" si="24"/>
        <v/>
      </c>
      <c r="E543" s="26" t="str">
        <f t="shared" si="25"/>
        <v/>
      </c>
      <c r="F543" s="28"/>
      <c r="G543" s="28"/>
      <c r="H543" s="29" t="str">
        <f t="shared" si="26"/>
        <v/>
      </c>
    </row>
    <row r="544" spans="1:8">
      <c r="A544" s="28"/>
      <c r="B544" s="28"/>
      <c r="C544" s="28"/>
      <c r="D544" s="26" t="str">
        <f t="shared" si="24"/>
        <v/>
      </c>
      <c r="E544" s="26" t="str">
        <f t="shared" si="25"/>
        <v/>
      </c>
      <c r="F544" s="28"/>
      <c r="G544" s="28"/>
      <c r="H544" s="29" t="str">
        <f t="shared" si="26"/>
        <v/>
      </c>
    </row>
    <row r="545" spans="1:8">
      <c r="A545" s="28"/>
      <c r="B545" s="28"/>
      <c r="C545" s="28"/>
      <c r="D545" s="26" t="str">
        <f t="shared" si="24"/>
        <v/>
      </c>
      <c r="E545" s="26" t="str">
        <f t="shared" si="25"/>
        <v/>
      </c>
      <c r="F545" s="28"/>
      <c r="G545" s="28"/>
      <c r="H545" s="29" t="str">
        <f t="shared" si="26"/>
        <v/>
      </c>
    </row>
    <row r="546" spans="1:8">
      <c r="A546" s="28"/>
      <c r="B546" s="28"/>
      <c r="C546" s="28"/>
      <c r="D546" s="26" t="str">
        <f t="shared" si="24"/>
        <v/>
      </c>
      <c r="E546" s="26" t="str">
        <f t="shared" si="25"/>
        <v/>
      </c>
      <c r="F546" s="28"/>
      <c r="G546" s="28"/>
      <c r="H546" s="29" t="str">
        <f t="shared" si="26"/>
        <v/>
      </c>
    </row>
    <row r="547" spans="1:8">
      <c r="A547" s="28"/>
      <c r="B547" s="28"/>
      <c r="C547" s="28"/>
      <c r="D547" s="26" t="str">
        <f t="shared" si="24"/>
        <v/>
      </c>
      <c r="E547" s="26" t="str">
        <f t="shared" si="25"/>
        <v/>
      </c>
      <c r="F547" s="28"/>
      <c r="G547" s="28"/>
      <c r="H547" s="29" t="str">
        <f t="shared" si="26"/>
        <v/>
      </c>
    </row>
    <row r="548" spans="1:8">
      <c r="A548" s="28"/>
      <c r="B548" s="28"/>
      <c r="C548" s="28"/>
      <c r="D548" s="26" t="str">
        <f t="shared" si="24"/>
        <v/>
      </c>
      <c r="E548" s="26" t="str">
        <f t="shared" si="25"/>
        <v/>
      </c>
      <c r="F548" s="28"/>
      <c r="G548" s="28"/>
      <c r="H548" s="29" t="str">
        <f t="shared" si="26"/>
        <v/>
      </c>
    </row>
    <row r="549" spans="1:8">
      <c r="A549" s="28"/>
      <c r="B549" s="28"/>
      <c r="C549" s="28"/>
      <c r="D549" s="26" t="str">
        <f t="shared" si="24"/>
        <v/>
      </c>
      <c r="E549" s="26" t="str">
        <f t="shared" si="25"/>
        <v/>
      </c>
      <c r="F549" s="28"/>
      <c r="G549" s="28"/>
      <c r="H549" s="29" t="str">
        <f t="shared" si="26"/>
        <v/>
      </c>
    </row>
    <row r="550" spans="1:8">
      <c r="A550" s="28"/>
      <c r="B550" s="28"/>
      <c r="C550" s="28"/>
      <c r="D550" s="26" t="str">
        <f t="shared" si="24"/>
        <v/>
      </c>
      <c r="E550" s="26" t="str">
        <f t="shared" si="25"/>
        <v/>
      </c>
      <c r="F550" s="28"/>
      <c r="G550" s="28"/>
      <c r="H550" s="29" t="str">
        <f t="shared" si="26"/>
        <v/>
      </c>
    </row>
    <row r="551" spans="1:8">
      <c r="A551" s="28"/>
      <c r="B551" s="28"/>
      <c r="C551" s="28"/>
      <c r="D551" s="26" t="str">
        <f t="shared" si="24"/>
        <v/>
      </c>
      <c r="E551" s="26" t="str">
        <f t="shared" si="25"/>
        <v/>
      </c>
      <c r="F551" s="28"/>
      <c r="G551" s="28"/>
      <c r="H551" s="29" t="str">
        <f t="shared" si="26"/>
        <v/>
      </c>
    </row>
    <row r="552" spans="1:8">
      <c r="A552" s="28"/>
      <c r="B552" s="28"/>
      <c r="C552" s="28"/>
      <c r="D552" s="26" t="str">
        <f t="shared" si="24"/>
        <v/>
      </c>
      <c r="E552" s="26" t="str">
        <f t="shared" si="25"/>
        <v/>
      </c>
      <c r="F552" s="28"/>
      <c r="G552" s="28"/>
      <c r="H552" s="29" t="str">
        <f t="shared" si="26"/>
        <v/>
      </c>
    </row>
    <row r="553" spans="1:8">
      <c r="A553" s="28"/>
      <c r="B553" s="28"/>
      <c r="C553" s="28"/>
      <c r="D553" s="26" t="str">
        <f t="shared" si="24"/>
        <v/>
      </c>
      <c r="E553" s="26" t="str">
        <f t="shared" si="25"/>
        <v/>
      </c>
      <c r="F553" s="28"/>
      <c r="G553" s="28"/>
      <c r="H553" s="29" t="str">
        <f t="shared" si="26"/>
        <v/>
      </c>
    </row>
    <row r="554" spans="1:8">
      <c r="A554" s="28"/>
      <c r="B554" s="28"/>
      <c r="C554" s="28"/>
      <c r="D554" s="26" t="str">
        <f t="shared" si="24"/>
        <v/>
      </c>
      <c r="E554" s="26" t="str">
        <f t="shared" si="25"/>
        <v/>
      </c>
      <c r="F554" s="28"/>
      <c r="G554" s="28"/>
      <c r="H554" s="29" t="str">
        <f t="shared" si="26"/>
        <v/>
      </c>
    </row>
    <row r="555" spans="1:8">
      <c r="A555" s="28"/>
      <c r="B555" s="28"/>
      <c r="C555" s="28"/>
      <c r="D555" s="26" t="str">
        <f t="shared" si="24"/>
        <v/>
      </c>
      <c r="E555" s="26" t="str">
        <f t="shared" si="25"/>
        <v/>
      </c>
      <c r="F555" s="28"/>
      <c r="G555" s="28"/>
      <c r="H555" s="29" t="str">
        <f t="shared" si="26"/>
        <v/>
      </c>
    </row>
    <row r="556" spans="1:8">
      <c r="A556" s="28"/>
      <c r="B556" s="28"/>
      <c r="C556" s="28"/>
      <c r="D556" s="26" t="str">
        <f t="shared" si="24"/>
        <v/>
      </c>
      <c r="E556" s="26" t="str">
        <f t="shared" si="25"/>
        <v/>
      </c>
      <c r="F556" s="28"/>
      <c r="G556" s="28"/>
      <c r="H556" s="29" t="str">
        <f t="shared" si="26"/>
        <v/>
      </c>
    </row>
    <row r="557" spans="1:8">
      <c r="A557" s="28"/>
      <c r="B557" s="28"/>
      <c r="C557" s="28"/>
      <c r="D557" s="26" t="str">
        <f t="shared" si="24"/>
        <v/>
      </c>
      <c r="E557" s="26" t="str">
        <f t="shared" si="25"/>
        <v/>
      </c>
      <c r="F557" s="28"/>
      <c r="G557" s="28"/>
      <c r="H557" s="29" t="str">
        <f t="shared" si="26"/>
        <v/>
      </c>
    </row>
    <row r="558" spans="1:8">
      <c r="A558" s="28"/>
      <c r="B558" s="28"/>
      <c r="C558" s="28"/>
      <c r="D558" s="26" t="str">
        <f t="shared" si="24"/>
        <v/>
      </c>
      <c r="E558" s="26" t="str">
        <f t="shared" si="25"/>
        <v/>
      </c>
      <c r="F558" s="28"/>
      <c r="G558" s="28"/>
      <c r="H558" s="29" t="str">
        <f t="shared" si="26"/>
        <v/>
      </c>
    </row>
    <row r="559" spans="1:8">
      <c r="A559" s="28"/>
      <c r="B559" s="28"/>
      <c r="C559" s="28"/>
      <c r="D559" s="26" t="str">
        <f t="shared" si="24"/>
        <v/>
      </c>
      <c r="E559" s="26" t="str">
        <f t="shared" si="25"/>
        <v/>
      </c>
      <c r="F559" s="28"/>
      <c r="G559" s="28"/>
      <c r="H559" s="29" t="str">
        <f t="shared" si="26"/>
        <v/>
      </c>
    </row>
    <row r="560" spans="1:8">
      <c r="A560" s="28"/>
      <c r="B560" s="28"/>
      <c r="C560" s="28"/>
      <c r="D560" s="26" t="str">
        <f t="shared" si="24"/>
        <v/>
      </c>
      <c r="E560" s="26" t="str">
        <f t="shared" si="25"/>
        <v/>
      </c>
      <c r="F560" s="28"/>
      <c r="G560" s="28"/>
      <c r="H560" s="29" t="str">
        <f t="shared" si="26"/>
        <v/>
      </c>
    </row>
    <row r="561" spans="1:8">
      <c r="A561" s="28"/>
      <c r="B561" s="28"/>
      <c r="C561" s="28"/>
      <c r="D561" s="26" t="str">
        <f t="shared" si="24"/>
        <v/>
      </c>
      <c r="E561" s="26" t="str">
        <f t="shared" si="25"/>
        <v/>
      </c>
      <c r="F561" s="28"/>
      <c r="G561" s="28"/>
      <c r="H561" s="29" t="str">
        <f t="shared" si="26"/>
        <v/>
      </c>
    </row>
    <row r="562" spans="1:8">
      <c r="A562" s="28"/>
      <c r="B562" s="28"/>
      <c r="C562" s="28"/>
      <c r="D562" s="26" t="str">
        <f t="shared" si="24"/>
        <v/>
      </c>
      <c r="E562" s="26" t="str">
        <f t="shared" si="25"/>
        <v/>
      </c>
      <c r="F562" s="28"/>
      <c r="G562" s="28"/>
      <c r="H562" s="29" t="str">
        <f t="shared" si="26"/>
        <v/>
      </c>
    </row>
    <row r="563" spans="1:8">
      <c r="A563" s="28"/>
      <c r="B563" s="28"/>
      <c r="C563" s="28"/>
      <c r="D563" s="26" t="str">
        <f t="shared" si="24"/>
        <v/>
      </c>
      <c r="E563" s="26" t="str">
        <f t="shared" si="25"/>
        <v/>
      </c>
      <c r="F563" s="28"/>
      <c r="G563" s="28"/>
      <c r="H563" s="29" t="str">
        <f t="shared" si="26"/>
        <v/>
      </c>
    </row>
    <row r="564" spans="1:8">
      <c r="A564" s="28"/>
      <c r="B564" s="28"/>
      <c r="C564" s="28"/>
      <c r="D564" s="26" t="str">
        <f t="shared" si="24"/>
        <v/>
      </c>
      <c r="E564" s="26" t="str">
        <f t="shared" si="25"/>
        <v/>
      </c>
      <c r="F564" s="28"/>
      <c r="G564" s="28"/>
      <c r="H564" s="29" t="str">
        <f t="shared" si="26"/>
        <v/>
      </c>
    </row>
    <row r="565" spans="1:8">
      <c r="A565" s="28"/>
      <c r="B565" s="28"/>
      <c r="C565" s="28"/>
      <c r="D565" s="26" t="str">
        <f t="shared" si="24"/>
        <v/>
      </c>
      <c r="E565" s="26" t="str">
        <f t="shared" si="25"/>
        <v/>
      </c>
      <c r="F565" s="28"/>
      <c r="G565" s="28"/>
      <c r="H565" s="29" t="str">
        <f t="shared" si="26"/>
        <v/>
      </c>
    </row>
    <row r="566" spans="1:8">
      <c r="A566" s="28"/>
      <c r="B566" s="28"/>
      <c r="C566" s="28"/>
      <c r="D566" s="26" t="str">
        <f t="shared" si="24"/>
        <v/>
      </c>
      <c r="E566" s="26" t="str">
        <f t="shared" si="25"/>
        <v/>
      </c>
      <c r="F566" s="28"/>
      <c r="G566" s="28"/>
      <c r="H566" s="29" t="str">
        <f t="shared" si="26"/>
        <v/>
      </c>
    </row>
    <row r="567" spans="1:8">
      <c r="A567" s="28"/>
      <c r="B567" s="28"/>
      <c r="C567" s="28"/>
      <c r="D567" s="26" t="str">
        <f t="shared" si="24"/>
        <v/>
      </c>
      <c r="E567" s="26" t="str">
        <f t="shared" si="25"/>
        <v/>
      </c>
      <c r="F567" s="28"/>
      <c r="G567" s="28"/>
      <c r="H567" s="29" t="str">
        <f t="shared" si="26"/>
        <v/>
      </c>
    </row>
    <row r="568" spans="1:8">
      <c r="A568" s="28"/>
      <c r="B568" s="28"/>
      <c r="C568" s="28"/>
      <c r="D568" s="26" t="str">
        <f t="shared" si="24"/>
        <v/>
      </c>
      <c r="E568" s="26" t="str">
        <f t="shared" si="25"/>
        <v/>
      </c>
      <c r="F568" s="28"/>
      <c r="G568" s="28"/>
      <c r="H568" s="29" t="str">
        <f t="shared" si="26"/>
        <v/>
      </c>
    </row>
    <row r="569" spans="1:8">
      <c r="A569" s="28"/>
      <c r="B569" s="28"/>
      <c r="C569" s="28"/>
      <c r="D569" s="26" t="str">
        <f t="shared" si="24"/>
        <v/>
      </c>
      <c r="E569" s="26" t="str">
        <f t="shared" si="25"/>
        <v/>
      </c>
      <c r="F569" s="28"/>
      <c r="G569" s="28"/>
      <c r="H569" s="29" t="str">
        <f t="shared" si="26"/>
        <v/>
      </c>
    </row>
    <row r="570" spans="1:8">
      <c r="A570" s="28"/>
      <c r="B570" s="28"/>
      <c r="C570" s="28"/>
      <c r="D570" s="26" t="str">
        <f t="shared" si="24"/>
        <v/>
      </c>
      <c r="E570" s="26" t="str">
        <f t="shared" si="25"/>
        <v/>
      </c>
      <c r="F570" s="28"/>
      <c r="G570" s="28"/>
      <c r="H570" s="29" t="str">
        <f t="shared" si="26"/>
        <v/>
      </c>
    </row>
    <row r="571" spans="1:8">
      <c r="A571" s="28"/>
      <c r="B571" s="28"/>
      <c r="C571" s="28"/>
      <c r="D571" s="26" t="str">
        <f t="shared" si="24"/>
        <v/>
      </c>
      <c r="E571" s="26" t="str">
        <f t="shared" si="25"/>
        <v/>
      </c>
      <c r="F571" s="28"/>
      <c r="G571" s="28"/>
      <c r="H571" s="29" t="str">
        <f t="shared" si="26"/>
        <v/>
      </c>
    </row>
    <row r="572" spans="1:8">
      <c r="A572" s="28"/>
      <c r="B572" s="28"/>
      <c r="C572" s="28"/>
      <c r="D572" s="26" t="str">
        <f t="shared" si="24"/>
        <v/>
      </c>
      <c r="E572" s="26" t="str">
        <f t="shared" si="25"/>
        <v/>
      </c>
      <c r="F572" s="28"/>
      <c r="G572" s="28"/>
      <c r="H572" s="29" t="str">
        <f t="shared" si="26"/>
        <v/>
      </c>
    </row>
    <row r="573" spans="1:8">
      <c r="A573" s="28"/>
      <c r="B573" s="28"/>
      <c r="C573" s="28"/>
      <c r="D573" s="26" t="str">
        <f t="shared" si="24"/>
        <v/>
      </c>
      <c r="E573" s="26" t="str">
        <f t="shared" si="25"/>
        <v/>
      </c>
      <c r="F573" s="28"/>
      <c r="G573" s="28"/>
      <c r="H573" s="29" t="str">
        <f t="shared" si="26"/>
        <v/>
      </c>
    </row>
    <row r="574" spans="1:8">
      <c r="A574" s="28"/>
      <c r="B574" s="28"/>
      <c r="C574" s="28"/>
      <c r="D574" s="26" t="str">
        <f t="shared" si="24"/>
        <v/>
      </c>
      <c r="E574" s="26" t="str">
        <f t="shared" si="25"/>
        <v/>
      </c>
      <c r="F574" s="28"/>
      <c r="G574" s="28"/>
      <c r="H574" s="29" t="str">
        <f t="shared" si="26"/>
        <v/>
      </c>
    </row>
    <row r="575" spans="1:8">
      <c r="A575" s="28"/>
      <c r="B575" s="28"/>
      <c r="C575" s="28"/>
      <c r="D575" s="26" t="str">
        <f t="shared" si="24"/>
        <v/>
      </c>
      <c r="E575" s="26" t="str">
        <f t="shared" si="25"/>
        <v/>
      </c>
      <c r="F575" s="28"/>
      <c r="G575" s="28"/>
      <c r="H575" s="29" t="str">
        <f t="shared" si="26"/>
        <v/>
      </c>
    </row>
    <row r="576" spans="1:8">
      <c r="A576" s="28"/>
      <c r="B576" s="28"/>
      <c r="C576" s="28"/>
      <c r="D576" s="26" t="str">
        <f t="shared" si="24"/>
        <v/>
      </c>
      <c r="E576" s="26" t="str">
        <f t="shared" si="25"/>
        <v/>
      </c>
      <c r="F576" s="28"/>
      <c r="G576" s="28"/>
      <c r="H576" s="29" t="str">
        <f t="shared" si="26"/>
        <v/>
      </c>
    </row>
    <row r="577" spans="1:8">
      <c r="A577" s="28"/>
      <c r="B577" s="28"/>
      <c r="C577" s="28"/>
      <c r="D577" s="26" t="str">
        <f t="shared" si="24"/>
        <v/>
      </c>
      <c r="E577" s="26" t="str">
        <f t="shared" si="25"/>
        <v/>
      </c>
      <c r="F577" s="28"/>
      <c r="G577" s="28"/>
      <c r="H577" s="29" t="str">
        <f t="shared" si="26"/>
        <v/>
      </c>
    </row>
    <row r="578" spans="1:8">
      <c r="A578" s="28"/>
      <c r="B578" s="28"/>
      <c r="C578" s="28"/>
      <c r="D578" s="26" t="str">
        <f t="shared" ref="D578:D641" si="27">IF(OR(B578="",C578=""),"",C578-B578)</f>
        <v/>
      </c>
      <c r="E578" s="26" t="str">
        <f t="shared" ref="E578:E641" si="28">IF(OR(B578="",C578=""),"",(B578+C578)/2)</f>
        <v/>
      </c>
      <c r="F578" s="28"/>
      <c r="G578" s="28"/>
      <c r="H578" s="29" t="str">
        <f t="shared" ref="H578:H641" si="29">IF(OR(F578="",G578=""),"",G578-F578)</f>
        <v/>
      </c>
    </row>
    <row r="579" spans="1:8">
      <c r="A579" s="28"/>
      <c r="B579" s="28"/>
      <c r="C579" s="28"/>
      <c r="D579" s="26" t="str">
        <f t="shared" si="27"/>
        <v/>
      </c>
      <c r="E579" s="26" t="str">
        <f t="shared" si="28"/>
        <v/>
      </c>
      <c r="F579" s="28"/>
      <c r="G579" s="28"/>
      <c r="H579" s="29" t="str">
        <f t="shared" si="29"/>
        <v/>
      </c>
    </row>
    <row r="580" spans="1:8">
      <c r="A580" s="28"/>
      <c r="B580" s="28"/>
      <c r="C580" s="28"/>
      <c r="D580" s="26" t="str">
        <f t="shared" si="27"/>
        <v/>
      </c>
      <c r="E580" s="26" t="str">
        <f t="shared" si="28"/>
        <v/>
      </c>
      <c r="F580" s="28"/>
      <c r="G580" s="28"/>
      <c r="H580" s="29" t="str">
        <f t="shared" si="29"/>
        <v/>
      </c>
    </row>
    <row r="581" spans="1:8">
      <c r="A581" s="28"/>
      <c r="B581" s="28"/>
      <c r="C581" s="28"/>
      <c r="D581" s="26" t="str">
        <f t="shared" si="27"/>
        <v/>
      </c>
      <c r="E581" s="26" t="str">
        <f t="shared" si="28"/>
        <v/>
      </c>
      <c r="F581" s="28"/>
      <c r="G581" s="28"/>
      <c r="H581" s="29" t="str">
        <f t="shared" si="29"/>
        <v/>
      </c>
    </row>
    <row r="582" spans="1:8">
      <c r="A582" s="28"/>
      <c r="B582" s="28"/>
      <c r="C582" s="28"/>
      <c r="D582" s="26" t="str">
        <f t="shared" si="27"/>
        <v/>
      </c>
      <c r="E582" s="26" t="str">
        <f t="shared" si="28"/>
        <v/>
      </c>
      <c r="F582" s="28"/>
      <c r="G582" s="28"/>
      <c r="H582" s="29" t="str">
        <f t="shared" si="29"/>
        <v/>
      </c>
    </row>
    <row r="583" spans="1:8">
      <c r="A583" s="28"/>
      <c r="B583" s="28"/>
      <c r="C583" s="28"/>
      <c r="D583" s="26" t="str">
        <f t="shared" si="27"/>
        <v/>
      </c>
      <c r="E583" s="26" t="str">
        <f t="shared" si="28"/>
        <v/>
      </c>
      <c r="F583" s="28"/>
      <c r="G583" s="28"/>
      <c r="H583" s="29" t="str">
        <f t="shared" si="29"/>
        <v/>
      </c>
    </row>
    <row r="584" spans="1:8">
      <c r="A584" s="28"/>
      <c r="B584" s="28"/>
      <c r="C584" s="28"/>
      <c r="D584" s="26" t="str">
        <f t="shared" si="27"/>
        <v/>
      </c>
      <c r="E584" s="26" t="str">
        <f t="shared" si="28"/>
        <v/>
      </c>
      <c r="F584" s="28"/>
      <c r="G584" s="28"/>
      <c r="H584" s="29" t="str">
        <f t="shared" si="29"/>
        <v/>
      </c>
    </row>
    <row r="585" spans="1:8">
      <c r="A585" s="28"/>
      <c r="B585" s="28"/>
      <c r="C585" s="28"/>
      <c r="D585" s="26" t="str">
        <f t="shared" si="27"/>
        <v/>
      </c>
      <c r="E585" s="26" t="str">
        <f t="shared" si="28"/>
        <v/>
      </c>
      <c r="F585" s="28"/>
      <c r="G585" s="28"/>
      <c r="H585" s="29" t="str">
        <f t="shared" si="29"/>
        <v/>
      </c>
    </row>
    <row r="586" spans="1:8">
      <c r="A586" s="28"/>
      <c r="B586" s="28"/>
      <c r="C586" s="28"/>
      <c r="D586" s="26" t="str">
        <f t="shared" si="27"/>
        <v/>
      </c>
      <c r="E586" s="26" t="str">
        <f t="shared" si="28"/>
        <v/>
      </c>
      <c r="F586" s="28"/>
      <c r="G586" s="28"/>
      <c r="H586" s="29" t="str">
        <f t="shared" si="29"/>
        <v/>
      </c>
    </row>
    <row r="587" spans="1:8">
      <c r="A587" s="28"/>
      <c r="B587" s="28"/>
      <c r="C587" s="28"/>
      <c r="D587" s="26" t="str">
        <f t="shared" si="27"/>
        <v/>
      </c>
      <c r="E587" s="26" t="str">
        <f t="shared" si="28"/>
        <v/>
      </c>
      <c r="F587" s="28"/>
      <c r="G587" s="28"/>
      <c r="H587" s="29" t="str">
        <f t="shared" si="29"/>
        <v/>
      </c>
    </row>
    <row r="588" spans="1:8">
      <c r="A588" s="28"/>
      <c r="B588" s="28"/>
      <c r="C588" s="28"/>
      <c r="D588" s="26" t="str">
        <f t="shared" si="27"/>
        <v/>
      </c>
      <c r="E588" s="26" t="str">
        <f t="shared" si="28"/>
        <v/>
      </c>
      <c r="F588" s="28"/>
      <c r="G588" s="28"/>
      <c r="H588" s="29" t="str">
        <f t="shared" si="29"/>
        <v/>
      </c>
    </row>
    <row r="589" spans="1:8">
      <c r="A589" s="28"/>
      <c r="B589" s="28"/>
      <c r="C589" s="28"/>
      <c r="D589" s="26" t="str">
        <f t="shared" si="27"/>
        <v/>
      </c>
      <c r="E589" s="26" t="str">
        <f t="shared" si="28"/>
        <v/>
      </c>
      <c r="F589" s="28"/>
      <c r="G589" s="28"/>
      <c r="H589" s="29" t="str">
        <f t="shared" si="29"/>
        <v/>
      </c>
    </row>
    <row r="590" spans="1:8">
      <c r="A590" s="28"/>
      <c r="B590" s="28"/>
      <c r="C590" s="28"/>
      <c r="D590" s="26" t="str">
        <f t="shared" si="27"/>
        <v/>
      </c>
      <c r="E590" s="26" t="str">
        <f t="shared" si="28"/>
        <v/>
      </c>
      <c r="F590" s="28"/>
      <c r="G590" s="28"/>
      <c r="H590" s="29" t="str">
        <f t="shared" si="29"/>
        <v/>
      </c>
    </row>
    <row r="591" spans="1:8">
      <c r="A591" s="28"/>
      <c r="B591" s="28"/>
      <c r="C591" s="28"/>
      <c r="D591" s="26" t="str">
        <f t="shared" si="27"/>
        <v/>
      </c>
      <c r="E591" s="26" t="str">
        <f t="shared" si="28"/>
        <v/>
      </c>
      <c r="F591" s="28"/>
      <c r="G591" s="28"/>
      <c r="H591" s="29" t="str">
        <f t="shared" si="29"/>
        <v/>
      </c>
    </row>
    <row r="592" spans="1:8">
      <c r="A592" s="28"/>
      <c r="B592" s="28"/>
      <c r="C592" s="28"/>
      <c r="D592" s="26" t="str">
        <f t="shared" si="27"/>
        <v/>
      </c>
      <c r="E592" s="26" t="str">
        <f t="shared" si="28"/>
        <v/>
      </c>
      <c r="F592" s="28"/>
      <c r="G592" s="28"/>
      <c r="H592" s="29" t="str">
        <f t="shared" si="29"/>
        <v/>
      </c>
    </row>
    <row r="593" spans="1:8">
      <c r="A593" s="28"/>
      <c r="B593" s="28"/>
      <c r="C593" s="28"/>
      <c r="D593" s="26" t="str">
        <f t="shared" si="27"/>
        <v/>
      </c>
      <c r="E593" s="26" t="str">
        <f t="shared" si="28"/>
        <v/>
      </c>
      <c r="F593" s="28"/>
      <c r="G593" s="28"/>
      <c r="H593" s="29" t="str">
        <f t="shared" si="29"/>
        <v/>
      </c>
    </row>
    <row r="594" spans="1:8">
      <c r="A594" s="28"/>
      <c r="B594" s="28"/>
      <c r="C594" s="28"/>
      <c r="D594" s="26" t="str">
        <f t="shared" si="27"/>
        <v/>
      </c>
      <c r="E594" s="26" t="str">
        <f t="shared" si="28"/>
        <v/>
      </c>
      <c r="F594" s="28"/>
      <c r="G594" s="28"/>
      <c r="H594" s="29" t="str">
        <f t="shared" si="29"/>
        <v/>
      </c>
    </row>
    <row r="595" spans="1:8">
      <c r="A595" s="28"/>
      <c r="B595" s="28"/>
      <c r="C595" s="28"/>
      <c r="D595" s="26" t="str">
        <f t="shared" si="27"/>
        <v/>
      </c>
      <c r="E595" s="26" t="str">
        <f t="shared" si="28"/>
        <v/>
      </c>
      <c r="F595" s="28"/>
      <c r="G595" s="28"/>
      <c r="H595" s="29" t="str">
        <f t="shared" si="29"/>
        <v/>
      </c>
    </row>
    <row r="596" spans="1:8">
      <c r="A596" s="28"/>
      <c r="B596" s="28"/>
      <c r="C596" s="28"/>
      <c r="D596" s="26" t="str">
        <f t="shared" si="27"/>
        <v/>
      </c>
      <c r="E596" s="26" t="str">
        <f t="shared" si="28"/>
        <v/>
      </c>
      <c r="F596" s="28"/>
      <c r="G596" s="28"/>
      <c r="H596" s="29" t="str">
        <f t="shared" si="29"/>
        <v/>
      </c>
    </row>
    <row r="597" spans="1:8">
      <c r="A597" s="28"/>
      <c r="B597" s="28"/>
      <c r="C597" s="28"/>
      <c r="D597" s="26" t="str">
        <f t="shared" si="27"/>
        <v/>
      </c>
      <c r="E597" s="26" t="str">
        <f t="shared" si="28"/>
        <v/>
      </c>
      <c r="F597" s="28"/>
      <c r="G597" s="28"/>
      <c r="H597" s="29" t="str">
        <f t="shared" si="29"/>
        <v/>
      </c>
    </row>
    <row r="598" spans="1:8">
      <c r="A598" s="28"/>
      <c r="B598" s="28"/>
      <c r="C598" s="28"/>
      <c r="D598" s="26" t="str">
        <f t="shared" si="27"/>
        <v/>
      </c>
      <c r="E598" s="26" t="str">
        <f t="shared" si="28"/>
        <v/>
      </c>
      <c r="F598" s="28"/>
      <c r="G598" s="28"/>
      <c r="H598" s="29" t="str">
        <f t="shared" si="29"/>
        <v/>
      </c>
    </row>
    <row r="599" spans="1:8">
      <c r="A599" s="28"/>
      <c r="B599" s="28"/>
      <c r="C599" s="28"/>
      <c r="D599" s="26" t="str">
        <f t="shared" si="27"/>
        <v/>
      </c>
      <c r="E599" s="26" t="str">
        <f t="shared" si="28"/>
        <v/>
      </c>
      <c r="F599" s="28"/>
      <c r="G599" s="28"/>
      <c r="H599" s="29" t="str">
        <f t="shared" si="29"/>
        <v/>
      </c>
    </row>
    <row r="600" spans="1:8">
      <c r="A600" s="28"/>
      <c r="B600" s="28"/>
      <c r="C600" s="28"/>
      <c r="D600" s="26" t="str">
        <f t="shared" si="27"/>
        <v/>
      </c>
      <c r="E600" s="26" t="str">
        <f t="shared" si="28"/>
        <v/>
      </c>
      <c r="F600" s="28"/>
      <c r="G600" s="28"/>
      <c r="H600" s="29" t="str">
        <f t="shared" si="29"/>
        <v/>
      </c>
    </row>
    <row r="601" spans="1:8">
      <c r="A601" s="28"/>
      <c r="B601" s="28"/>
      <c r="C601" s="28"/>
      <c r="D601" s="26" t="str">
        <f t="shared" si="27"/>
        <v/>
      </c>
      <c r="E601" s="26" t="str">
        <f t="shared" si="28"/>
        <v/>
      </c>
      <c r="F601" s="28"/>
      <c r="G601" s="28"/>
      <c r="H601" s="29" t="str">
        <f t="shared" si="29"/>
        <v/>
      </c>
    </row>
    <row r="602" spans="1:8">
      <c r="A602" s="28"/>
      <c r="B602" s="28"/>
      <c r="C602" s="28"/>
      <c r="D602" s="26" t="str">
        <f t="shared" si="27"/>
        <v/>
      </c>
      <c r="E602" s="26" t="str">
        <f t="shared" si="28"/>
        <v/>
      </c>
      <c r="F602" s="28"/>
      <c r="G602" s="28"/>
      <c r="H602" s="29" t="str">
        <f t="shared" si="29"/>
        <v/>
      </c>
    </row>
    <row r="603" spans="1:8">
      <c r="A603" s="28"/>
      <c r="B603" s="28"/>
      <c r="C603" s="28"/>
      <c r="D603" s="26" t="str">
        <f t="shared" si="27"/>
        <v/>
      </c>
      <c r="E603" s="26" t="str">
        <f t="shared" si="28"/>
        <v/>
      </c>
      <c r="F603" s="28"/>
      <c r="G603" s="28"/>
      <c r="H603" s="29" t="str">
        <f t="shared" si="29"/>
        <v/>
      </c>
    </row>
    <row r="604" spans="1:8">
      <c r="A604" s="28"/>
      <c r="B604" s="28"/>
      <c r="C604" s="28"/>
      <c r="D604" s="26" t="str">
        <f t="shared" si="27"/>
        <v/>
      </c>
      <c r="E604" s="26" t="str">
        <f t="shared" si="28"/>
        <v/>
      </c>
      <c r="F604" s="28"/>
      <c r="G604" s="28"/>
      <c r="H604" s="29" t="str">
        <f t="shared" si="29"/>
        <v/>
      </c>
    </row>
    <row r="605" spans="1:8">
      <c r="A605" s="28"/>
      <c r="B605" s="28"/>
      <c r="C605" s="28"/>
      <c r="D605" s="26" t="str">
        <f t="shared" si="27"/>
        <v/>
      </c>
      <c r="E605" s="26" t="str">
        <f t="shared" si="28"/>
        <v/>
      </c>
      <c r="F605" s="28"/>
      <c r="G605" s="28"/>
      <c r="H605" s="29" t="str">
        <f t="shared" si="29"/>
        <v/>
      </c>
    </row>
    <row r="606" spans="1:8">
      <c r="A606" s="28"/>
      <c r="B606" s="28"/>
      <c r="C606" s="28"/>
      <c r="D606" s="26" t="str">
        <f t="shared" si="27"/>
        <v/>
      </c>
      <c r="E606" s="26" t="str">
        <f t="shared" si="28"/>
        <v/>
      </c>
      <c r="F606" s="28"/>
      <c r="G606" s="28"/>
      <c r="H606" s="29" t="str">
        <f t="shared" si="29"/>
        <v/>
      </c>
    </row>
    <row r="607" spans="1:8">
      <c r="A607" s="28"/>
      <c r="B607" s="28"/>
      <c r="C607" s="28"/>
      <c r="D607" s="26" t="str">
        <f t="shared" si="27"/>
        <v/>
      </c>
      <c r="E607" s="26" t="str">
        <f t="shared" si="28"/>
        <v/>
      </c>
      <c r="F607" s="28"/>
      <c r="G607" s="28"/>
      <c r="H607" s="29" t="str">
        <f t="shared" si="29"/>
        <v/>
      </c>
    </row>
    <row r="608" spans="1:8">
      <c r="A608" s="28"/>
      <c r="B608" s="28"/>
      <c r="C608" s="28"/>
      <c r="D608" s="26" t="str">
        <f t="shared" si="27"/>
        <v/>
      </c>
      <c r="E608" s="26" t="str">
        <f t="shared" si="28"/>
        <v/>
      </c>
      <c r="F608" s="28"/>
      <c r="G608" s="28"/>
      <c r="H608" s="29" t="str">
        <f t="shared" si="29"/>
        <v/>
      </c>
    </row>
    <row r="609" spans="1:8">
      <c r="A609" s="28"/>
      <c r="B609" s="28"/>
      <c r="C609" s="28"/>
      <c r="D609" s="26" t="str">
        <f t="shared" si="27"/>
        <v/>
      </c>
      <c r="E609" s="26" t="str">
        <f t="shared" si="28"/>
        <v/>
      </c>
      <c r="F609" s="28"/>
      <c r="G609" s="28"/>
      <c r="H609" s="29" t="str">
        <f t="shared" si="29"/>
        <v/>
      </c>
    </row>
    <row r="610" spans="1:8">
      <c r="A610" s="28"/>
      <c r="B610" s="28"/>
      <c r="C610" s="28"/>
      <c r="D610" s="26" t="str">
        <f t="shared" si="27"/>
        <v/>
      </c>
      <c r="E610" s="26" t="str">
        <f t="shared" si="28"/>
        <v/>
      </c>
      <c r="F610" s="28"/>
      <c r="G610" s="28"/>
      <c r="H610" s="29" t="str">
        <f t="shared" si="29"/>
        <v/>
      </c>
    </row>
    <row r="611" spans="1:8">
      <c r="A611" s="28"/>
      <c r="B611" s="28"/>
      <c r="C611" s="28"/>
      <c r="D611" s="26" t="str">
        <f t="shared" si="27"/>
        <v/>
      </c>
      <c r="E611" s="26" t="str">
        <f t="shared" si="28"/>
        <v/>
      </c>
      <c r="F611" s="28"/>
      <c r="G611" s="28"/>
      <c r="H611" s="29" t="str">
        <f t="shared" si="29"/>
        <v/>
      </c>
    </row>
    <row r="612" spans="1:8">
      <c r="A612" s="28"/>
      <c r="B612" s="28"/>
      <c r="C612" s="28"/>
      <c r="D612" s="26" t="str">
        <f t="shared" si="27"/>
        <v/>
      </c>
      <c r="E612" s="26" t="str">
        <f t="shared" si="28"/>
        <v/>
      </c>
      <c r="F612" s="28"/>
      <c r="G612" s="28"/>
      <c r="H612" s="29" t="str">
        <f t="shared" si="29"/>
        <v/>
      </c>
    </row>
    <row r="613" spans="1:8">
      <c r="A613" s="28"/>
      <c r="B613" s="28"/>
      <c r="C613" s="28"/>
      <c r="D613" s="26" t="str">
        <f t="shared" si="27"/>
        <v/>
      </c>
      <c r="E613" s="26" t="str">
        <f t="shared" si="28"/>
        <v/>
      </c>
      <c r="F613" s="28"/>
      <c r="G613" s="28"/>
      <c r="H613" s="29" t="str">
        <f t="shared" si="29"/>
        <v/>
      </c>
    </row>
    <row r="614" spans="1:8">
      <c r="A614" s="28"/>
      <c r="B614" s="28"/>
      <c r="C614" s="28"/>
      <c r="D614" s="26" t="str">
        <f t="shared" si="27"/>
        <v/>
      </c>
      <c r="E614" s="26" t="str">
        <f t="shared" si="28"/>
        <v/>
      </c>
      <c r="F614" s="28"/>
      <c r="G614" s="28"/>
      <c r="H614" s="29" t="str">
        <f t="shared" si="29"/>
        <v/>
      </c>
    </row>
    <row r="615" spans="1:8">
      <c r="A615" s="28"/>
      <c r="B615" s="28"/>
      <c r="C615" s="28"/>
      <c r="D615" s="26" t="str">
        <f t="shared" si="27"/>
        <v/>
      </c>
      <c r="E615" s="26" t="str">
        <f t="shared" si="28"/>
        <v/>
      </c>
      <c r="F615" s="28"/>
      <c r="G615" s="28"/>
      <c r="H615" s="29" t="str">
        <f t="shared" si="29"/>
        <v/>
      </c>
    </row>
    <row r="616" spans="1:8">
      <c r="A616" s="28"/>
      <c r="B616" s="28"/>
      <c r="C616" s="28"/>
      <c r="D616" s="26" t="str">
        <f t="shared" si="27"/>
        <v/>
      </c>
      <c r="E616" s="26" t="str">
        <f t="shared" si="28"/>
        <v/>
      </c>
      <c r="F616" s="28"/>
      <c r="G616" s="28"/>
      <c r="H616" s="29" t="str">
        <f t="shared" si="29"/>
        <v/>
      </c>
    </row>
    <row r="617" spans="1:8">
      <c r="A617" s="28"/>
      <c r="B617" s="28"/>
      <c r="C617" s="28"/>
      <c r="D617" s="26" t="str">
        <f t="shared" si="27"/>
        <v/>
      </c>
      <c r="E617" s="26" t="str">
        <f t="shared" si="28"/>
        <v/>
      </c>
      <c r="F617" s="28"/>
      <c r="G617" s="28"/>
      <c r="H617" s="29" t="str">
        <f t="shared" si="29"/>
        <v/>
      </c>
    </row>
    <row r="618" spans="1:8">
      <c r="A618" s="28"/>
      <c r="B618" s="28"/>
      <c r="C618" s="28"/>
      <c r="D618" s="26" t="str">
        <f t="shared" si="27"/>
        <v/>
      </c>
      <c r="E618" s="26" t="str">
        <f t="shared" si="28"/>
        <v/>
      </c>
      <c r="F618" s="28"/>
      <c r="G618" s="28"/>
      <c r="H618" s="29" t="str">
        <f t="shared" si="29"/>
        <v/>
      </c>
    </row>
    <row r="619" spans="1:8">
      <c r="A619" s="28"/>
      <c r="B619" s="28"/>
      <c r="C619" s="28"/>
      <c r="D619" s="26" t="str">
        <f t="shared" si="27"/>
        <v/>
      </c>
      <c r="E619" s="26" t="str">
        <f t="shared" si="28"/>
        <v/>
      </c>
      <c r="F619" s="28"/>
      <c r="G619" s="28"/>
      <c r="H619" s="29" t="str">
        <f t="shared" si="29"/>
        <v/>
      </c>
    </row>
    <row r="620" spans="1:8">
      <c r="A620" s="28"/>
      <c r="B620" s="28"/>
      <c r="C620" s="28"/>
      <c r="D620" s="26" t="str">
        <f t="shared" si="27"/>
        <v/>
      </c>
      <c r="E620" s="26" t="str">
        <f t="shared" si="28"/>
        <v/>
      </c>
      <c r="F620" s="28"/>
      <c r="G620" s="28"/>
      <c r="H620" s="29" t="str">
        <f t="shared" si="29"/>
        <v/>
      </c>
    </row>
    <row r="621" spans="1:8">
      <c r="A621" s="28"/>
      <c r="B621" s="28"/>
      <c r="C621" s="28"/>
      <c r="D621" s="26" t="str">
        <f t="shared" si="27"/>
        <v/>
      </c>
      <c r="E621" s="26" t="str">
        <f t="shared" si="28"/>
        <v/>
      </c>
      <c r="F621" s="28"/>
      <c r="G621" s="28"/>
      <c r="H621" s="29" t="str">
        <f t="shared" si="29"/>
        <v/>
      </c>
    </row>
    <row r="622" spans="1:8">
      <c r="A622" s="28"/>
      <c r="B622" s="28"/>
      <c r="C622" s="28"/>
      <c r="D622" s="26" t="str">
        <f t="shared" si="27"/>
        <v/>
      </c>
      <c r="E622" s="26" t="str">
        <f t="shared" si="28"/>
        <v/>
      </c>
      <c r="F622" s="28"/>
      <c r="G622" s="28"/>
      <c r="H622" s="29" t="str">
        <f t="shared" si="29"/>
        <v/>
      </c>
    </row>
    <row r="623" spans="1:8">
      <c r="A623" s="28"/>
      <c r="B623" s="28"/>
      <c r="C623" s="28"/>
      <c r="D623" s="26" t="str">
        <f t="shared" si="27"/>
        <v/>
      </c>
      <c r="E623" s="26" t="str">
        <f t="shared" si="28"/>
        <v/>
      </c>
      <c r="F623" s="28"/>
      <c r="G623" s="28"/>
      <c r="H623" s="29" t="str">
        <f t="shared" si="29"/>
        <v/>
      </c>
    </row>
    <row r="624" spans="1:8">
      <c r="A624" s="28"/>
      <c r="B624" s="28"/>
      <c r="C624" s="28"/>
      <c r="D624" s="26" t="str">
        <f t="shared" si="27"/>
        <v/>
      </c>
      <c r="E624" s="26" t="str">
        <f t="shared" si="28"/>
        <v/>
      </c>
      <c r="F624" s="28"/>
      <c r="G624" s="28"/>
      <c r="H624" s="29" t="str">
        <f t="shared" si="29"/>
        <v/>
      </c>
    </row>
    <row r="625" spans="1:8">
      <c r="A625" s="28"/>
      <c r="B625" s="28"/>
      <c r="C625" s="28"/>
      <c r="D625" s="26" t="str">
        <f t="shared" si="27"/>
        <v/>
      </c>
      <c r="E625" s="26" t="str">
        <f t="shared" si="28"/>
        <v/>
      </c>
      <c r="F625" s="28"/>
      <c r="G625" s="28"/>
      <c r="H625" s="29" t="str">
        <f t="shared" si="29"/>
        <v/>
      </c>
    </row>
    <row r="626" spans="1:8">
      <c r="A626" s="28"/>
      <c r="B626" s="28"/>
      <c r="C626" s="28"/>
      <c r="D626" s="26" t="str">
        <f t="shared" si="27"/>
        <v/>
      </c>
      <c r="E626" s="26" t="str">
        <f t="shared" si="28"/>
        <v/>
      </c>
      <c r="F626" s="28"/>
      <c r="G626" s="28"/>
      <c r="H626" s="29" t="str">
        <f t="shared" si="29"/>
        <v/>
      </c>
    </row>
    <row r="627" spans="1:8">
      <c r="A627" s="28"/>
      <c r="B627" s="28"/>
      <c r="C627" s="28"/>
      <c r="D627" s="26" t="str">
        <f t="shared" si="27"/>
        <v/>
      </c>
      <c r="E627" s="26" t="str">
        <f t="shared" si="28"/>
        <v/>
      </c>
      <c r="F627" s="28"/>
      <c r="G627" s="28"/>
      <c r="H627" s="29" t="str">
        <f t="shared" si="29"/>
        <v/>
      </c>
    </row>
    <row r="628" spans="1:8">
      <c r="A628" s="28"/>
      <c r="B628" s="28"/>
      <c r="C628" s="28"/>
      <c r="D628" s="26" t="str">
        <f t="shared" si="27"/>
        <v/>
      </c>
      <c r="E628" s="26" t="str">
        <f t="shared" si="28"/>
        <v/>
      </c>
      <c r="F628" s="28"/>
      <c r="G628" s="28"/>
      <c r="H628" s="29" t="str">
        <f t="shared" si="29"/>
        <v/>
      </c>
    </row>
    <row r="629" spans="1:8">
      <c r="A629" s="28"/>
      <c r="B629" s="28"/>
      <c r="C629" s="28"/>
      <c r="D629" s="26" t="str">
        <f t="shared" si="27"/>
        <v/>
      </c>
      <c r="E629" s="26" t="str">
        <f t="shared" si="28"/>
        <v/>
      </c>
      <c r="F629" s="28"/>
      <c r="G629" s="28"/>
      <c r="H629" s="29" t="str">
        <f t="shared" si="29"/>
        <v/>
      </c>
    </row>
    <row r="630" spans="1:8">
      <c r="A630" s="28"/>
      <c r="B630" s="28"/>
      <c r="C630" s="28"/>
      <c r="D630" s="26" t="str">
        <f t="shared" si="27"/>
        <v/>
      </c>
      <c r="E630" s="26" t="str">
        <f t="shared" si="28"/>
        <v/>
      </c>
      <c r="F630" s="28"/>
      <c r="G630" s="28"/>
      <c r="H630" s="29" t="str">
        <f t="shared" si="29"/>
        <v/>
      </c>
    </row>
    <row r="631" spans="1:8">
      <c r="A631" s="28"/>
      <c r="B631" s="28"/>
      <c r="C631" s="28"/>
      <c r="D631" s="26" t="str">
        <f t="shared" si="27"/>
        <v/>
      </c>
      <c r="E631" s="26" t="str">
        <f t="shared" si="28"/>
        <v/>
      </c>
      <c r="F631" s="28"/>
      <c r="G631" s="28"/>
      <c r="H631" s="29" t="str">
        <f t="shared" si="29"/>
        <v/>
      </c>
    </row>
    <row r="632" spans="1:8">
      <c r="A632" s="28"/>
      <c r="B632" s="28"/>
      <c r="C632" s="28"/>
      <c r="D632" s="26" t="str">
        <f t="shared" si="27"/>
        <v/>
      </c>
      <c r="E632" s="26" t="str">
        <f t="shared" si="28"/>
        <v/>
      </c>
      <c r="F632" s="28"/>
      <c r="G632" s="28"/>
      <c r="H632" s="29" t="str">
        <f t="shared" si="29"/>
        <v/>
      </c>
    </row>
    <row r="633" spans="1:8">
      <c r="A633" s="28"/>
      <c r="B633" s="28"/>
      <c r="C633" s="28"/>
      <c r="D633" s="26" t="str">
        <f t="shared" si="27"/>
        <v/>
      </c>
      <c r="E633" s="26" t="str">
        <f t="shared" si="28"/>
        <v/>
      </c>
      <c r="F633" s="28"/>
      <c r="G633" s="28"/>
      <c r="H633" s="29" t="str">
        <f t="shared" si="29"/>
        <v/>
      </c>
    </row>
    <row r="634" spans="1:8">
      <c r="A634" s="28"/>
      <c r="B634" s="28"/>
      <c r="C634" s="28"/>
      <c r="D634" s="26" t="str">
        <f t="shared" si="27"/>
        <v/>
      </c>
      <c r="E634" s="26" t="str">
        <f t="shared" si="28"/>
        <v/>
      </c>
      <c r="F634" s="28"/>
      <c r="G634" s="28"/>
      <c r="H634" s="29" t="str">
        <f t="shared" si="29"/>
        <v/>
      </c>
    </row>
    <row r="635" spans="1:8">
      <c r="A635" s="28"/>
      <c r="B635" s="28"/>
      <c r="C635" s="28"/>
      <c r="D635" s="26" t="str">
        <f t="shared" si="27"/>
        <v/>
      </c>
      <c r="E635" s="26" t="str">
        <f t="shared" si="28"/>
        <v/>
      </c>
      <c r="F635" s="28"/>
      <c r="G635" s="28"/>
      <c r="H635" s="29" t="str">
        <f t="shared" si="29"/>
        <v/>
      </c>
    </row>
    <row r="636" spans="1:8">
      <c r="A636" s="28"/>
      <c r="B636" s="28"/>
      <c r="C636" s="28"/>
      <c r="D636" s="26" t="str">
        <f t="shared" si="27"/>
        <v/>
      </c>
      <c r="E636" s="26" t="str">
        <f t="shared" si="28"/>
        <v/>
      </c>
      <c r="F636" s="28"/>
      <c r="G636" s="28"/>
      <c r="H636" s="29" t="str">
        <f t="shared" si="29"/>
        <v/>
      </c>
    </row>
    <row r="637" spans="1:8">
      <c r="A637" s="28"/>
      <c r="B637" s="28"/>
      <c r="C637" s="28"/>
      <c r="D637" s="26" t="str">
        <f t="shared" si="27"/>
        <v/>
      </c>
      <c r="E637" s="26" t="str">
        <f t="shared" si="28"/>
        <v/>
      </c>
      <c r="F637" s="28"/>
      <c r="G637" s="28"/>
      <c r="H637" s="29" t="str">
        <f t="shared" si="29"/>
        <v/>
      </c>
    </row>
    <row r="638" spans="1:8">
      <c r="A638" s="28"/>
      <c r="B638" s="28"/>
      <c r="C638" s="28"/>
      <c r="D638" s="26" t="str">
        <f t="shared" si="27"/>
        <v/>
      </c>
      <c r="E638" s="26" t="str">
        <f t="shared" si="28"/>
        <v/>
      </c>
      <c r="F638" s="28"/>
      <c r="G638" s="28"/>
      <c r="H638" s="29" t="str">
        <f t="shared" si="29"/>
        <v/>
      </c>
    </row>
    <row r="639" spans="1:8">
      <c r="A639" s="28"/>
      <c r="B639" s="28"/>
      <c r="C639" s="28"/>
      <c r="D639" s="26" t="str">
        <f t="shared" si="27"/>
        <v/>
      </c>
      <c r="E639" s="26" t="str">
        <f t="shared" si="28"/>
        <v/>
      </c>
      <c r="F639" s="28"/>
      <c r="G639" s="28"/>
      <c r="H639" s="29" t="str">
        <f t="shared" si="29"/>
        <v/>
      </c>
    </row>
    <row r="640" spans="1:8">
      <c r="A640" s="28"/>
      <c r="B640" s="28"/>
      <c r="C640" s="28"/>
      <c r="D640" s="26" t="str">
        <f t="shared" si="27"/>
        <v/>
      </c>
      <c r="E640" s="26" t="str">
        <f t="shared" si="28"/>
        <v/>
      </c>
      <c r="F640" s="28"/>
      <c r="G640" s="28"/>
      <c r="H640" s="29" t="str">
        <f t="shared" si="29"/>
        <v/>
      </c>
    </row>
    <row r="641" spans="1:8">
      <c r="A641" s="28"/>
      <c r="B641" s="28"/>
      <c r="C641" s="28"/>
      <c r="D641" s="26" t="str">
        <f t="shared" si="27"/>
        <v/>
      </c>
      <c r="E641" s="26" t="str">
        <f t="shared" si="28"/>
        <v/>
      </c>
      <c r="F641" s="28"/>
      <c r="G641" s="28"/>
      <c r="H641" s="29" t="str">
        <f t="shared" si="29"/>
        <v/>
      </c>
    </row>
    <row r="642" spans="1:8">
      <c r="A642" s="28"/>
      <c r="B642" s="28"/>
      <c r="C642" s="28"/>
      <c r="D642" s="26" t="str">
        <f t="shared" ref="D642:D705" si="30">IF(OR(B642="",C642=""),"",C642-B642)</f>
        <v/>
      </c>
      <c r="E642" s="26" t="str">
        <f t="shared" ref="E642:E705" si="31">IF(OR(B642="",C642=""),"",(B642+C642)/2)</f>
        <v/>
      </c>
      <c r="F642" s="28"/>
      <c r="G642" s="28"/>
      <c r="H642" s="29" t="str">
        <f t="shared" ref="H642:H705" si="32">IF(OR(F642="",G642=""),"",G642-F642)</f>
        <v/>
      </c>
    </row>
    <row r="643" spans="1:8">
      <c r="A643" s="28"/>
      <c r="B643" s="28"/>
      <c r="C643" s="28"/>
      <c r="D643" s="26" t="str">
        <f t="shared" si="30"/>
        <v/>
      </c>
      <c r="E643" s="26" t="str">
        <f t="shared" si="31"/>
        <v/>
      </c>
      <c r="F643" s="28"/>
      <c r="G643" s="28"/>
      <c r="H643" s="29" t="str">
        <f t="shared" si="32"/>
        <v/>
      </c>
    </row>
    <row r="644" spans="1:8">
      <c r="A644" s="28"/>
      <c r="B644" s="28"/>
      <c r="C644" s="28"/>
      <c r="D644" s="26" t="str">
        <f t="shared" si="30"/>
        <v/>
      </c>
      <c r="E644" s="26" t="str">
        <f t="shared" si="31"/>
        <v/>
      </c>
      <c r="F644" s="28"/>
      <c r="G644" s="28"/>
      <c r="H644" s="29" t="str">
        <f t="shared" si="32"/>
        <v/>
      </c>
    </row>
    <row r="645" spans="1:8">
      <c r="A645" s="28"/>
      <c r="B645" s="28"/>
      <c r="C645" s="28"/>
      <c r="D645" s="26" t="str">
        <f t="shared" si="30"/>
        <v/>
      </c>
      <c r="E645" s="26" t="str">
        <f t="shared" si="31"/>
        <v/>
      </c>
      <c r="F645" s="28"/>
      <c r="G645" s="28"/>
      <c r="H645" s="29" t="str">
        <f t="shared" si="32"/>
        <v/>
      </c>
    </row>
    <row r="646" spans="1:8">
      <c r="A646" s="28"/>
      <c r="B646" s="28"/>
      <c r="C646" s="28"/>
      <c r="D646" s="26" t="str">
        <f t="shared" si="30"/>
        <v/>
      </c>
      <c r="E646" s="26" t="str">
        <f t="shared" si="31"/>
        <v/>
      </c>
      <c r="F646" s="28"/>
      <c r="G646" s="28"/>
      <c r="H646" s="29" t="str">
        <f t="shared" si="32"/>
        <v/>
      </c>
    </row>
    <row r="647" spans="1:8">
      <c r="A647" s="28"/>
      <c r="B647" s="28"/>
      <c r="C647" s="28"/>
      <c r="D647" s="26" t="str">
        <f t="shared" si="30"/>
        <v/>
      </c>
      <c r="E647" s="26" t="str">
        <f t="shared" si="31"/>
        <v/>
      </c>
      <c r="F647" s="28"/>
      <c r="G647" s="28"/>
      <c r="H647" s="29" t="str">
        <f t="shared" si="32"/>
        <v/>
      </c>
    </row>
    <row r="648" spans="1:8">
      <c r="A648" s="28"/>
      <c r="B648" s="28"/>
      <c r="C648" s="28"/>
      <c r="D648" s="26" t="str">
        <f t="shared" si="30"/>
        <v/>
      </c>
      <c r="E648" s="26" t="str">
        <f t="shared" si="31"/>
        <v/>
      </c>
      <c r="F648" s="28"/>
      <c r="G648" s="28"/>
      <c r="H648" s="29" t="str">
        <f t="shared" si="32"/>
        <v/>
      </c>
    </row>
    <row r="649" spans="1:8">
      <c r="A649" s="28"/>
      <c r="B649" s="28"/>
      <c r="C649" s="28"/>
      <c r="D649" s="26" t="str">
        <f t="shared" si="30"/>
        <v/>
      </c>
      <c r="E649" s="26" t="str">
        <f t="shared" si="31"/>
        <v/>
      </c>
      <c r="F649" s="28"/>
      <c r="G649" s="28"/>
      <c r="H649" s="29" t="str">
        <f t="shared" si="32"/>
        <v/>
      </c>
    </row>
    <row r="650" spans="1:8">
      <c r="A650" s="28"/>
      <c r="B650" s="28"/>
      <c r="C650" s="28"/>
      <c r="D650" s="26" t="str">
        <f t="shared" si="30"/>
        <v/>
      </c>
      <c r="E650" s="26" t="str">
        <f t="shared" si="31"/>
        <v/>
      </c>
      <c r="F650" s="28"/>
      <c r="G650" s="28"/>
      <c r="H650" s="29" t="str">
        <f t="shared" si="32"/>
        <v/>
      </c>
    </row>
    <row r="651" spans="1:8">
      <c r="A651" s="28"/>
      <c r="B651" s="28"/>
      <c r="C651" s="28"/>
      <c r="D651" s="26" t="str">
        <f t="shared" si="30"/>
        <v/>
      </c>
      <c r="E651" s="26" t="str">
        <f t="shared" si="31"/>
        <v/>
      </c>
      <c r="F651" s="28"/>
      <c r="G651" s="28"/>
      <c r="H651" s="29" t="str">
        <f t="shared" si="32"/>
        <v/>
      </c>
    </row>
    <row r="652" spans="1:8">
      <c r="A652" s="28"/>
      <c r="B652" s="28"/>
      <c r="C652" s="28"/>
      <c r="D652" s="26" t="str">
        <f t="shared" si="30"/>
        <v/>
      </c>
      <c r="E652" s="26" t="str">
        <f t="shared" si="31"/>
        <v/>
      </c>
      <c r="F652" s="28"/>
      <c r="G652" s="28"/>
      <c r="H652" s="29" t="str">
        <f t="shared" si="32"/>
        <v/>
      </c>
    </row>
    <row r="653" spans="1:8">
      <c r="A653" s="28"/>
      <c r="B653" s="28"/>
      <c r="C653" s="28"/>
      <c r="D653" s="26" t="str">
        <f t="shared" si="30"/>
        <v/>
      </c>
      <c r="E653" s="26" t="str">
        <f t="shared" si="31"/>
        <v/>
      </c>
      <c r="F653" s="28"/>
      <c r="G653" s="28"/>
      <c r="H653" s="29" t="str">
        <f t="shared" si="32"/>
        <v/>
      </c>
    </row>
    <row r="654" spans="1:8">
      <c r="A654" s="28"/>
      <c r="B654" s="28"/>
      <c r="C654" s="28"/>
      <c r="D654" s="26" t="str">
        <f t="shared" si="30"/>
        <v/>
      </c>
      <c r="E654" s="26" t="str">
        <f t="shared" si="31"/>
        <v/>
      </c>
      <c r="F654" s="28"/>
      <c r="G654" s="28"/>
      <c r="H654" s="29" t="str">
        <f t="shared" si="32"/>
        <v/>
      </c>
    </row>
    <row r="655" spans="1:8">
      <c r="A655" s="28"/>
      <c r="B655" s="28"/>
      <c r="C655" s="28"/>
      <c r="D655" s="26" t="str">
        <f t="shared" si="30"/>
        <v/>
      </c>
      <c r="E655" s="26" t="str">
        <f t="shared" si="31"/>
        <v/>
      </c>
      <c r="F655" s="28"/>
      <c r="G655" s="28"/>
      <c r="H655" s="29" t="str">
        <f t="shared" si="32"/>
        <v/>
      </c>
    </row>
    <row r="656" spans="1:8">
      <c r="A656" s="28"/>
      <c r="B656" s="28"/>
      <c r="C656" s="28"/>
      <c r="D656" s="26" t="str">
        <f t="shared" si="30"/>
        <v/>
      </c>
      <c r="E656" s="26" t="str">
        <f t="shared" si="31"/>
        <v/>
      </c>
      <c r="F656" s="28"/>
      <c r="G656" s="28"/>
      <c r="H656" s="29" t="str">
        <f t="shared" si="32"/>
        <v/>
      </c>
    </row>
    <row r="657" spans="1:8">
      <c r="A657" s="28"/>
      <c r="B657" s="28"/>
      <c r="C657" s="28"/>
      <c r="D657" s="26" t="str">
        <f t="shared" si="30"/>
        <v/>
      </c>
      <c r="E657" s="26" t="str">
        <f t="shared" si="31"/>
        <v/>
      </c>
      <c r="F657" s="28"/>
      <c r="G657" s="28"/>
      <c r="H657" s="29" t="str">
        <f t="shared" si="32"/>
        <v/>
      </c>
    </row>
    <row r="658" spans="1:8">
      <c r="A658" s="28"/>
      <c r="B658" s="28"/>
      <c r="C658" s="28"/>
      <c r="D658" s="26" t="str">
        <f t="shared" si="30"/>
        <v/>
      </c>
      <c r="E658" s="26" t="str">
        <f t="shared" si="31"/>
        <v/>
      </c>
      <c r="F658" s="28"/>
      <c r="G658" s="28"/>
      <c r="H658" s="29" t="str">
        <f t="shared" si="32"/>
        <v/>
      </c>
    </row>
    <row r="659" spans="1:8">
      <c r="A659" s="28"/>
      <c r="B659" s="28"/>
      <c r="C659" s="28"/>
      <c r="D659" s="26" t="str">
        <f t="shared" si="30"/>
        <v/>
      </c>
      <c r="E659" s="26" t="str">
        <f t="shared" si="31"/>
        <v/>
      </c>
      <c r="F659" s="28"/>
      <c r="G659" s="28"/>
      <c r="H659" s="29" t="str">
        <f t="shared" si="32"/>
        <v/>
      </c>
    </row>
    <row r="660" spans="1:8">
      <c r="A660" s="28"/>
      <c r="B660" s="28"/>
      <c r="C660" s="28"/>
      <c r="D660" s="26" t="str">
        <f t="shared" si="30"/>
        <v/>
      </c>
      <c r="E660" s="26" t="str">
        <f t="shared" si="31"/>
        <v/>
      </c>
      <c r="F660" s="28"/>
      <c r="G660" s="28"/>
      <c r="H660" s="29" t="str">
        <f t="shared" si="32"/>
        <v/>
      </c>
    </row>
    <row r="661" spans="1:8">
      <c r="A661" s="28"/>
      <c r="B661" s="28"/>
      <c r="C661" s="28"/>
      <c r="D661" s="26" t="str">
        <f t="shared" si="30"/>
        <v/>
      </c>
      <c r="E661" s="26" t="str">
        <f t="shared" si="31"/>
        <v/>
      </c>
      <c r="F661" s="28"/>
      <c r="G661" s="28"/>
      <c r="H661" s="29" t="str">
        <f t="shared" si="32"/>
        <v/>
      </c>
    </row>
    <row r="662" spans="1:8">
      <c r="A662" s="28"/>
      <c r="B662" s="28"/>
      <c r="C662" s="28"/>
      <c r="D662" s="26" t="str">
        <f t="shared" si="30"/>
        <v/>
      </c>
      <c r="E662" s="26" t="str">
        <f t="shared" si="31"/>
        <v/>
      </c>
      <c r="F662" s="28"/>
      <c r="G662" s="28"/>
      <c r="H662" s="29" t="str">
        <f t="shared" si="32"/>
        <v/>
      </c>
    </row>
    <row r="663" spans="1:8">
      <c r="A663" s="28"/>
      <c r="B663" s="28"/>
      <c r="C663" s="28"/>
      <c r="D663" s="26" t="str">
        <f t="shared" si="30"/>
        <v/>
      </c>
      <c r="E663" s="26" t="str">
        <f t="shared" si="31"/>
        <v/>
      </c>
      <c r="F663" s="28"/>
      <c r="G663" s="28"/>
      <c r="H663" s="29" t="str">
        <f t="shared" si="32"/>
        <v/>
      </c>
    </row>
    <row r="664" spans="1:8">
      <c r="A664" s="28"/>
      <c r="B664" s="28"/>
      <c r="C664" s="28"/>
      <c r="D664" s="26" t="str">
        <f t="shared" si="30"/>
        <v/>
      </c>
      <c r="E664" s="26" t="str">
        <f t="shared" si="31"/>
        <v/>
      </c>
      <c r="F664" s="28"/>
      <c r="G664" s="28"/>
      <c r="H664" s="29" t="str">
        <f t="shared" si="32"/>
        <v/>
      </c>
    </row>
    <row r="665" spans="1:8">
      <c r="A665" s="28"/>
      <c r="B665" s="28"/>
      <c r="C665" s="28"/>
      <c r="D665" s="26" t="str">
        <f t="shared" si="30"/>
        <v/>
      </c>
      <c r="E665" s="26" t="str">
        <f t="shared" si="31"/>
        <v/>
      </c>
      <c r="F665" s="28"/>
      <c r="G665" s="28"/>
      <c r="H665" s="29" t="str">
        <f t="shared" si="32"/>
        <v/>
      </c>
    </row>
    <row r="666" spans="1:8">
      <c r="A666" s="28"/>
      <c r="B666" s="28"/>
      <c r="C666" s="28"/>
      <c r="D666" s="26" t="str">
        <f t="shared" si="30"/>
        <v/>
      </c>
      <c r="E666" s="26" t="str">
        <f t="shared" si="31"/>
        <v/>
      </c>
      <c r="F666" s="28"/>
      <c r="G666" s="28"/>
      <c r="H666" s="29" t="str">
        <f t="shared" si="32"/>
        <v/>
      </c>
    </row>
    <row r="667" spans="1:8">
      <c r="A667" s="28"/>
      <c r="B667" s="28"/>
      <c r="C667" s="28"/>
      <c r="D667" s="26" t="str">
        <f t="shared" si="30"/>
        <v/>
      </c>
      <c r="E667" s="26" t="str">
        <f t="shared" si="31"/>
        <v/>
      </c>
      <c r="F667" s="28"/>
      <c r="G667" s="28"/>
      <c r="H667" s="29" t="str">
        <f t="shared" si="32"/>
        <v/>
      </c>
    </row>
    <row r="668" spans="1:8">
      <c r="A668" s="28"/>
      <c r="B668" s="28"/>
      <c r="C668" s="28"/>
      <c r="D668" s="26" t="str">
        <f t="shared" si="30"/>
        <v/>
      </c>
      <c r="E668" s="26" t="str">
        <f t="shared" si="31"/>
        <v/>
      </c>
      <c r="F668" s="28"/>
      <c r="G668" s="28"/>
      <c r="H668" s="29" t="str">
        <f t="shared" si="32"/>
        <v/>
      </c>
    </row>
    <row r="669" spans="1:8">
      <c r="A669" s="28"/>
      <c r="B669" s="28"/>
      <c r="C669" s="28"/>
      <c r="D669" s="26" t="str">
        <f t="shared" si="30"/>
        <v/>
      </c>
      <c r="E669" s="26" t="str">
        <f t="shared" si="31"/>
        <v/>
      </c>
      <c r="F669" s="28"/>
      <c r="G669" s="28"/>
      <c r="H669" s="29" t="str">
        <f t="shared" si="32"/>
        <v/>
      </c>
    </row>
    <row r="670" spans="1:8">
      <c r="A670" s="28"/>
      <c r="B670" s="28"/>
      <c r="C670" s="28"/>
      <c r="D670" s="26" t="str">
        <f t="shared" si="30"/>
        <v/>
      </c>
      <c r="E670" s="26" t="str">
        <f t="shared" si="31"/>
        <v/>
      </c>
      <c r="F670" s="28"/>
      <c r="G670" s="28"/>
      <c r="H670" s="29" t="str">
        <f t="shared" si="32"/>
        <v/>
      </c>
    </row>
    <row r="671" spans="1:8">
      <c r="A671" s="28"/>
      <c r="B671" s="28"/>
      <c r="C671" s="28"/>
      <c r="D671" s="26" t="str">
        <f t="shared" si="30"/>
        <v/>
      </c>
      <c r="E671" s="26" t="str">
        <f t="shared" si="31"/>
        <v/>
      </c>
      <c r="F671" s="28"/>
      <c r="G671" s="28"/>
      <c r="H671" s="29" t="str">
        <f t="shared" si="32"/>
        <v/>
      </c>
    </row>
    <row r="672" spans="1:8">
      <c r="A672" s="28"/>
      <c r="B672" s="28"/>
      <c r="C672" s="28"/>
      <c r="D672" s="26" t="str">
        <f t="shared" si="30"/>
        <v/>
      </c>
      <c r="E672" s="26" t="str">
        <f t="shared" si="31"/>
        <v/>
      </c>
      <c r="F672" s="28"/>
      <c r="G672" s="28"/>
      <c r="H672" s="29" t="str">
        <f t="shared" si="32"/>
        <v/>
      </c>
    </row>
    <row r="673" spans="1:8">
      <c r="A673" s="28"/>
      <c r="B673" s="28"/>
      <c r="C673" s="28"/>
      <c r="D673" s="26" t="str">
        <f t="shared" si="30"/>
        <v/>
      </c>
      <c r="E673" s="26" t="str">
        <f t="shared" si="31"/>
        <v/>
      </c>
      <c r="F673" s="28"/>
      <c r="G673" s="28"/>
      <c r="H673" s="29" t="str">
        <f t="shared" si="32"/>
        <v/>
      </c>
    </row>
    <row r="674" spans="1:8">
      <c r="A674" s="28"/>
      <c r="B674" s="28"/>
      <c r="C674" s="28"/>
      <c r="D674" s="26" t="str">
        <f t="shared" si="30"/>
        <v/>
      </c>
      <c r="E674" s="26" t="str">
        <f t="shared" si="31"/>
        <v/>
      </c>
      <c r="F674" s="28"/>
      <c r="G674" s="28"/>
      <c r="H674" s="29" t="str">
        <f t="shared" si="32"/>
        <v/>
      </c>
    </row>
    <row r="675" spans="1:8">
      <c r="A675" s="28"/>
      <c r="B675" s="28"/>
      <c r="C675" s="28"/>
      <c r="D675" s="26" t="str">
        <f t="shared" si="30"/>
        <v/>
      </c>
      <c r="E675" s="26" t="str">
        <f t="shared" si="31"/>
        <v/>
      </c>
      <c r="F675" s="28"/>
      <c r="G675" s="28"/>
      <c r="H675" s="29" t="str">
        <f t="shared" si="32"/>
        <v/>
      </c>
    </row>
    <row r="676" spans="1:8">
      <c r="A676" s="28"/>
      <c r="B676" s="28"/>
      <c r="C676" s="28"/>
      <c r="D676" s="26" t="str">
        <f t="shared" si="30"/>
        <v/>
      </c>
      <c r="E676" s="26" t="str">
        <f t="shared" si="31"/>
        <v/>
      </c>
      <c r="F676" s="28"/>
      <c r="G676" s="28"/>
      <c r="H676" s="29" t="str">
        <f t="shared" si="32"/>
        <v/>
      </c>
    </row>
    <row r="677" spans="1:8">
      <c r="A677" s="28"/>
      <c r="B677" s="28"/>
      <c r="C677" s="28"/>
      <c r="D677" s="26" t="str">
        <f t="shared" si="30"/>
        <v/>
      </c>
      <c r="E677" s="26" t="str">
        <f t="shared" si="31"/>
        <v/>
      </c>
      <c r="F677" s="28"/>
      <c r="G677" s="28"/>
      <c r="H677" s="29" t="str">
        <f t="shared" si="32"/>
        <v/>
      </c>
    </row>
    <row r="678" spans="1:8">
      <c r="A678" s="28"/>
      <c r="B678" s="28"/>
      <c r="C678" s="28"/>
      <c r="D678" s="26" t="str">
        <f t="shared" si="30"/>
        <v/>
      </c>
      <c r="E678" s="26" t="str">
        <f t="shared" si="31"/>
        <v/>
      </c>
      <c r="F678" s="28"/>
      <c r="G678" s="28"/>
      <c r="H678" s="29" t="str">
        <f t="shared" si="32"/>
        <v/>
      </c>
    </row>
    <row r="679" spans="1:8">
      <c r="A679" s="28"/>
      <c r="B679" s="28"/>
      <c r="C679" s="28"/>
      <c r="D679" s="26" t="str">
        <f t="shared" si="30"/>
        <v/>
      </c>
      <c r="E679" s="26" t="str">
        <f t="shared" si="31"/>
        <v/>
      </c>
      <c r="F679" s="28"/>
      <c r="G679" s="28"/>
      <c r="H679" s="29" t="str">
        <f t="shared" si="32"/>
        <v/>
      </c>
    </row>
    <row r="680" spans="1:8">
      <c r="A680" s="28"/>
      <c r="B680" s="28"/>
      <c r="C680" s="28"/>
      <c r="D680" s="26" t="str">
        <f t="shared" si="30"/>
        <v/>
      </c>
      <c r="E680" s="26" t="str">
        <f t="shared" si="31"/>
        <v/>
      </c>
      <c r="F680" s="28"/>
      <c r="G680" s="28"/>
      <c r="H680" s="29" t="str">
        <f t="shared" si="32"/>
        <v/>
      </c>
    </row>
    <row r="681" spans="1:8">
      <c r="A681" s="28"/>
      <c r="B681" s="28"/>
      <c r="C681" s="28"/>
      <c r="D681" s="26" t="str">
        <f t="shared" si="30"/>
        <v/>
      </c>
      <c r="E681" s="26" t="str">
        <f t="shared" si="31"/>
        <v/>
      </c>
      <c r="F681" s="28"/>
      <c r="G681" s="28"/>
      <c r="H681" s="29" t="str">
        <f t="shared" si="32"/>
        <v/>
      </c>
    </row>
    <row r="682" spans="1:8">
      <c r="A682" s="28"/>
      <c r="B682" s="28"/>
      <c r="C682" s="28"/>
      <c r="D682" s="26" t="str">
        <f t="shared" si="30"/>
        <v/>
      </c>
      <c r="E682" s="26" t="str">
        <f t="shared" si="31"/>
        <v/>
      </c>
      <c r="F682" s="28"/>
      <c r="G682" s="28"/>
      <c r="H682" s="29" t="str">
        <f t="shared" si="32"/>
        <v/>
      </c>
    </row>
    <row r="683" spans="1:8">
      <c r="A683" s="28"/>
      <c r="B683" s="28"/>
      <c r="C683" s="28"/>
      <c r="D683" s="26" t="str">
        <f t="shared" si="30"/>
        <v/>
      </c>
      <c r="E683" s="26" t="str">
        <f t="shared" si="31"/>
        <v/>
      </c>
      <c r="F683" s="28"/>
      <c r="G683" s="28"/>
      <c r="H683" s="29" t="str">
        <f t="shared" si="32"/>
        <v/>
      </c>
    </row>
    <row r="684" spans="1:8">
      <c r="A684" s="28"/>
      <c r="B684" s="28"/>
      <c r="C684" s="28"/>
      <c r="D684" s="26" t="str">
        <f t="shared" si="30"/>
        <v/>
      </c>
      <c r="E684" s="26" t="str">
        <f t="shared" si="31"/>
        <v/>
      </c>
      <c r="F684" s="28"/>
      <c r="G684" s="28"/>
      <c r="H684" s="29" t="str">
        <f t="shared" si="32"/>
        <v/>
      </c>
    </row>
    <row r="685" spans="1:8">
      <c r="A685" s="28"/>
      <c r="B685" s="28"/>
      <c r="C685" s="28"/>
      <c r="D685" s="26" t="str">
        <f t="shared" si="30"/>
        <v/>
      </c>
      <c r="E685" s="26" t="str">
        <f t="shared" si="31"/>
        <v/>
      </c>
      <c r="F685" s="28"/>
      <c r="G685" s="28"/>
      <c r="H685" s="29" t="str">
        <f t="shared" si="32"/>
        <v/>
      </c>
    </row>
    <row r="686" spans="1:8">
      <c r="A686" s="28"/>
      <c r="B686" s="28"/>
      <c r="C686" s="28"/>
      <c r="D686" s="26" t="str">
        <f t="shared" si="30"/>
        <v/>
      </c>
      <c r="E686" s="26" t="str">
        <f t="shared" si="31"/>
        <v/>
      </c>
      <c r="F686" s="28"/>
      <c r="G686" s="28"/>
      <c r="H686" s="29" t="str">
        <f t="shared" si="32"/>
        <v/>
      </c>
    </row>
    <row r="687" spans="1:8">
      <c r="A687" s="28"/>
      <c r="B687" s="28"/>
      <c r="C687" s="28"/>
      <c r="D687" s="26" t="str">
        <f t="shared" si="30"/>
        <v/>
      </c>
      <c r="E687" s="26" t="str">
        <f t="shared" si="31"/>
        <v/>
      </c>
      <c r="F687" s="28"/>
      <c r="G687" s="28"/>
      <c r="H687" s="29" t="str">
        <f t="shared" si="32"/>
        <v/>
      </c>
    </row>
    <row r="688" spans="1:8">
      <c r="A688" s="28"/>
      <c r="B688" s="28"/>
      <c r="C688" s="28"/>
      <c r="D688" s="26" t="str">
        <f t="shared" si="30"/>
        <v/>
      </c>
      <c r="E688" s="26" t="str">
        <f t="shared" si="31"/>
        <v/>
      </c>
      <c r="F688" s="28"/>
      <c r="G688" s="28"/>
      <c r="H688" s="29" t="str">
        <f t="shared" si="32"/>
        <v/>
      </c>
    </row>
    <row r="689" spans="1:8">
      <c r="A689" s="28"/>
      <c r="B689" s="28"/>
      <c r="C689" s="28"/>
      <c r="D689" s="26" t="str">
        <f t="shared" si="30"/>
        <v/>
      </c>
      <c r="E689" s="26" t="str">
        <f t="shared" si="31"/>
        <v/>
      </c>
      <c r="F689" s="28"/>
      <c r="G689" s="28"/>
      <c r="H689" s="29" t="str">
        <f t="shared" si="32"/>
        <v/>
      </c>
    </row>
    <row r="690" spans="1:8">
      <c r="A690" s="28"/>
      <c r="B690" s="28"/>
      <c r="C690" s="28"/>
      <c r="D690" s="26" t="str">
        <f t="shared" si="30"/>
        <v/>
      </c>
      <c r="E690" s="26" t="str">
        <f t="shared" si="31"/>
        <v/>
      </c>
      <c r="F690" s="28"/>
      <c r="G690" s="28"/>
      <c r="H690" s="29" t="str">
        <f t="shared" si="32"/>
        <v/>
      </c>
    </row>
    <row r="691" spans="1:8">
      <c r="A691" s="28"/>
      <c r="B691" s="28"/>
      <c r="C691" s="28"/>
      <c r="D691" s="26" t="str">
        <f t="shared" si="30"/>
        <v/>
      </c>
      <c r="E691" s="26" t="str">
        <f t="shared" si="31"/>
        <v/>
      </c>
      <c r="F691" s="28"/>
      <c r="G691" s="28"/>
      <c r="H691" s="29" t="str">
        <f t="shared" si="32"/>
        <v/>
      </c>
    </row>
    <row r="692" spans="1:8">
      <c r="A692" s="28"/>
      <c r="B692" s="28"/>
      <c r="C692" s="28"/>
      <c r="D692" s="26" t="str">
        <f t="shared" si="30"/>
        <v/>
      </c>
      <c r="E692" s="26" t="str">
        <f t="shared" si="31"/>
        <v/>
      </c>
      <c r="F692" s="28"/>
      <c r="G692" s="28"/>
      <c r="H692" s="29" t="str">
        <f t="shared" si="32"/>
        <v/>
      </c>
    </row>
    <row r="693" spans="1:8">
      <c r="A693" s="28"/>
      <c r="B693" s="28"/>
      <c r="C693" s="28"/>
      <c r="D693" s="26" t="str">
        <f t="shared" si="30"/>
        <v/>
      </c>
      <c r="E693" s="26" t="str">
        <f t="shared" si="31"/>
        <v/>
      </c>
      <c r="F693" s="28"/>
      <c r="G693" s="28"/>
      <c r="H693" s="29" t="str">
        <f t="shared" si="32"/>
        <v/>
      </c>
    </row>
    <row r="694" spans="1:8">
      <c r="A694" s="28"/>
      <c r="B694" s="28"/>
      <c r="C694" s="28"/>
      <c r="D694" s="26" t="str">
        <f t="shared" si="30"/>
        <v/>
      </c>
      <c r="E694" s="26" t="str">
        <f t="shared" si="31"/>
        <v/>
      </c>
      <c r="F694" s="28"/>
      <c r="G694" s="28"/>
      <c r="H694" s="29" t="str">
        <f t="shared" si="32"/>
        <v/>
      </c>
    </row>
    <row r="695" spans="1:8">
      <c r="A695" s="28"/>
      <c r="B695" s="28"/>
      <c r="C695" s="28"/>
      <c r="D695" s="26" t="str">
        <f t="shared" si="30"/>
        <v/>
      </c>
      <c r="E695" s="26" t="str">
        <f t="shared" si="31"/>
        <v/>
      </c>
      <c r="F695" s="28"/>
      <c r="G695" s="28"/>
      <c r="H695" s="29" t="str">
        <f t="shared" si="32"/>
        <v/>
      </c>
    </row>
    <row r="696" spans="1:8">
      <c r="A696" s="28"/>
      <c r="B696" s="28"/>
      <c r="C696" s="28"/>
      <c r="D696" s="26" t="str">
        <f t="shared" si="30"/>
        <v/>
      </c>
      <c r="E696" s="26" t="str">
        <f t="shared" si="31"/>
        <v/>
      </c>
      <c r="F696" s="28"/>
      <c r="G696" s="28"/>
      <c r="H696" s="29" t="str">
        <f t="shared" si="32"/>
        <v/>
      </c>
    </row>
    <row r="697" spans="1:8">
      <c r="A697" s="28"/>
      <c r="B697" s="28"/>
      <c r="C697" s="28"/>
      <c r="D697" s="26" t="str">
        <f t="shared" si="30"/>
        <v/>
      </c>
      <c r="E697" s="26" t="str">
        <f t="shared" si="31"/>
        <v/>
      </c>
      <c r="F697" s="28"/>
      <c r="G697" s="28"/>
      <c r="H697" s="29" t="str">
        <f t="shared" si="32"/>
        <v/>
      </c>
    </row>
    <row r="698" spans="1:8">
      <c r="A698" s="28"/>
      <c r="B698" s="28"/>
      <c r="C698" s="28"/>
      <c r="D698" s="26" t="str">
        <f t="shared" si="30"/>
        <v/>
      </c>
      <c r="E698" s="26" t="str">
        <f t="shared" si="31"/>
        <v/>
      </c>
      <c r="F698" s="28"/>
      <c r="G698" s="28"/>
      <c r="H698" s="29" t="str">
        <f t="shared" si="32"/>
        <v/>
      </c>
    </row>
    <row r="699" spans="1:8">
      <c r="A699" s="28"/>
      <c r="B699" s="28"/>
      <c r="C699" s="28"/>
      <c r="D699" s="26" t="str">
        <f t="shared" si="30"/>
        <v/>
      </c>
      <c r="E699" s="26" t="str">
        <f t="shared" si="31"/>
        <v/>
      </c>
      <c r="F699" s="28"/>
      <c r="G699" s="28"/>
      <c r="H699" s="29" t="str">
        <f t="shared" si="32"/>
        <v/>
      </c>
    </row>
    <row r="700" spans="1:8">
      <c r="A700" s="28"/>
      <c r="B700" s="28"/>
      <c r="C700" s="28"/>
      <c r="D700" s="26" t="str">
        <f t="shared" si="30"/>
        <v/>
      </c>
      <c r="E700" s="26" t="str">
        <f t="shared" si="31"/>
        <v/>
      </c>
      <c r="F700" s="28"/>
      <c r="G700" s="28"/>
      <c r="H700" s="29" t="str">
        <f t="shared" si="32"/>
        <v/>
      </c>
    </row>
    <row r="701" spans="1:8">
      <c r="A701" s="28"/>
      <c r="B701" s="28"/>
      <c r="C701" s="28"/>
      <c r="D701" s="26" t="str">
        <f t="shared" si="30"/>
        <v/>
      </c>
      <c r="E701" s="26" t="str">
        <f t="shared" si="31"/>
        <v/>
      </c>
      <c r="F701" s="28"/>
      <c r="G701" s="28"/>
      <c r="H701" s="29" t="str">
        <f t="shared" si="32"/>
        <v/>
      </c>
    </row>
    <row r="702" spans="1:8">
      <c r="A702" s="28"/>
      <c r="B702" s="28"/>
      <c r="C702" s="28"/>
      <c r="D702" s="26" t="str">
        <f t="shared" si="30"/>
        <v/>
      </c>
      <c r="E702" s="26" t="str">
        <f t="shared" si="31"/>
        <v/>
      </c>
      <c r="F702" s="28"/>
      <c r="G702" s="28"/>
      <c r="H702" s="29" t="str">
        <f t="shared" si="32"/>
        <v/>
      </c>
    </row>
    <row r="703" spans="1:8">
      <c r="A703" s="28"/>
      <c r="B703" s="28"/>
      <c r="C703" s="28"/>
      <c r="D703" s="26" t="str">
        <f t="shared" si="30"/>
        <v/>
      </c>
      <c r="E703" s="26" t="str">
        <f t="shared" si="31"/>
        <v/>
      </c>
      <c r="F703" s="28"/>
      <c r="G703" s="28"/>
      <c r="H703" s="29" t="str">
        <f t="shared" si="32"/>
        <v/>
      </c>
    </row>
    <row r="704" spans="1:8">
      <c r="A704" s="28"/>
      <c r="B704" s="28"/>
      <c r="C704" s="28"/>
      <c r="D704" s="26" t="str">
        <f t="shared" si="30"/>
        <v/>
      </c>
      <c r="E704" s="26" t="str">
        <f t="shared" si="31"/>
        <v/>
      </c>
      <c r="F704" s="28"/>
      <c r="G704" s="28"/>
      <c r="H704" s="29" t="str">
        <f t="shared" si="32"/>
        <v/>
      </c>
    </row>
    <row r="705" spans="1:8">
      <c r="A705" s="28"/>
      <c r="B705" s="28"/>
      <c r="C705" s="28"/>
      <c r="D705" s="26" t="str">
        <f t="shared" si="30"/>
        <v/>
      </c>
      <c r="E705" s="26" t="str">
        <f t="shared" si="31"/>
        <v/>
      </c>
      <c r="F705" s="28"/>
      <c r="G705" s="28"/>
      <c r="H705" s="29" t="str">
        <f t="shared" si="32"/>
        <v/>
      </c>
    </row>
    <row r="706" spans="1:8">
      <c r="A706" s="28"/>
      <c r="B706" s="28"/>
      <c r="C706" s="28"/>
      <c r="D706" s="26" t="str">
        <f t="shared" ref="D706:D769" si="33">IF(OR(B706="",C706=""),"",C706-B706)</f>
        <v/>
      </c>
      <c r="E706" s="26" t="str">
        <f t="shared" ref="E706:E769" si="34">IF(OR(B706="",C706=""),"",(B706+C706)/2)</f>
        <v/>
      </c>
      <c r="F706" s="28"/>
      <c r="G706" s="28"/>
      <c r="H706" s="29" t="str">
        <f t="shared" ref="H706:H769" si="35">IF(OR(F706="",G706=""),"",G706-F706)</f>
        <v/>
      </c>
    </row>
    <row r="707" spans="1:8">
      <c r="A707" s="28"/>
      <c r="B707" s="28"/>
      <c r="C707" s="28"/>
      <c r="D707" s="26" t="str">
        <f t="shared" si="33"/>
        <v/>
      </c>
      <c r="E707" s="26" t="str">
        <f t="shared" si="34"/>
        <v/>
      </c>
      <c r="F707" s="28"/>
      <c r="G707" s="28"/>
      <c r="H707" s="29" t="str">
        <f t="shared" si="35"/>
        <v/>
      </c>
    </row>
    <row r="708" spans="1:8">
      <c r="A708" s="28"/>
      <c r="B708" s="28"/>
      <c r="C708" s="28"/>
      <c r="D708" s="26" t="str">
        <f t="shared" si="33"/>
        <v/>
      </c>
      <c r="E708" s="26" t="str">
        <f t="shared" si="34"/>
        <v/>
      </c>
      <c r="F708" s="28"/>
      <c r="G708" s="28"/>
      <c r="H708" s="29" t="str">
        <f t="shared" si="35"/>
        <v/>
      </c>
    </row>
    <row r="709" spans="1:8">
      <c r="A709" s="28"/>
      <c r="B709" s="28"/>
      <c r="C709" s="28"/>
      <c r="D709" s="26" t="str">
        <f t="shared" si="33"/>
        <v/>
      </c>
      <c r="E709" s="26" t="str">
        <f t="shared" si="34"/>
        <v/>
      </c>
      <c r="F709" s="28"/>
      <c r="G709" s="28"/>
      <c r="H709" s="29" t="str">
        <f t="shared" si="35"/>
        <v/>
      </c>
    </row>
    <row r="710" spans="1:8">
      <c r="A710" s="28"/>
      <c r="B710" s="28"/>
      <c r="C710" s="28"/>
      <c r="D710" s="26" t="str">
        <f t="shared" si="33"/>
        <v/>
      </c>
      <c r="E710" s="26" t="str">
        <f t="shared" si="34"/>
        <v/>
      </c>
      <c r="F710" s="28"/>
      <c r="G710" s="28"/>
      <c r="H710" s="29" t="str">
        <f t="shared" si="35"/>
        <v/>
      </c>
    </row>
    <row r="711" spans="1:8">
      <c r="A711" s="28"/>
      <c r="B711" s="28"/>
      <c r="C711" s="28"/>
      <c r="D711" s="26" t="str">
        <f t="shared" si="33"/>
        <v/>
      </c>
      <c r="E711" s="26" t="str">
        <f t="shared" si="34"/>
        <v/>
      </c>
      <c r="F711" s="28"/>
      <c r="G711" s="28"/>
      <c r="H711" s="29" t="str">
        <f t="shared" si="35"/>
        <v/>
      </c>
    </row>
    <row r="712" spans="1:8">
      <c r="A712" s="28"/>
      <c r="B712" s="28"/>
      <c r="C712" s="28"/>
      <c r="D712" s="26" t="str">
        <f t="shared" si="33"/>
        <v/>
      </c>
      <c r="E712" s="26" t="str">
        <f t="shared" si="34"/>
        <v/>
      </c>
      <c r="F712" s="28"/>
      <c r="G712" s="28"/>
      <c r="H712" s="29" t="str">
        <f t="shared" si="35"/>
        <v/>
      </c>
    </row>
    <row r="713" spans="1:8">
      <c r="A713" s="28"/>
      <c r="B713" s="28"/>
      <c r="C713" s="28"/>
      <c r="D713" s="26" t="str">
        <f t="shared" si="33"/>
        <v/>
      </c>
      <c r="E713" s="26" t="str">
        <f t="shared" si="34"/>
        <v/>
      </c>
      <c r="F713" s="28"/>
      <c r="G713" s="28"/>
      <c r="H713" s="29" t="str">
        <f t="shared" si="35"/>
        <v/>
      </c>
    </row>
    <row r="714" spans="1:8">
      <c r="A714" s="28"/>
      <c r="B714" s="28"/>
      <c r="C714" s="28"/>
      <c r="D714" s="26" t="str">
        <f t="shared" si="33"/>
        <v/>
      </c>
      <c r="E714" s="26" t="str">
        <f t="shared" si="34"/>
        <v/>
      </c>
      <c r="F714" s="28"/>
      <c r="G714" s="28"/>
      <c r="H714" s="29" t="str">
        <f t="shared" si="35"/>
        <v/>
      </c>
    </row>
    <row r="715" spans="1:8">
      <c r="A715" s="28"/>
      <c r="B715" s="28"/>
      <c r="C715" s="28"/>
      <c r="D715" s="26" t="str">
        <f t="shared" si="33"/>
        <v/>
      </c>
      <c r="E715" s="26" t="str">
        <f t="shared" si="34"/>
        <v/>
      </c>
      <c r="F715" s="28"/>
      <c r="G715" s="28"/>
      <c r="H715" s="29" t="str">
        <f t="shared" si="35"/>
        <v/>
      </c>
    </row>
    <row r="716" spans="1:8">
      <c r="A716" s="28"/>
      <c r="B716" s="28"/>
      <c r="C716" s="28"/>
      <c r="D716" s="26" t="str">
        <f t="shared" si="33"/>
        <v/>
      </c>
      <c r="E716" s="26" t="str">
        <f t="shared" si="34"/>
        <v/>
      </c>
      <c r="F716" s="28"/>
      <c r="G716" s="28"/>
      <c r="H716" s="29" t="str">
        <f t="shared" si="35"/>
        <v/>
      </c>
    </row>
    <row r="717" spans="1:8">
      <c r="A717" s="28"/>
      <c r="B717" s="28"/>
      <c r="C717" s="28"/>
      <c r="D717" s="26" t="str">
        <f t="shared" si="33"/>
        <v/>
      </c>
      <c r="E717" s="26" t="str">
        <f t="shared" si="34"/>
        <v/>
      </c>
      <c r="F717" s="28"/>
      <c r="G717" s="28"/>
      <c r="H717" s="29" t="str">
        <f t="shared" si="35"/>
        <v/>
      </c>
    </row>
    <row r="718" spans="1:8">
      <c r="A718" s="28"/>
      <c r="B718" s="28"/>
      <c r="C718" s="28"/>
      <c r="D718" s="26" t="str">
        <f t="shared" si="33"/>
        <v/>
      </c>
      <c r="E718" s="26" t="str">
        <f t="shared" si="34"/>
        <v/>
      </c>
      <c r="F718" s="28"/>
      <c r="G718" s="28"/>
      <c r="H718" s="29" t="str">
        <f t="shared" si="35"/>
        <v/>
      </c>
    </row>
    <row r="719" spans="1:8">
      <c r="A719" s="28"/>
      <c r="B719" s="28"/>
      <c r="C719" s="28"/>
      <c r="D719" s="26" t="str">
        <f t="shared" si="33"/>
        <v/>
      </c>
      <c r="E719" s="26" t="str">
        <f t="shared" si="34"/>
        <v/>
      </c>
      <c r="F719" s="28"/>
      <c r="G719" s="28"/>
      <c r="H719" s="29" t="str">
        <f t="shared" si="35"/>
        <v/>
      </c>
    </row>
    <row r="720" spans="1:8">
      <c r="A720" s="28"/>
      <c r="B720" s="28"/>
      <c r="C720" s="28"/>
      <c r="D720" s="26" t="str">
        <f t="shared" si="33"/>
        <v/>
      </c>
      <c r="E720" s="26" t="str">
        <f t="shared" si="34"/>
        <v/>
      </c>
      <c r="F720" s="28"/>
      <c r="G720" s="28"/>
      <c r="H720" s="29" t="str">
        <f t="shared" si="35"/>
        <v/>
      </c>
    </row>
    <row r="721" spans="1:8">
      <c r="A721" s="28"/>
      <c r="B721" s="28"/>
      <c r="C721" s="28"/>
      <c r="D721" s="26" t="str">
        <f t="shared" si="33"/>
        <v/>
      </c>
      <c r="E721" s="26" t="str">
        <f t="shared" si="34"/>
        <v/>
      </c>
      <c r="F721" s="28"/>
      <c r="G721" s="28"/>
      <c r="H721" s="29" t="str">
        <f t="shared" si="35"/>
        <v/>
      </c>
    </row>
    <row r="722" spans="1:8">
      <c r="A722" s="28"/>
      <c r="B722" s="28"/>
      <c r="C722" s="28"/>
      <c r="D722" s="26" t="str">
        <f t="shared" si="33"/>
        <v/>
      </c>
      <c r="E722" s="26" t="str">
        <f t="shared" si="34"/>
        <v/>
      </c>
      <c r="F722" s="28"/>
      <c r="G722" s="28"/>
      <c r="H722" s="29" t="str">
        <f t="shared" si="35"/>
        <v/>
      </c>
    </row>
    <row r="723" spans="1:8">
      <c r="A723" s="28"/>
      <c r="B723" s="28"/>
      <c r="C723" s="28"/>
      <c r="D723" s="26" t="str">
        <f t="shared" si="33"/>
        <v/>
      </c>
      <c r="E723" s="26" t="str">
        <f t="shared" si="34"/>
        <v/>
      </c>
      <c r="F723" s="28"/>
      <c r="G723" s="28"/>
      <c r="H723" s="29" t="str">
        <f t="shared" si="35"/>
        <v/>
      </c>
    </row>
    <row r="724" spans="1:8">
      <c r="A724" s="28"/>
      <c r="B724" s="28"/>
      <c r="C724" s="28"/>
      <c r="D724" s="26" t="str">
        <f t="shared" si="33"/>
        <v/>
      </c>
      <c r="E724" s="26" t="str">
        <f t="shared" si="34"/>
        <v/>
      </c>
      <c r="F724" s="28"/>
      <c r="G724" s="28"/>
      <c r="H724" s="29" t="str">
        <f t="shared" si="35"/>
        <v/>
      </c>
    </row>
    <row r="725" spans="1:8">
      <c r="A725" s="28"/>
      <c r="B725" s="28"/>
      <c r="C725" s="28"/>
      <c r="D725" s="26" t="str">
        <f t="shared" si="33"/>
        <v/>
      </c>
      <c r="E725" s="26" t="str">
        <f t="shared" si="34"/>
        <v/>
      </c>
      <c r="F725" s="28"/>
      <c r="G725" s="28"/>
      <c r="H725" s="29" t="str">
        <f t="shared" si="35"/>
        <v/>
      </c>
    </row>
    <row r="726" spans="1:8">
      <c r="A726" s="28"/>
      <c r="B726" s="28"/>
      <c r="C726" s="28"/>
      <c r="D726" s="26" t="str">
        <f t="shared" si="33"/>
        <v/>
      </c>
      <c r="E726" s="26" t="str">
        <f t="shared" si="34"/>
        <v/>
      </c>
      <c r="F726" s="28"/>
      <c r="G726" s="28"/>
      <c r="H726" s="29" t="str">
        <f t="shared" si="35"/>
        <v/>
      </c>
    </row>
    <row r="727" spans="1:8">
      <c r="A727" s="28"/>
      <c r="B727" s="28"/>
      <c r="C727" s="28"/>
      <c r="D727" s="26" t="str">
        <f t="shared" si="33"/>
        <v/>
      </c>
      <c r="E727" s="26" t="str">
        <f t="shared" si="34"/>
        <v/>
      </c>
      <c r="F727" s="28"/>
      <c r="G727" s="28"/>
      <c r="H727" s="29" t="str">
        <f t="shared" si="35"/>
        <v/>
      </c>
    </row>
    <row r="728" spans="1:8">
      <c r="A728" s="28"/>
      <c r="B728" s="28"/>
      <c r="C728" s="28"/>
      <c r="D728" s="26" t="str">
        <f t="shared" si="33"/>
        <v/>
      </c>
      <c r="E728" s="26" t="str">
        <f t="shared" si="34"/>
        <v/>
      </c>
      <c r="F728" s="28"/>
      <c r="G728" s="28"/>
      <c r="H728" s="29" t="str">
        <f t="shared" si="35"/>
        <v/>
      </c>
    </row>
    <row r="729" spans="1:8">
      <c r="A729" s="28"/>
      <c r="B729" s="28"/>
      <c r="C729" s="28"/>
      <c r="D729" s="26" t="str">
        <f t="shared" si="33"/>
        <v/>
      </c>
      <c r="E729" s="26" t="str">
        <f t="shared" si="34"/>
        <v/>
      </c>
      <c r="F729" s="28"/>
      <c r="G729" s="28"/>
      <c r="H729" s="29" t="str">
        <f t="shared" si="35"/>
        <v/>
      </c>
    </row>
    <row r="730" spans="1:8">
      <c r="A730" s="28"/>
      <c r="B730" s="28"/>
      <c r="C730" s="28"/>
      <c r="D730" s="26" t="str">
        <f t="shared" si="33"/>
        <v/>
      </c>
      <c r="E730" s="26" t="str">
        <f t="shared" si="34"/>
        <v/>
      </c>
      <c r="F730" s="28"/>
      <c r="G730" s="28"/>
      <c r="H730" s="29" t="str">
        <f t="shared" si="35"/>
        <v/>
      </c>
    </row>
    <row r="731" spans="1:8">
      <c r="A731" s="28"/>
      <c r="B731" s="28"/>
      <c r="C731" s="28"/>
      <c r="D731" s="26" t="str">
        <f t="shared" si="33"/>
        <v/>
      </c>
      <c r="E731" s="26" t="str">
        <f t="shared" si="34"/>
        <v/>
      </c>
      <c r="F731" s="28"/>
      <c r="G731" s="28"/>
      <c r="H731" s="29" t="str">
        <f t="shared" si="35"/>
        <v/>
      </c>
    </row>
    <row r="732" spans="1:8">
      <c r="A732" s="28"/>
      <c r="B732" s="28"/>
      <c r="C732" s="28"/>
      <c r="D732" s="26" t="str">
        <f t="shared" si="33"/>
        <v/>
      </c>
      <c r="E732" s="26" t="str">
        <f t="shared" si="34"/>
        <v/>
      </c>
      <c r="F732" s="28"/>
      <c r="G732" s="28"/>
      <c r="H732" s="29" t="str">
        <f t="shared" si="35"/>
        <v/>
      </c>
    </row>
    <row r="733" spans="1:8">
      <c r="A733" s="28"/>
      <c r="B733" s="28"/>
      <c r="C733" s="28"/>
      <c r="D733" s="26" t="str">
        <f t="shared" si="33"/>
        <v/>
      </c>
      <c r="E733" s="26" t="str">
        <f t="shared" si="34"/>
        <v/>
      </c>
      <c r="F733" s="28"/>
      <c r="G733" s="28"/>
      <c r="H733" s="29" t="str">
        <f t="shared" si="35"/>
        <v/>
      </c>
    </row>
    <row r="734" spans="1:8">
      <c r="A734" s="28"/>
      <c r="B734" s="28"/>
      <c r="C734" s="28"/>
      <c r="D734" s="26" t="str">
        <f t="shared" si="33"/>
        <v/>
      </c>
      <c r="E734" s="26" t="str">
        <f t="shared" si="34"/>
        <v/>
      </c>
      <c r="F734" s="28"/>
      <c r="G734" s="28"/>
      <c r="H734" s="29" t="str">
        <f t="shared" si="35"/>
        <v/>
      </c>
    </row>
    <row r="735" spans="1:8">
      <c r="A735" s="28"/>
      <c r="B735" s="28"/>
      <c r="C735" s="28"/>
      <c r="D735" s="26" t="str">
        <f t="shared" si="33"/>
        <v/>
      </c>
      <c r="E735" s="26" t="str">
        <f t="shared" si="34"/>
        <v/>
      </c>
      <c r="F735" s="28"/>
      <c r="G735" s="28"/>
      <c r="H735" s="29" t="str">
        <f t="shared" si="35"/>
        <v/>
      </c>
    </row>
    <row r="736" spans="1:8">
      <c r="A736" s="28"/>
      <c r="B736" s="28"/>
      <c r="C736" s="28"/>
      <c r="D736" s="26" t="str">
        <f t="shared" si="33"/>
        <v/>
      </c>
      <c r="E736" s="26" t="str">
        <f t="shared" si="34"/>
        <v/>
      </c>
      <c r="F736" s="28"/>
      <c r="G736" s="28"/>
      <c r="H736" s="29" t="str">
        <f t="shared" si="35"/>
        <v/>
      </c>
    </row>
    <row r="737" spans="1:8">
      <c r="A737" s="28"/>
      <c r="B737" s="28"/>
      <c r="C737" s="28"/>
      <c r="D737" s="26" t="str">
        <f t="shared" si="33"/>
        <v/>
      </c>
      <c r="E737" s="26" t="str">
        <f t="shared" si="34"/>
        <v/>
      </c>
      <c r="F737" s="28"/>
      <c r="G737" s="28"/>
      <c r="H737" s="29" t="str">
        <f t="shared" si="35"/>
        <v/>
      </c>
    </row>
    <row r="738" spans="1:8">
      <c r="A738" s="28"/>
      <c r="B738" s="28"/>
      <c r="C738" s="28"/>
      <c r="D738" s="26" t="str">
        <f t="shared" si="33"/>
        <v/>
      </c>
      <c r="E738" s="26" t="str">
        <f t="shared" si="34"/>
        <v/>
      </c>
      <c r="F738" s="28"/>
      <c r="G738" s="28"/>
      <c r="H738" s="29" t="str">
        <f t="shared" si="35"/>
        <v/>
      </c>
    </row>
    <row r="739" spans="1:8">
      <c r="A739" s="28"/>
      <c r="B739" s="28"/>
      <c r="C739" s="28"/>
      <c r="D739" s="26" t="str">
        <f t="shared" si="33"/>
        <v/>
      </c>
      <c r="E739" s="26" t="str">
        <f t="shared" si="34"/>
        <v/>
      </c>
      <c r="F739" s="28"/>
      <c r="G739" s="28"/>
      <c r="H739" s="29" t="str">
        <f t="shared" si="35"/>
        <v/>
      </c>
    </row>
    <row r="740" spans="1:8">
      <c r="A740" s="28"/>
      <c r="B740" s="28"/>
      <c r="C740" s="28"/>
      <c r="D740" s="26" t="str">
        <f t="shared" si="33"/>
        <v/>
      </c>
      <c r="E740" s="26" t="str">
        <f t="shared" si="34"/>
        <v/>
      </c>
      <c r="F740" s="28"/>
      <c r="G740" s="28"/>
      <c r="H740" s="29" t="str">
        <f t="shared" si="35"/>
        <v/>
      </c>
    </row>
    <row r="741" spans="1:8">
      <c r="A741" s="28"/>
      <c r="B741" s="28"/>
      <c r="C741" s="28"/>
      <c r="D741" s="26" t="str">
        <f t="shared" si="33"/>
        <v/>
      </c>
      <c r="E741" s="26" t="str">
        <f t="shared" si="34"/>
        <v/>
      </c>
      <c r="F741" s="28"/>
      <c r="G741" s="28"/>
      <c r="H741" s="29" t="str">
        <f t="shared" si="35"/>
        <v/>
      </c>
    </row>
    <row r="742" spans="1:8">
      <c r="A742" s="28"/>
      <c r="B742" s="28"/>
      <c r="C742" s="28"/>
      <c r="D742" s="26" t="str">
        <f t="shared" si="33"/>
        <v/>
      </c>
      <c r="E742" s="26" t="str">
        <f t="shared" si="34"/>
        <v/>
      </c>
      <c r="F742" s="28"/>
      <c r="G742" s="28"/>
      <c r="H742" s="29" t="str">
        <f t="shared" si="35"/>
        <v/>
      </c>
    </row>
    <row r="743" spans="1:8">
      <c r="A743" s="28"/>
      <c r="B743" s="28"/>
      <c r="C743" s="28"/>
      <c r="D743" s="26" t="str">
        <f t="shared" si="33"/>
        <v/>
      </c>
      <c r="E743" s="26" t="str">
        <f t="shared" si="34"/>
        <v/>
      </c>
      <c r="F743" s="28"/>
      <c r="G743" s="28"/>
      <c r="H743" s="29" t="str">
        <f t="shared" si="35"/>
        <v/>
      </c>
    </row>
    <row r="744" spans="1:8">
      <c r="A744" s="28"/>
      <c r="B744" s="28"/>
      <c r="C744" s="28"/>
      <c r="D744" s="26" t="str">
        <f t="shared" si="33"/>
        <v/>
      </c>
      <c r="E744" s="26" t="str">
        <f t="shared" si="34"/>
        <v/>
      </c>
      <c r="F744" s="28"/>
      <c r="G744" s="28"/>
      <c r="H744" s="29" t="str">
        <f t="shared" si="35"/>
        <v/>
      </c>
    </row>
    <row r="745" spans="1:8">
      <c r="A745" s="28"/>
      <c r="B745" s="28"/>
      <c r="C745" s="28"/>
      <c r="D745" s="26" t="str">
        <f t="shared" si="33"/>
        <v/>
      </c>
      <c r="E745" s="26" t="str">
        <f t="shared" si="34"/>
        <v/>
      </c>
      <c r="F745" s="28"/>
      <c r="G745" s="28"/>
      <c r="H745" s="29" t="str">
        <f t="shared" si="35"/>
        <v/>
      </c>
    </row>
    <row r="746" spans="1:8">
      <c r="A746" s="28"/>
      <c r="B746" s="28"/>
      <c r="C746" s="28"/>
      <c r="D746" s="26" t="str">
        <f t="shared" si="33"/>
        <v/>
      </c>
      <c r="E746" s="26" t="str">
        <f t="shared" si="34"/>
        <v/>
      </c>
      <c r="F746" s="28"/>
      <c r="G746" s="28"/>
      <c r="H746" s="29" t="str">
        <f t="shared" si="35"/>
        <v/>
      </c>
    </row>
    <row r="747" spans="1:8">
      <c r="A747" s="28"/>
      <c r="B747" s="28"/>
      <c r="C747" s="28"/>
      <c r="D747" s="26" t="str">
        <f t="shared" si="33"/>
        <v/>
      </c>
      <c r="E747" s="26" t="str">
        <f t="shared" si="34"/>
        <v/>
      </c>
      <c r="F747" s="28"/>
      <c r="G747" s="28"/>
      <c r="H747" s="29" t="str">
        <f t="shared" si="35"/>
        <v/>
      </c>
    </row>
    <row r="748" spans="1:8">
      <c r="A748" s="28"/>
      <c r="B748" s="28"/>
      <c r="C748" s="28"/>
      <c r="D748" s="26" t="str">
        <f t="shared" si="33"/>
        <v/>
      </c>
      <c r="E748" s="26" t="str">
        <f t="shared" si="34"/>
        <v/>
      </c>
      <c r="F748" s="28"/>
      <c r="G748" s="28"/>
      <c r="H748" s="29" t="str">
        <f t="shared" si="35"/>
        <v/>
      </c>
    </row>
    <row r="749" spans="1:8">
      <c r="A749" s="28"/>
      <c r="B749" s="28"/>
      <c r="C749" s="28"/>
      <c r="D749" s="26" t="str">
        <f t="shared" si="33"/>
        <v/>
      </c>
      <c r="E749" s="26" t="str">
        <f t="shared" si="34"/>
        <v/>
      </c>
      <c r="F749" s="28"/>
      <c r="G749" s="28"/>
      <c r="H749" s="29" t="str">
        <f t="shared" si="35"/>
        <v/>
      </c>
    </row>
    <row r="750" spans="1:8">
      <c r="A750" s="28"/>
      <c r="B750" s="28"/>
      <c r="C750" s="28"/>
      <c r="D750" s="26" t="str">
        <f t="shared" si="33"/>
        <v/>
      </c>
      <c r="E750" s="26" t="str">
        <f t="shared" si="34"/>
        <v/>
      </c>
      <c r="F750" s="28"/>
      <c r="G750" s="28"/>
      <c r="H750" s="29" t="str">
        <f t="shared" si="35"/>
        <v/>
      </c>
    </row>
    <row r="751" spans="1:8">
      <c r="A751" s="28"/>
      <c r="B751" s="28"/>
      <c r="C751" s="28"/>
      <c r="D751" s="26" t="str">
        <f t="shared" si="33"/>
        <v/>
      </c>
      <c r="E751" s="26" t="str">
        <f t="shared" si="34"/>
        <v/>
      </c>
      <c r="F751" s="28"/>
      <c r="G751" s="28"/>
      <c r="H751" s="29" t="str">
        <f t="shared" si="35"/>
        <v/>
      </c>
    </row>
    <row r="752" spans="1:8">
      <c r="A752" s="28"/>
      <c r="B752" s="28"/>
      <c r="C752" s="28"/>
      <c r="D752" s="26" t="str">
        <f t="shared" si="33"/>
        <v/>
      </c>
      <c r="E752" s="26" t="str">
        <f t="shared" si="34"/>
        <v/>
      </c>
      <c r="F752" s="28"/>
      <c r="G752" s="28"/>
      <c r="H752" s="29" t="str">
        <f t="shared" si="35"/>
        <v/>
      </c>
    </row>
    <row r="753" spans="1:8">
      <c r="A753" s="28"/>
      <c r="B753" s="28"/>
      <c r="C753" s="28"/>
      <c r="D753" s="26" t="str">
        <f t="shared" si="33"/>
        <v/>
      </c>
      <c r="E753" s="26" t="str">
        <f t="shared" si="34"/>
        <v/>
      </c>
      <c r="F753" s="28"/>
      <c r="G753" s="28"/>
      <c r="H753" s="29" t="str">
        <f t="shared" si="35"/>
        <v/>
      </c>
    </row>
    <row r="754" spans="1:8">
      <c r="A754" s="28"/>
      <c r="B754" s="28"/>
      <c r="C754" s="28"/>
      <c r="D754" s="26" t="str">
        <f t="shared" si="33"/>
        <v/>
      </c>
      <c r="E754" s="26" t="str">
        <f t="shared" si="34"/>
        <v/>
      </c>
      <c r="F754" s="28"/>
      <c r="G754" s="28"/>
      <c r="H754" s="29" t="str">
        <f t="shared" si="35"/>
        <v/>
      </c>
    </row>
    <row r="755" spans="1:8">
      <c r="A755" s="28"/>
      <c r="B755" s="28"/>
      <c r="C755" s="28"/>
      <c r="D755" s="26" t="str">
        <f t="shared" si="33"/>
        <v/>
      </c>
      <c r="E755" s="26" t="str">
        <f t="shared" si="34"/>
        <v/>
      </c>
      <c r="F755" s="28"/>
      <c r="G755" s="28"/>
      <c r="H755" s="29" t="str">
        <f t="shared" si="35"/>
        <v/>
      </c>
    </row>
    <row r="756" spans="1:8">
      <c r="A756" s="28"/>
      <c r="B756" s="28"/>
      <c r="C756" s="28"/>
      <c r="D756" s="26" t="str">
        <f t="shared" si="33"/>
        <v/>
      </c>
      <c r="E756" s="26" t="str">
        <f t="shared" si="34"/>
        <v/>
      </c>
      <c r="F756" s="28"/>
      <c r="G756" s="28"/>
      <c r="H756" s="29" t="str">
        <f t="shared" si="35"/>
        <v/>
      </c>
    </row>
    <row r="757" spans="1:8">
      <c r="A757" s="28"/>
      <c r="B757" s="28"/>
      <c r="C757" s="28"/>
      <c r="D757" s="26" t="str">
        <f t="shared" si="33"/>
        <v/>
      </c>
      <c r="E757" s="26" t="str">
        <f t="shared" si="34"/>
        <v/>
      </c>
      <c r="F757" s="28"/>
      <c r="G757" s="28"/>
      <c r="H757" s="29" t="str">
        <f t="shared" si="35"/>
        <v/>
      </c>
    </row>
    <row r="758" spans="1:8">
      <c r="A758" s="28"/>
      <c r="B758" s="28"/>
      <c r="C758" s="28"/>
      <c r="D758" s="26" t="str">
        <f t="shared" si="33"/>
        <v/>
      </c>
      <c r="E758" s="26" t="str">
        <f t="shared" si="34"/>
        <v/>
      </c>
      <c r="F758" s="28"/>
      <c r="G758" s="28"/>
      <c r="H758" s="29" t="str">
        <f t="shared" si="35"/>
        <v/>
      </c>
    </row>
    <row r="759" spans="1:8">
      <c r="A759" s="28"/>
      <c r="B759" s="28"/>
      <c r="C759" s="28"/>
      <c r="D759" s="26" t="str">
        <f t="shared" si="33"/>
        <v/>
      </c>
      <c r="E759" s="26" t="str">
        <f t="shared" si="34"/>
        <v/>
      </c>
      <c r="F759" s="28"/>
      <c r="G759" s="28"/>
      <c r="H759" s="29" t="str">
        <f t="shared" si="35"/>
        <v/>
      </c>
    </row>
    <row r="760" spans="1:8">
      <c r="A760" s="28"/>
      <c r="B760" s="28"/>
      <c r="C760" s="28"/>
      <c r="D760" s="26" t="str">
        <f t="shared" si="33"/>
        <v/>
      </c>
      <c r="E760" s="26" t="str">
        <f t="shared" si="34"/>
        <v/>
      </c>
      <c r="F760" s="28"/>
      <c r="G760" s="28"/>
      <c r="H760" s="29" t="str">
        <f t="shared" si="35"/>
        <v/>
      </c>
    </row>
    <row r="761" spans="1:8">
      <c r="A761" s="28"/>
      <c r="B761" s="28"/>
      <c r="C761" s="28"/>
      <c r="D761" s="26" t="str">
        <f t="shared" si="33"/>
        <v/>
      </c>
      <c r="E761" s="26" t="str">
        <f t="shared" si="34"/>
        <v/>
      </c>
      <c r="F761" s="28"/>
      <c r="G761" s="28"/>
      <c r="H761" s="29" t="str">
        <f t="shared" si="35"/>
        <v/>
      </c>
    </row>
    <row r="762" spans="1:8">
      <c r="A762" s="28"/>
      <c r="B762" s="28"/>
      <c r="C762" s="28"/>
      <c r="D762" s="26" t="str">
        <f t="shared" si="33"/>
        <v/>
      </c>
      <c r="E762" s="26" t="str">
        <f t="shared" si="34"/>
        <v/>
      </c>
      <c r="F762" s="28"/>
      <c r="G762" s="28"/>
      <c r="H762" s="29" t="str">
        <f t="shared" si="35"/>
        <v/>
      </c>
    </row>
    <row r="763" spans="1:8">
      <c r="A763" s="28"/>
      <c r="B763" s="28"/>
      <c r="C763" s="28"/>
      <c r="D763" s="26" t="str">
        <f t="shared" si="33"/>
        <v/>
      </c>
      <c r="E763" s="26" t="str">
        <f t="shared" si="34"/>
        <v/>
      </c>
      <c r="F763" s="28"/>
      <c r="G763" s="28"/>
      <c r="H763" s="29" t="str">
        <f t="shared" si="35"/>
        <v/>
      </c>
    </row>
    <row r="764" spans="1:8">
      <c r="A764" s="28"/>
      <c r="B764" s="28"/>
      <c r="C764" s="28"/>
      <c r="D764" s="26" t="str">
        <f t="shared" si="33"/>
        <v/>
      </c>
      <c r="E764" s="26" t="str">
        <f t="shared" si="34"/>
        <v/>
      </c>
      <c r="F764" s="28"/>
      <c r="G764" s="28"/>
      <c r="H764" s="29" t="str">
        <f t="shared" si="35"/>
        <v/>
      </c>
    </row>
    <row r="765" spans="1:8">
      <c r="A765" s="28"/>
      <c r="B765" s="28"/>
      <c r="C765" s="28"/>
      <c r="D765" s="26" t="str">
        <f t="shared" si="33"/>
        <v/>
      </c>
      <c r="E765" s="26" t="str">
        <f t="shared" si="34"/>
        <v/>
      </c>
      <c r="F765" s="28"/>
      <c r="G765" s="28"/>
      <c r="H765" s="29" t="str">
        <f t="shared" si="35"/>
        <v/>
      </c>
    </row>
    <row r="766" spans="1:8">
      <c r="A766" s="28"/>
      <c r="B766" s="28"/>
      <c r="C766" s="28"/>
      <c r="D766" s="26" t="str">
        <f t="shared" si="33"/>
        <v/>
      </c>
      <c r="E766" s="26" t="str">
        <f t="shared" si="34"/>
        <v/>
      </c>
      <c r="F766" s="28"/>
      <c r="G766" s="28"/>
      <c r="H766" s="29" t="str">
        <f t="shared" si="35"/>
        <v/>
      </c>
    </row>
    <row r="767" spans="1:8">
      <c r="A767" s="28"/>
      <c r="B767" s="28"/>
      <c r="C767" s="28"/>
      <c r="D767" s="26" t="str">
        <f t="shared" si="33"/>
        <v/>
      </c>
      <c r="E767" s="26" t="str">
        <f t="shared" si="34"/>
        <v/>
      </c>
      <c r="F767" s="28"/>
      <c r="G767" s="28"/>
      <c r="H767" s="29" t="str">
        <f t="shared" si="35"/>
        <v/>
      </c>
    </row>
    <row r="768" spans="1:8">
      <c r="A768" s="28"/>
      <c r="B768" s="28"/>
      <c r="C768" s="28"/>
      <c r="D768" s="26" t="str">
        <f t="shared" si="33"/>
        <v/>
      </c>
      <c r="E768" s="26" t="str">
        <f t="shared" si="34"/>
        <v/>
      </c>
      <c r="F768" s="28"/>
      <c r="G768" s="28"/>
      <c r="H768" s="29" t="str">
        <f t="shared" si="35"/>
        <v/>
      </c>
    </row>
    <row r="769" spans="1:8">
      <c r="A769" s="28"/>
      <c r="B769" s="28"/>
      <c r="C769" s="28"/>
      <c r="D769" s="26" t="str">
        <f t="shared" si="33"/>
        <v/>
      </c>
      <c r="E769" s="26" t="str">
        <f t="shared" si="34"/>
        <v/>
      </c>
      <c r="F769" s="28"/>
      <c r="G769" s="28"/>
      <c r="H769" s="29" t="str">
        <f t="shared" si="35"/>
        <v/>
      </c>
    </row>
    <row r="770" spans="1:8">
      <c r="A770" s="28"/>
      <c r="B770" s="28"/>
      <c r="C770" s="28"/>
      <c r="D770" s="26" t="str">
        <f t="shared" ref="D770:D833" si="36">IF(OR(B770="",C770=""),"",C770-B770)</f>
        <v/>
      </c>
      <c r="E770" s="26" t="str">
        <f t="shared" ref="E770:E833" si="37">IF(OR(B770="",C770=""),"",(B770+C770)/2)</f>
        <v/>
      </c>
      <c r="F770" s="28"/>
      <c r="G770" s="28"/>
      <c r="H770" s="29" t="str">
        <f t="shared" ref="H770:H833" si="38">IF(OR(F770="",G770=""),"",G770-F770)</f>
        <v/>
      </c>
    </row>
    <row r="771" spans="1:8">
      <c r="A771" s="28"/>
      <c r="B771" s="28"/>
      <c r="C771" s="28"/>
      <c r="D771" s="26" t="str">
        <f t="shared" si="36"/>
        <v/>
      </c>
      <c r="E771" s="26" t="str">
        <f t="shared" si="37"/>
        <v/>
      </c>
      <c r="F771" s="28"/>
      <c r="G771" s="28"/>
      <c r="H771" s="29" t="str">
        <f t="shared" si="38"/>
        <v/>
      </c>
    </row>
    <row r="772" spans="1:8">
      <c r="A772" s="28"/>
      <c r="B772" s="28"/>
      <c r="C772" s="28"/>
      <c r="D772" s="26" t="str">
        <f t="shared" si="36"/>
        <v/>
      </c>
      <c r="E772" s="26" t="str">
        <f t="shared" si="37"/>
        <v/>
      </c>
      <c r="F772" s="28"/>
      <c r="G772" s="28"/>
      <c r="H772" s="29" t="str">
        <f t="shared" si="38"/>
        <v/>
      </c>
    </row>
    <row r="773" spans="1:8">
      <c r="A773" s="28"/>
      <c r="B773" s="28"/>
      <c r="C773" s="28"/>
      <c r="D773" s="26" t="str">
        <f t="shared" si="36"/>
        <v/>
      </c>
      <c r="E773" s="26" t="str">
        <f t="shared" si="37"/>
        <v/>
      </c>
      <c r="F773" s="28"/>
      <c r="G773" s="28"/>
      <c r="H773" s="29" t="str">
        <f t="shared" si="38"/>
        <v/>
      </c>
    </row>
    <row r="774" spans="1:8">
      <c r="A774" s="28"/>
      <c r="B774" s="28"/>
      <c r="C774" s="28"/>
      <c r="D774" s="26" t="str">
        <f t="shared" si="36"/>
        <v/>
      </c>
      <c r="E774" s="26" t="str">
        <f t="shared" si="37"/>
        <v/>
      </c>
      <c r="F774" s="28"/>
      <c r="G774" s="28"/>
      <c r="H774" s="29" t="str">
        <f t="shared" si="38"/>
        <v/>
      </c>
    </row>
    <row r="775" spans="1:8">
      <c r="A775" s="28"/>
      <c r="B775" s="28"/>
      <c r="C775" s="28"/>
      <c r="D775" s="26" t="str">
        <f t="shared" si="36"/>
        <v/>
      </c>
      <c r="E775" s="26" t="str">
        <f t="shared" si="37"/>
        <v/>
      </c>
      <c r="F775" s="28"/>
      <c r="G775" s="28"/>
      <c r="H775" s="29" t="str">
        <f t="shared" si="38"/>
        <v/>
      </c>
    </row>
    <row r="776" spans="1:8">
      <c r="A776" s="28"/>
      <c r="B776" s="28"/>
      <c r="C776" s="28"/>
      <c r="D776" s="26" t="str">
        <f t="shared" si="36"/>
        <v/>
      </c>
      <c r="E776" s="26" t="str">
        <f t="shared" si="37"/>
        <v/>
      </c>
      <c r="F776" s="28"/>
      <c r="G776" s="28"/>
      <c r="H776" s="29" t="str">
        <f t="shared" si="38"/>
        <v/>
      </c>
    </row>
    <row r="777" spans="1:8">
      <c r="A777" s="28"/>
      <c r="B777" s="28"/>
      <c r="C777" s="28"/>
      <c r="D777" s="26" t="str">
        <f t="shared" si="36"/>
        <v/>
      </c>
      <c r="E777" s="26" t="str">
        <f t="shared" si="37"/>
        <v/>
      </c>
      <c r="F777" s="28"/>
      <c r="G777" s="28"/>
      <c r="H777" s="29" t="str">
        <f t="shared" si="38"/>
        <v/>
      </c>
    </row>
    <row r="778" spans="1:8">
      <c r="A778" s="28"/>
      <c r="B778" s="28"/>
      <c r="C778" s="28"/>
      <c r="D778" s="26" t="str">
        <f t="shared" si="36"/>
        <v/>
      </c>
      <c r="E778" s="26" t="str">
        <f t="shared" si="37"/>
        <v/>
      </c>
      <c r="F778" s="28"/>
      <c r="G778" s="28"/>
      <c r="H778" s="29" t="str">
        <f t="shared" si="38"/>
        <v/>
      </c>
    </row>
    <row r="779" spans="1:8">
      <c r="A779" s="28"/>
      <c r="B779" s="28"/>
      <c r="C779" s="28"/>
      <c r="D779" s="26" t="str">
        <f t="shared" si="36"/>
        <v/>
      </c>
      <c r="E779" s="26" t="str">
        <f t="shared" si="37"/>
        <v/>
      </c>
      <c r="F779" s="28"/>
      <c r="G779" s="28"/>
      <c r="H779" s="29" t="str">
        <f t="shared" si="38"/>
        <v/>
      </c>
    </row>
    <row r="780" spans="1:8">
      <c r="A780" s="28"/>
      <c r="B780" s="28"/>
      <c r="C780" s="28"/>
      <c r="D780" s="26" t="str">
        <f t="shared" si="36"/>
        <v/>
      </c>
      <c r="E780" s="26" t="str">
        <f t="shared" si="37"/>
        <v/>
      </c>
      <c r="F780" s="28"/>
      <c r="G780" s="28"/>
      <c r="H780" s="29" t="str">
        <f t="shared" si="38"/>
        <v/>
      </c>
    </row>
    <row r="781" spans="1:8">
      <c r="A781" s="28"/>
      <c r="B781" s="28"/>
      <c r="C781" s="28"/>
      <c r="D781" s="26" t="str">
        <f t="shared" si="36"/>
        <v/>
      </c>
      <c r="E781" s="26" t="str">
        <f t="shared" si="37"/>
        <v/>
      </c>
      <c r="F781" s="28"/>
      <c r="G781" s="28"/>
      <c r="H781" s="29" t="str">
        <f t="shared" si="38"/>
        <v/>
      </c>
    </row>
    <row r="782" spans="1:8">
      <c r="A782" s="28"/>
      <c r="B782" s="28"/>
      <c r="C782" s="28"/>
      <c r="D782" s="26" t="str">
        <f t="shared" si="36"/>
        <v/>
      </c>
      <c r="E782" s="26" t="str">
        <f t="shared" si="37"/>
        <v/>
      </c>
      <c r="F782" s="28"/>
      <c r="G782" s="28"/>
      <c r="H782" s="29" t="str">
        <f t="shared" si="38"/>
        <v/>
      </c>
    </row>
    <row r="783" spans="1:8">
      <c r="A783" s="28"/>
      <c r="B783" s="28"/>
      <c r="C783" s="28"/>
      <c r="D783" s="26" t="str">
        <f t="shared" si="36"/>
        <v/>
      </c>
      <c r="E783" s="26" t="str">
        <f t="shared" si="37"/>
        <v/>
      </c>
      <c r="F783" s="28"/>
      <c r="G783" s="28"/>
      <c r="H783" s="29" t="str">
        <f t="shared" si="38"/>
        <v/>
      </c>
    </row>
    <row r="784" spans="1:8">
      <c r="A784" s="28"/>
      <c r="B784" s="28"/>
      <c r="C784" s="28"/>
      <c r="D784" s="26" t="str">
        <f t="shared" si="36"/>
        <v/>
      </c>
      <c r="E784" s="26" t="str">
        <f t="shared" si="37"/>
        <v/>
      </c>
      <c r="F784" s="28"/>
      <c r="G784" s="28"/>
      <c r="H784" s="29" t="str">
        <f t="shared" si="38"/>
        <v/>
      </c>
    </row>
    <row r="785" spans="1:8">
      <c r="A785" s="28"/>
      <c r="B785" s="28"/>
      <c r="C785" s="28"/>
      <c r="D785" s="26" t="str">
        <f t="shared" si="36"/>
        <v/>
      </c>
      <c r="E785" s="26" t="str">
        <f t="shared" si="37"/>
        <v/>
      </c>
      <c r="F785" s="28"/>
      <c r="G785" s="28"/>
      <c r="H785" s="29" t="str">
        <f t="shared" si="38"/>
        <v/>
      </c>
    </row>
    <row r="786" spans="1:8">
      <c r="A786" s="28"/>
      <c r="B786" s="28"/>
      <c r="C786" s="28"/>
      <c r="D786" s="26" t="str">
        <f t="shared" si="36"/>
        <v/>
      </c>
      <c r="E786" s="26" t="str">
        <f t="shared" si="37"/>
        <v/>
      </c>
      <c r="F786" s="28"/>
      <c r="G786" s="28"/>
      <c r="H786" s="29" t="str">
        <f t="shared" si="38"/>
        <v/>
      </c>
    </row>
    <row r="787" spans="1:8">
      <c r="A787" s="28"/>
      <c r="B787" s="28"/>
      <c r="C787" s="28"/>
      <c r="D787" s="26" t="str">
        <f t="shared" si="36"/>
        <v/>
      </c>
      <c r="E787" s="26" t="str">
        <f t="shared" si="37"/>
        <v/>
      </c>
      <c r="F787" s="28"/>
      <c r="G787" s="28"/>
      <c r="H787" s="29" t="str">
        <f t="shared" si="38"/>
        <v/>
      </c>
    </row>
    <row r="788" spans="1:8">
      <c r="A788" s="28"/>
      <c r="B788" s="28"/>
      <c r="C788" s="28"/>
      <c r="D788" s="26" t="str">
        <f t="shared" si="36"/>
        <v/>
      </c>
      <c r="E788" s="26" t="str">
        <f t="shared" si="37"/>
        <v/>
      </c>
      <c r="F788" s="28"/>
      <c r="G788" s="28"/>
      <c r="H788" s="29" t="str">
        <f t="shared" si="38"/>
        <v/>
      </c>
    </row>
    <row r="789" spans="1:8">
      <c r="A789" s="28"/>
      <c r="B789" s="28"/>
      <c r="C789" s="28"/>
      <c r="D789" s="26" t="str">
        <f t="shared" si="36"/>
        <v/>
      </c>
      <c r="E789" s="26" t="str">
        <f t="shared" si="37"/>
        <v/>
      </c>
      <c r="F789" s="28"/>
      <c r="G789" s="28"/>
      <c r="H789" s="29" t="str">
        <f t="shared" si="38"/>
        <v/>
      </c>
    </row>
    <row r="790" spans="1:8">
      <c r="A790" s="28"/>
      <c r="B790" s="28"/>
      <c r="C790" s="28"/>
      <c r="D790" s="26" t="str">
        <f t="shared" si="36"/>
        <v/>
      </c>
      <c r="E790" s="26" t="str">
        <f t="shared" si="37"/>
        <v/>
      </c>
      <c r="F790" s="28"/>
      <c r="G790" s="28"/>
      <c r="H790" s="29" t="str">
        <f t="shared" si="38"/>
        <v/>
      </c>
    </row>
    <row r="791" spans="1:8">
      <c r="A791" s="28"/>
      <c r="B791" s="28"/>
      <c r="C791" s="28"/>
      <c r="D791" s="26" t="str">
        <f t="shared" si="36"/>
        <v/>
      </c>
      <c r="E791" s="26" t="str">
        <f t="shared" si="37"/>
        <v/>
      </c>
      <c r="F791" s="28"/>
      <c r="G791" s="28"/>
      <c r="H791" s="29" t="str">
        <f t="shared" si="38"/>
        <v/>
      </c>
    </row>
    <row r="792" spans="1:8">
      <c r="A792" s="28"/>
      <c r="B792" s="28"/>
      <c r="C792" s="28"/>
      <c r="D792" s="26" t="str">
        <f t="shared" si="36"/>
        <v/>
      </c>
      <c r="E792" s="26" t="str">
        <f t="shared" si="37"/>
        <v/>
      </c>
      <c r="F792" s="28"/>
      <c r="G792" s="28"/>
      <c r="H792" s="29" t="str">
        <f t="shared" si="38"/>
        <v/>
      </c>
    </row>
    <row r="793" spans="1:8">
      <c r="A793" s="28"/>
      <c r="B793" s="28"/>
      <c r="C793" s="28"/>
      <c r="D793" s="26" t="str">
        <f t="shared" si="36"/>
        <v/>
      </c>
      <c r="E793" s="26" t="str">
        <f t="shared" si="37"/>
        <v/>
      </c>
      <c r="F793" s="28"/>
      <c r="G793" s="28"/>
      <c r="H793" s="29" t="str">
        <f t="shared" si="38"/>
        <v/>
      </c>
    </row>
    <row r="794" spans="1:8">
      <c r="A794" s="28"/>
      <c r="B794" s="28"/>
      <c r="C794" s="28"/>
      <c r="D794" s="26" t="str">
        <f t="shared" si="36"/>
        <v/>
      </c>
      <c r="E794" s="26" t="str">
        <f t="shared" si="37"/>
        <v/>
      </c>
      <c r="F794" s="28"/>
      <c r="G794" s="28"/>
      <c r="H794" s="29" t="str">
        <f t="shared" si="38"/>
        <v/>
      </c>
    </row>
    <row r="795" spans="1:8">
      <c r="A795" s="28"/>
      <c r="B795" s="28"/>
      <c r="C795" s="28"/>
      <c r="D795" s="26" t="str">
        <f t="shared" si="36"/>
        <v/>
      </c>
      <c r="E795" s="26" t="str">
        <f t="shared" si="37"/>
        <v/>
      </c>
      <c r="F795" s="28"/>
      <c r="G795" s="28"/>
      <c r="H795" s="29" t="str">
        <f t="shared" si="38"/>
        <v/>
      </c>
    </row>
    <row r="796" spans="1:8">
      <c r="A796" s="28"/>
      <c r="B796" s="28"/>
      <c r="C796" s="28"/>
      <c r="D796" s="26" t="str">
        <f t="shared" si="36"/>
        <v/>
      </c>
      <c r="E796" s="26" t="str">
        <f t="shared" si="37"/>
        <v/>
      </c>
      <c r="F796" s="28"/>
      <c r="G796" s="28"/>
      <c r="H796" s="29" t="str">
        <f t="shared" si="38"/>
        <v/>
      </c>
    </row>
    <row r="797" spans="1:8">
      <c r="A797" s="28"/>
      <c r="B797" s="28"/>
      <c r="C797" s="28"/>
      <c r="D797" s="26" t="str">
        <f t="shared" si="36"/>
        <v/>
      </c>
      <c r="E797" s="26" t="str">
        <f t="shared" si="37"/>
        <v/>
      </c>
      <c r="F797" s="28"/>
      <c r="G797" s="28"/>
      <c r="H797" s="29" t="str">
        <f t="shared" si="38"/>
        <v/>
      </c>
    </row>
    <row r="798" spans="1:8">
      <c r="A798" s="28"/>
      <c r="B798" s="28"/>
      <c r="C798" s="28"/>
      <c r="D798" s="26" t="str">
        <f t="shared" si="36"/>
        <v/>
      </c>
      <c r="E798" s="26" t="str">
        <f t="shared" si="37"/>
        <v/>
      </c>
      <c r="F798" s="28"/>
      <c r="G798" s="28"/>
      <c r="H798" s="29" t="str">
        <f t="shared" si="38"/>
        <v/>
      </c>
    </row>
    <row r="799" spans="1:8">
      <c r="A799" s="28"/>
      <c r="B799" s="28"/>
      <c r="C799" s="28"/>
      <c r="D799" s="26" t="str">
        <f t="shared" si="36"/>
        <v/>
      </c>
      <c r="E799" s="26" t="str">
        <f t="shared" si="37"/>
        <v/>
      </c>
      <c r="F799" s="28"/>
      <c r="G799" s="28"/>
      <c r="H799" s="29" t="str">
        <f t="shared" si="38"/>
        <v/>
      </c>
    </row>
    <row r="800" spans="1:8">
      <c r="A800" s="28"/>
      <c r="B800" s="28"/>
      <c r="C800" s="28"/>
      <c r="D800" s="26" t="str">
        <f t="shared" si="36"/>
        <v/>
      </c>
      <c r="E800" s="26" t="str">
        <f t="shared" si="37"/>
        <v/>
      </c>
      <c r="F800" s="28"/>
      <c r="G800" s="28"/>
      <c r="H800" s="29" t="str">
        <f t="shared" si="38"/>
        <v/>
      </c>
    </row>
    <row r="801" spans="1:8">
      <c r="A801" s="28"/>
      <c r="B801" s="28"/>
      <c r="C801" s="28"/>
      <c r="D801" s="26" t="str">
        <f t="shared" si="36"/>
        <v/>
      </c>
      <c r="E801" s="26" t="str">
        <f t="shared" si="37"/>
        <v/>
      </c>
      <c r="F801" s="28"/>
      <c r="G801" s="28"/>
      <c r="H801" s="29" t="str">
        <f t="shared" si="38"/>
        <v/>
      </c>
    </row>
    <row r="802" spans="1:8">
      <c r="A802" s="28"/>
      <c r="B802" s="28"/>
      <c r="C802" s="28"/>
      <c r="D802" s="26" t="str">
        <f t="shared" si="36"/>
        <v/>
      </c>
      <c r="E802" s="26" t="str">
        <f t="shared" si="37"/>
        <v/>
      </c>
      <c r="F802" s="28"/>
      <c r="G802" s="28"/>
      <c r="H802" s="29" t="str">
        <f t="shared" si="38"/>
        <v/>
      </c>
    </row>
    <row r="803" spans="1:8">
      <c r="A803" s="28"/>
      <c r="B803" s="28"/>
      <c r="C803" s="28"/>
      <c r="D803" s="26" t="str">
        <f t="shared" si="36"/>
        <v/>
      </c>
      <c r="E803" s="26" t="str">
        <f t="shared" si="37"/>
        <v/>
      </c>
      <c r="F803" s="28"/>
      <c r="G803" s="28"/>
      <c r="H803" s="29" t="str">
        <f t="shared" si="38"/>
        <v/>
      </c>
    </row>
    <row r="804" spans="1:8">
      <c r="A804" s="28"/>
      <c r="B804" s="28"/>
      <c r="C804" s="28"/>
      <c r="D804" s="26" t="str">
        <f t="shared" si="36"/>
        <v/>
      </c>
      <c r="E804" s="26" t="str">
        <f t="shared" si="37"/>
        <v/>
      </c>
      <c r="F804" s="28"/>
      <c r="G804" s="28"/>
      <c r="H804" s="29" t="str">
        <f t="shared" si="38"/>
        <v/>
      </c>
    </row>
    <row r="805" spans="1:8">
      <c r="A805" s="28"/>
      <c r="B805" s="28"/>
      <c r="C805" s="28"/>
      <c r="D805" s="26" t="str">
        <f t="shared" si="36"/>
        <v/>
      </c>
      <c r="E805" s="26" t="str">
        <f t="shared" si="37"/>
        <v/>
      </c>
      <c r="F805" s="28"/>
      <c r="G805" s="28"/>
      <c r="H805" s="29" t="str">
        <f t="shared" si="38"/>
        <v/>
      </c>
    </row>
    <row r="806" spans="1:8">
      <c r="A806" s="28"/>
      <c r="B806" s="28"/>
      <c r="C806" s="28"/>
      <c r="D806" s="26" t="str">
        <f t="shared" si="36"/>
        <v/>
      </c>
      <c r="E806" s="26" t="str">
        <f t="shared" si="37"/>
        <v/>
      </c>
      <c r="F806" s="28"/>
      <c r="G806" s="28"/>
      <c r="H806" s="29" t="str">
        <f t="shared" si="38"/>
        <v/>
      </c>
    </row>
    <row r="807" spans="1:8">
      <c r="A807" s="28"/>
      <c r="B807" s="28"/>
      <c r="C807" s="28"/>
      <c r="D807" s="26" t="str">
        <f t="shared" si="36"/>
        <v/>
      </c>
      <c r="E807" s="26" t="str">
        <f t="shared" si="37"/>
        <v/>
      </c>
      <c r="F807" s="28"/>
      <c r="G807" s="28"/>
      <c r="H807" s="29" t="str">
        <f t="shared" si="38"/>
        <v/>
      </c>
    </row>
    <row r="808" spans="1:8">
      <c r="A808" s="28"/>
      <c r="B808" s="28"/>
      <c r="C808" s="28"/>
      <c r="D808" s="26" t="str">
        <f t="shared" si="36"/>
        <v/>
      </c>
      <c r="E808" s="26" t="str">
        <f t="shared" si="37"/>
        <v/>
      </c>
      <c r="F808" s="28"/>
      <c r="G808" s="28"/>
      <c r="H808" s="29" t="str">
        <f t="shared" si="38"/>
        <v/>
      </c>
    </row>
    <row r="809" spans="1:8">
      <c r="A809" s="28"/>
      <c r="B809" s="28"/>
      <c r="C809" s="28"/>
      <c r="D809" s="26" t="str">
        <f t="shared" si="36"/>
        <v/>
      </c>
      <c r="E809" s="26" t="str">
        <f t="shared" si="37"/>
        <v/>
      </c>
      <c r="F809" s="28"/>
      <c r="G809" s="28"/>
      <c r="H809" s="29" t="str">
        <f t="shared" si="38"/>
        <v/>
      </c>
    </row>
    <row r="810" spans="1:8">
      <c r="A810" s="28"/>
      <c r="B810" s="28"/>
      <c r="C810" s="28"/>
      <c r="D810" s="26" t="str">
        <f t="shared" si="36"/>
        <v/>
      </c>
      <c r="E810" s="26" t="str">
        <f t="shared" si="37"/>
        <v/>
      </c>
      <c r="F810" s="28"/>
      <c r="G810" s="28"/>
      <c r="H810" s="29" t="str">
        <f t="shared" si="38"/>
        <v/>
      </c>
    </row>
    <row r="811" spans="1:8">
      <c r="A811" s="28"/>
      <c r="B811" s="28"/>
      <c r="C811" s="28"/>
      <c r="D811" s="26" t="str">
        <f t="shared" si="36"/>
        <v/>
      </c>
      <c r="E811" s="26" t="str">
        <f t="shared" si="37"/>
        <v/>
      </c>
      <c r="F811" s="28"/>
      <c r="G811" s="28"/>
      <c r="H811" s="29" t="str">
        <f t="shared" si="38"/>
        <v/>
      </c>
    </row>
    <row r="812" spans="1:8">
      <c r="A812" s="28"/>
      <c r="B812" s="28"/>
      <c r="C812" s="28"/>
      <c r="D812" s="26" t="str">
        <f t="shared" si="36"/>
        <v/>
      </c>
      <c r="E812" s="26" t="str">
        <f t="shared" si="37"/>
        <v/>
      </c>
      <c r="F812" s="28"/>
      <c r="G812" s="28"/>
      <c r="H812" s="29" t="str">
        <f t="shared" si="38"/>
        <v/>
      </c>
    </row>
    <row r="813" spans="1:8">
      <c r="A813" s="28"/>
      <c r="B813" s="28"/>
      <c r="C813" s="28"/>
      <c r="D813" s="26" t="str">
        <f t="shared" si="36"/>
        <v/>
      </c>
      <c r="E813" s="26" t="str">
        <f t="shared" si="37"/>
        <v/>
      </c>
      <c r="F813" s="28"/>
      <c r="G813" s="28"/>
      <c r="H813" s="29" t="str">
        <f t="shared" si="38"/>
        <v/>
      </c>
    </row>
    <row r="814" spans="1:8">
      <c r="A814" s="28"/>
      <c r="B814" s="28"/>
      <c r="C814" s="28"/>
      <c r="D814" s="26" t="str">
        <f t="shared" si="36"/>
        <v/>
      </c>
      <c r="E814" s="26" t="str">
        <f t="shared" si="37"/>
        <v/>
      </c>
      <c r="F814" s="28"/>
      <c r="G814" s="28"/>
      <c r="H814" s="29" t="str">
        <f t="shared" si="38"/>
        <v/>
      </c>
    </row>
    <row r="815" spans="1:8">
      <c r="A815" s="28"/>
      <c r="B815" s="28"/>
      <c r="C815" s="28"/>
      <c r="D815" s="26" t="str">
        <f t="shared" si="36"/>
        <v/>
      </c>
      <c r="E815" s="26" t="str">
        <f t="shared" si="37"/>
        <v/>
      </c>
      <c r="F815" s="28"/>
      <c r="G815" s="28"/>
      <c r="H815" s="29" t="str">
        <f t="shared" si="38"/>
        <v/>
      </c>
    </row>
    <row r="816" spans="1:8">
      <c r="A816" s="28"/>
      <c r="B816" s="28"/>
      <c r="C816" s="28"/>
      <c r="D816" s="26" t="str">
        <f t="shared" si="36"/>
        <v/>
      </c>
      <c r="E816" s="26" t="str">
        <f t="shared" si="37"/>
        <v/>
      </c>
      <c r="F816" s="28"/>
      <c r="G816" s="28"/>
      <c r="H816" s="29" t="str">
        <f t="shared" si="38"/>
        <v/>
      </c>
    </row>
    <row r="817" spans="1:8">
      <c r="A817" s="28"/>
      <c r="B817" s="28"/>
      <c r="C817" s="28"/>
      <c r="D817" s="26" t="str">
        <f t="shared" si="36"/>
        <v/>
      </c>
      <c r="E817" s="26" t="str">
        <f t="shared" si="37"/>
        <v/>
      </c>
      <c r="F817" s="28"/>
      <c r="G817" s="28"/>
      <c r="H817" s="29" t="str">
        <f t="shared" si="38"/>
        <v/>
      </c>
    </row>
    <row r="818" spans="1:8">
      <c r="A818" s="28"/>
      <c r="B818" s="28"/>
      <c r="C818" s="28"/>
      <c r="D818" s="26" t="str">
        <f t="shared" si="36"/>
        <v/>
      </c>
      <c r="E818" s="26" t="str">
        <f t="shared" si="37"/>
        <v/>
      </c>
      <c r="F818" s="28"/>
      <c r="G818" s="28"/>
      <c r="H818" s="29" t="str">
        <f t="shared" si="38"/>
        <v/>
      </c>
    </row>
    <row r="819" spans="1:8">
      <c r="A819" s="28"/>
      <c r="B819" s="28"/>
      <c r="C819" s="28"/>
      <c r="D819" s="26" t="str">
        <f t="shared" si="36"/>
        <v/>
      </c>
      <c r="E819" s="26" t="str">
        <f t="shared" si="37"/>
        <v/>
      </c>
      <c r="F819" s="28"/>
      <c r="G819" s="28"/>
      <c r="H819" s="29" t="str">
        <f t="shared" si="38"/>
        <v/>
      </c>
    </row>
    <row r="820" spans="1:8">
      <c r="A820" s="28"/>
      <c r="B820" s="28"/>
      <c r="C820" s="28"/>
      <c r="D820" s="26" t="str">
        <f t="shared" si="36"/>
        <v/>
      </c>
      <c r="E820" s="26" t="str">
        <f t="shared" si="37"/>
        <v/>
      </c>
      <c r="F820" s="28"/>
      <c r="G820" s="28"/>
      <c r="H820" s="29" t="str">
        <f t="shared" si="38"/>
        <v/>
      </c>
    </row>
    <row r="821" spans="1:8">
      <c r="A821" s="28"/>
      <c r="B821" s="28"/>
      <c r="C821" s="28"/>
      <c r="D821" s="26" t="str">
        <f t="shared" si="36"/>
        <v/>
      </c>
      <c r="E821" s="26" t="str">
        <f t="shared" si="37"/>
        <v/>
      </c>
      <c r="F821" s="28"/>
      <c r="G821" s="28"/>
      <c r="H821" s="29" t="str">
        <f t="shared" si="38"/>
        <v/>
      </c>
    </row>
    <row r="822" spans="1:8">
      <c r="A822" s="28"/>
      <c r="B822" s="28"/>
      <c r="C822" s="28"/>
      <c r="D822" s="26" t="str">
        <f t="shared" si="36"/>
        <v/>
      </c>
      <c r="E822" s="26" t="str">
        <f t="shared" si="37"/>
        <v/>
      </c>
      <c r="F822" s="28"/>
      <c r="G822" s="28"/>
      <c r="H822" s="29" t="str">
        <f t="shared" si="38"/>
        <v/>
      </c>
    </row>
    <row r="823" spans="1:8">
      <c r="A823" s="28"/>
      <c r="B823" s="28"/>
      <c r="C823" s="28"/>
      <c r="D823" s="26" t="str">
        <f t="shared" si="36"/>
        <v/>
      </c>
      <c r="E823" s="26" t="str">
        <f t="shared" si="37"/>
        <v/>
      </c>
      <c r="F823" s="28"/>
      <c r="G823" s="28"/>
      <c r="H823" s="29" t="str">
        <f t="shared" si="38"/>
        <v/>
      </c>
    </row>
    <row r="824" spans="1:8">
      <c r="A824" s="28"/>
      <c r="B824" s="28"/>
      <c r="C824" s="28"/>
      <c r="D824" s="26" t="str">
        <f t="shared" si="36"/>
        <v/>
      </c>
      <c r="E824" s="26" t="str">
        <f t="shared" si="37"/>
        <v/>
      </c>
      <c r="F824" s="28"/>
      <c r="G824" s="28"/>
      <c r="H824" s="29" t="str">
        <f t="shared" si="38"/>
        <v/>
      </c>
    </row>
    <row r="825" spans="1:8">
      <c r="A825" s="28"/>
      <c r="B825" s="28"/>
      <c r="C825" s="28"/>
      <c r="D825" s="26" t="str">
        <f t="shared" si="36"/>
        <v/>
      </c>
      <c r="E825" s="26" t="str">
        <f t="shared" si="37"/>
        <v/>
      </c>
      <c r="F825" s="28"/>
      <c r="G825" s="28"/>
      <c r="H825" s="29" t="str">
        <f t="shared" si="38"/>
        <v/>
      </c>
    </row>
    <row r="826" spans="1:8">
      <c r="A826" s="28"/>
      <c r="B826" s="28"/>
      <c r="C826" s="28"/>
      <c r="D826" s="26" t="str">
        <f t="shared" si="36"/>
        <v/>
      </c>
      <c r="E826" s="26" t="str">
        <f t="shared" si="37"/>
        <v/>
      </c>
      <c r="F826" s="28"/>
      <c r="G826" s="28"/>
      <c r="H826" s="29" t="str">
        <f t="shared" si="38"/>
        <v/>
      </c>
    </row>
    <row r="827" spans="1:8">
      <c r="A827" s="28"/>
      <c r="B827" s="28"/>
      <c r="C827" s="28"/>
      <c r="D827" s="26" t="str">
        <f t="shared" si="36"/>
        <v/>
      </c>
      <c r="E827" s="26" t="str">
        <f t="shared" si="37"/>
        <v/>
      </c>
      <c r="F827" s="28"/>
      <c r="G827" s="28"/>
      <c r="H827" s="29" t="str">
        <f t="shared" si="38"/>
        <v/>
      </c>
    </row>
    <row r="828" spans="1:8">
      <c r="A828" s="28"/>
      <c r="B828" s="28"/>
      <c r="C828" s="28"/>
      <c r="D828" s="26" t="str">
        <f t="shared" si="36"/>
        <v/>
      </c>
      <c r="E828" s="26" t="str">
        <f t="shared" si="37"/>
        <v/>
      </c>
      <c r="F828" s="28"/>
      <c r="G828" s="28"/>
      <c r="H828" s="29" t="str">
        <f t="shared" si="38"/>
        <v/>
      </c>
    </row>
    <row r="829" spans="1:8">
      <c r="A829" s="28"/>
      <c r="B829" s="28"/>
      <c r="C829" s="28"/>
      <c r="D829" s="26" t="str">
        <f t="shared" si="36"/>
        <v/>
      </c>
      <c r="E829" s="26" t="str">
        <f t="shared" si="37"/>
        <v/>
      </c>
      <c r="F829" s="28"/>
      <c r="G829" s="28"/>
      <c r="H829" s="29" t="str">
        <f t="shared" si="38"/>
        <v/>
      </c>
    </row>
    <row r="830" spans="1:8">
      <c r="A830" s="28"/>
      <c r="B830" s="28"/>
      <c r="C830" s="28"/>
      <c r="D830" s="26" t="str">
        <f t="shared" si="36"/>
        <v/>
      </c>
      <c r="E830" s="26" t="str">
        <f t="shared" si="37"/>
        <v/>
      </c>
      <c r="F830" s="28"/>
      <c r="G830" s="28"/>
      <c r="H830" s="29" t="str">
        <f t="shared" si="38"/>
        <v/>
      </c>
    </row>
    <row r="831" spans="1:8">
      <c r="A831" s="28"/>
      <c r="B831" s="28"/>
      <c r="C831" s="28"/>
      <c r="D831" s="26" t="str">
        <f t="shared" si="36"/>
        <v/>
      </c>
      <c r="E831" s="26" t="str">
        <f t="shared" si="37"/>
        <v/>
      </c>
      <c r="F831" s="28"/>
      <c r="G831" s="28"/>
      <c r="H831" s="29" t="str">
        <f t="shared" si="38"/>
        <v/>
      </c>
    </row>
    <row r="832" spans="1:8">
      <c r="A832" s="28"/>
      <c r="B832" s="28"/>
      <c r="C832" s="28"/>
      <c r="D832" s="26" t="str">
        <f t="shared" si="36"/>
        <v/>
      </c>
      <c r="E832" s="26" t="str">
        <f t="shared" si="37"/>
        <v/>
      </c>
      <c r="F832" s="28"/>
      <c r="G832" s="28"/>
      <c r="H832" s="29" t="str">
        <f t="shared" si="38"/>
        <v/>
      </c>
    </row>
    <row r="833" spans="1:8">
      <c r="A833" s="28"/>
      <c r="B833" s="28"/>
      <c r="C833" s="28"/>
      <c r="D833" s="26" t="str">
        <f t="shared" si="36"/>
        <v/>
      </c>
      <c r="E833" s="26" t="str">
        <f t="shared" si="37"/>
        <v/>
      </c>
      <c r="F833" s="28"/>
      <c r="G833" s="28"/>
      <c r="H833" s="29" t="str">
        <f t="shared" si="38"/>
        <v/>
      </c>
    </row>
    <row r="834" spans="1:8">
      <c r="A834" s="28"/>
      <c r="B834" s="28"/>
      <c r="C834" s="28"/>
      <c r="D834" s="26" t="str">
        <f t="shared" ref="D834:D897" si="39">IF(OR(B834="",C834=""),"",C834-B834)</f>
        <v/>
      </c>
      <c r="E834" s="26" t="str">
        <f t="shared" ref="E834:E897" si="40">IF(OR(B834="",C834=""),"",(B834+C834)/2)</f>
        <v/>
      </c>
      <c r="F834" s="28"/>
      <c r="G834" s="28"/>
      <c r="H834" s="29" t="str">
        <f t="shared" ref="H834:H897" si="41">IF(OR(F834="",G834=""),"",G834-F834)</f>
        <v/>
      </c>
    </row>
    <row r="835" spans="1:8">
      <c r="A835" s="28"/>
      <c r="B835" s="28"/>
      <c r="C835" s="28"/>
      <c r="D835" s="26" t="str">
        <f t="shared" si="39"/>
        <v/>
      </c>
      <c r="E835" s="26" t="str">
        <f t="shared" si="40"/>
        <v/>
      </c>
      <c r="F835" s="28"/>
      <c r="G835" s="28"/>
      <c r="H835" s="29" t="str">
        <f t="shared" si="41"/>
        <v/>
      </c>
    </row>
    <row r="836" spans="1:8">
      <c r="A836" s="28"/>
      <c r="B836" s="28"/>
      <c r="C836" s="28"/>
      <c r="D836" s="26" t="str">
        <f t="shared" si="39"/>
        <v/>
      </c>
      <c r="E836" s="26" t="str">
        <f t="shared" si="40"/>
        <v/>
      </c>
      <c r="F836" s="28"/>
      <c r="G836" s="28"/>
      <c r="H836" s="29" t="str">
        <f t="shared" si="41"/>
        <v/>
      </c>
    </row>
    <row r="837" spans="1:8">
      <c r="A837" s="28"/>
      <c r="B837" s="28"/>
      <c r="C837" s="28"/>
      <c r="D837" s="26" t="str">
        <f t="shared" si="39"/>
        <v/>
      </c>
      <c r="E837" s="26" t="str">
        <f t="shared" si="40"/>
        <v/>
      </c>
      <c r="F837" s="28"/>
      <c r="G837" s="28"/>
      <c r="H837" s="29" t="str">
        <f t="shared" si="41"/>
        <v/>
      </c>
    </row>
    <row r="838" spans="1:8">
      <c r="A838" s="28"/>
      <c r="B838" s="28"/>
      <c r="C838" s="28"/>
      <c r="D838" s="26" t="str">
        <f t="shared" si="39"/>
        <v/>
      </c>
      <c r="E838" s="26" t="str">
        <f t="shared" si="40"/>
        <v/>
      </c>
      <c r="F838" s="28"/>
      <c r="G838" s="28"/>
      <c r="H838" s="29" t="str">
        <f t="shared" si="41"/>
        <v/>
      </c>
    </row>
    <row r="839" spans="1:8">
      <c r="A839" s="28"/>
      <c r="B839" s="28"/>
      <c r="C839" s="28"/>
      <c r="D839" s="26" t="str">
        <f t="shared" si="39"/>
        <v/>
      </c>
      <c r="E839" s="26" t="str">
        <f t="shared" si="40"/>
        <v/>
      </c>
      <c r="F839" s="28"/>
      <c r="G839" s="28"/>
      <c r="H839" s="29" t="str">
        <f t="shared" si="41"/>
        <v/>
      </c>
    </row>
    <row r="840" spans="1:8">
      <c r="A840" s="28"/>
      <c r="B840" s="28"/>
      <c r="C840" s="28"/>
      <c r="D840" s="26" t="str">
        <f t="shared" si="39"/>
        <v/>
      </c>
      <c r="E840" s="26" t="str">
        <f t="shared" si="40"/>
        <v/>
      </c>
      <c r="F840" s="28"/>
      <c r="G840" s="28"/>
      <c r="H840" s="29" t="str">
        <f t="shared" si="41"/>
        <v/>
      </c>
    </row>
    <row r="841" spans="1:8">
      <c r="A841" s="28"/>
      <c r="B841" s="28"/>
      <c r="C841" s="28"/>
      <c r="D841" s="26" t="str">
        <f t="shared" si="39"/>
        <v/>
      </c>
      <c r="E841" s="26" t="str">
        <f t="shared" si="40"/>
        <v/>
      </c>
      <c r="F841" s="28"/>
      <c r="G841" s="28"/>
      <c r="H841" s="29" t="str">
        <f t="shared" si="41"/>
        <v/>
      </c>
    </row>
    <row r="842" spans="1:8">
      <c r="A842" s="28"/>
      <c r="B842" s="28"/>
      <c r="C842" s="28"/>
      <c r="D842" s="26" t="str">
        <f t="shared" si="39"/>
        <v/>
      </c>
      <c r="E842" s="26" t="str">
        <f t="shared" si="40"/>
        <v/>
      </c>
      <c r="F842" s="28"/>
      <c r="G842" s="28"/>
      <c r="H842" s="29" t="str">
        <f t="shared" si="41"/>
        <v/>
      </c>
    </row>
    <row r="843" spans="1:8">
      <c r="A843" s="28"/>
      <c r="B843" s="28"/>
      <c r="C843" s="28"/>
      <c r="D843" s="26" t="str">
        <f t="shared" si="39"/>
        <v/>
      </c>
      <c r="E843" s="26" t="str">
        <f t="shared" si="40"/>
        <v/>
      </c>
      <c r="F843" s="28"/>
      <c r="G843" s="28"/>
      <c r="H843" s="29" t="str">
        <f t="shared" si="41"/>
        <v/>
      </c>
    </row>
    <row r="844" spans="1:8">
      <c r="A844" s="28"/>
      <c r="B844" s="28"/>
      <c r="C844" s="28"/>
      <c r="D844" s="26" t="str">
        <f t="shared" si="39"/>
        <v/>
      </c>
      <c r="E844" s="26" t="str">
        <f t="shared" si="40"/>
        <v/>
      </c>
      <c r="F844" s="28"/>
      <c r="G844" s="28"/>
      <c r="H844" s="29" t="str">
        <f t="shared" si="41"/>
        <v/>
      </c>
    </row>
    <row r="845" spans="1:8">
      <c r="A845" s="28"/>
      <c r="B845" s="28"/>
      <c r="C845" s="28"/>
      <c r="D845" s="26" t="str">
        <f t="shared" si="39"/>
        <v/>
      </c>
      <c r="E845" s="26" t="str">
        <f t="shared" si="40"/>
        <v/>
      </c>
      <c r="F845" s="28"/>
      <c r="G845" s="28"/>
      <c r="H845" s="29" t="str">
        <f t="shared" si="41"/>
        <v/>
      </c>
    </row>
    <row r="846" spans="1:8">
      <c r="A846" s="28"/>
      <c r="B846" s="28"/>
      <c r="C846" s="28"/>
      <c r="D846" s="26" t="str">
        <f t="shared" si="39"/>
        <v/>
      </c>
      <c r="E846" s="26" t="str">
        <f t="shared" si="40"/>
        <v/>
      </c>
      <c r="F846" s="28"/>
      <c r="G846" s="28"/>
      <c r="H846" s="29" t="str">
        <f t="shared" si="41"/>
        <v/>
      </c>
    </row>
    <row r="847" spans="1:8">
      <c r="A847" s="28"/>
      <c r="B847" s="28"/>
      <c r="C847" s="28"/>
      <c r="D847" s="26" t="str">
        <f t="shared" si="39"/>
        <v/>
      </c>
      <c r="E847" s="26" t="str">
        <f t="shared" si="40"/>
        <v/>
      </c>
      <c r="F847" s="28"/>
      <c r="G847" s="28"/>
      <c r="H847" s="29" t="str">
        <f t="shared" si="41"/>
        <v/>
      </c>
    </row>
    <row r="848" spans="1:8">
      <c r="A848" s="28"/>
      <c r="B848" s="28"/>
      <c r="C848" s="28"/>
      <c r="D848" s="26" t="str">
        <f t="shared" si="39"/>
        <v/>
      </c>
      <c r="E848" s="26" t="str">
        <f t="shared" si="40"/>
        <v/>
      </c>
      <c r="F848" s="28"/>
      <c r="G848" s="28"/>
      <c r="H848" s="29" t="str">
        <f t="shared" si="41"/>
        <v/>
      </c>
    </row>
    <row r="849" spans="1:8">
      <c r="A849" s="28"/>
      <c r="B849" s="28"/>
      <c r="C849" s="28"/>
      <c r="D849" s="26" t="str">
        <f t="shared" si="39"/>
        <v/>
      </c>
      <c r="E849" s="26" t="str">
        <f t="shared" si="40"/>
        <v/>
      </c>
      <c r="F849" s="28"/>
      <c r="G849" s="28"/>
      <c r="H849" s="29" t="str">
        <f t="shared" si="41"/>
        <v/>
      </c>
    </row>
    <row r="850" spans="1:8">
      <c r="A850" s="28"/>
      <c r="B850" s="28"/>
      <c r="C850" s="28"/>
      <c r="D850" s="26" t="str">
        <f t="shared" si="39"/>
        <v/>
      </c>
      <c r="E850" s="26" t="str">
        <f t="shared" si="40"/>
        <v/>
      </c>
      <c r="F850" s="28"/>
      <c r="G850" s="28"/>
      <c r="H850" s="29" t="str">
        <f t="shared" si="41"/>
        <v/>
      </c>
    </row>
    <row r="851" spans="1:8">
      <c r="A851" s="28"/>
      <c r="B851" s="28"/>
      <c r="C851" s="28"/>
      <c r="D851" s="26" t="str">
        <f t="shared" si="39"/>
        <v/>
      </c>
      <c r="E851" s="26" t="str">
        <f t="shared" si="40"/>
        <v/>
      </c>
      <c r="F851" s="28"/>
      <c r="G851" s="28"/>
      <c r="H851" s="29" t="str">
        <f t="shared" si="41"/>
        <v/>
      </c>
    </row>
    <row r="852" spans="1:8">
      <c r="A852" s="28"/>
      <c r="B852" s="28"/>
      <c r="C852" s="28"/>
      <c r="D852" s="26" t="str">
        <f t="shared" si="39"/>
        <v/>
      </c>
      <c r="E852" s="26" t="str">
        <f t="shared" si="40"/>
        <v/>
      </c>
      <c r="F852" s="28"/>
      <c r="G852" s="28"/>
      <c r="H852" s="29" t="str">
        <f t="shared" si="41"/>
        <v/>
      </c>
    </row>
    <row r="853" spans="1:8">
      <c r="A853" s="28"/>
      <c r="B853" s="28"/>
      <c r="C853" s="28"/>
      <c r="D853" s="26" t="str">
        <f t="shared" si="39"/>
        <v/>
      </c>
      <c r="E853" s="26" t="str">
        <f t="shared" si="40"/>
        <v/>
      </c>
      <c r="F853" s="28"/>
      <c r="G853" s="28"/>
      <c r="H853" s="29" t="str">
        <f t="shared" si="41"/>
        <v/>
      </c>
    </row>
    <row r="854" spans="1:8">
      <c r="A854" s="28"/>
      <c r="B854" s="28"/>
      <c r="C854" s="28"/>
      <c r="D854" s="26" t="str">
        <f t="shared" si="39"/>
        <v/>
      </c>
      <c r="E854" s="26" t="str">
        <f t="shared" si="40"/>
        <v/>
      </c>
      <c r="F854" s="28"/>
      <c r="G854" s="28"/>
      <c r="H854" s="29" t="str">
        <f t="shared" si="41"/>
        <v/>
      </c>
    </row>
    <row r="855" spans="1:8">
      <c r="A855" s="28"/>
      <c r="B855" s="28"/>
      <c r="C855" s="28"/>
      <c r="D855" s="26" t="str">
        <f t="shared" si="39"/>
        <v/>
      </c>
      <c r="E855" s="26" t="str">
        <f t="shared" si="40"/>
        <v/>
      </c>
      <c r="F855" s="28"/>
      <c r="G855" s="28"/>
      <c r="H855" s="29" t="str">
        <f t="shared" si="41"/>
        <v/>
      </c>
    </row>
    <row r="856" spans="1:8">
      <c r="A856" s="28"/>
      <c r="B856" s="28"/>
      <c r="C856" s="28"/>
      <c r="D856" s="26" t="str">
        <f t="shared" si="39"/>
        <v/>
      </c>
      <c r="E856" s="26" t="str">
        <f t="shared" si="40"/>
        <v/>
      </c>
      <c r="F856" s="28"/>
      <c r="G856" s="28"/>
      <c r="H856" s="29" t="str">
        <f t="shared" si="41"/>
        <v/>
      </c>
    </row>
    <row r="857" spans="1:8">
      <c r="A857" s="28"/>
      <c r="B857" s="28"/>
      <c r="C857" s="28"/>
      <c r="D857" s="26" t="str">
        <f t="shared" si="39"/>
        <v/>
      </c>
      <c r="E857" s="26" t="str">
        <f t="shared" si="40"/>
        <v/>
      </c>
      <c r="F857" s="28"/>
      <c r="G857" s="28"/>
      <c r="H857" s="29" t="str">
        <f t="shared" si="41"/>
        <v/>
      </c>
    </row>
    <row r="858" spans="1:8">
      <c r="A858" s="28"/>
      <c r="B858" s="28"/>
      <c r="C858" s="28"/>
      <c r="D858" s="26" t="str">
        <f t="shared" si="39"/>
        <v/>
      </c>
      <c r="E858" s="26" t="str">
        <f t="shared" si="40"/>
        <v/>
      </c>
      <c r="F858" s="28"/>
      <c r="G858" s="28"/>
      <c r="H858" s="29" t="str">
        <f t="shared" si="41"/>
        <v/>
      </c>
    </row>
    <row r="859" spans="1:8">
      <c r="A859" s="28"/>
      <c r="B859" s="28"/>
      <c r="C859" s="28"/>
      <c r="D859" s="26" t="str">
        <f t="shared" si="39"/>
        <v/>
      </c>
      <c r="E859" s="26" t="str">
        <f t="shared" si="40"/>
        <v/>
      </c>
      <c r="F859" s="28"/>
      <c r="G859" s="28"/>
      <c r="H859" s="29" t="str">
        <f t="shared" si="41"/>
        <v/>
      </c>
    </row>
    <row r="860" spans="1:8">
      <c r="A860" s="28"/>
      <c r="B860" s="28"/>
      <c r="C860" s="28"/>
      <c r="D860" s="26" t="str">
        <f t="shared" si="39"/>
        <v/>
      </c>
      <c r="E860" s="26" t="str">
        <f t="shared" si="40"/>
        <v/>
      </c>
      <c r="F860" s="28"/>
      <c r="G860" s="28"/>
      <c r="H860" s="29" t="str">
        <f t="shared" si="41"/>
        <v/>
      </c>
    </row>
    <row r="861" spans="1:8">
      <c r="A861" s="28"/>
      <c r="B861" s="28"/>
      <c r="C861" s="28"/>
      <c r="D861" s="26" t="str">
        <f t="shared" si="39"/>
        <v/>
      </c>
      <c r="E861" s="26" t="str">
        <f t="shared" si="40"/>
        <v/>
      </c>
      <c r="F861" s="28"/>
      <c r="G861" s="28"/>
      <c r="H861" s="29" t="str">
        <f t="shared" si="41"/>
        <v/>
      </c>
    </row>
    <row r="862" spans="1:8">
      <c r="A862" s="28"/>
      <c r="B862" s="28"/>
      <c r="C862" s="28"/>
      <c r="D862" s="26" t="str">
        <f t="shared" si="39"/>
        <v/>
      </c>
      <c r="E862" s="26" t="str">
        <f t="shared" si="40"/>
        <v/>
      </c>
      <c r="F862" s="28"/>
      <c r="G862" s="28"/>
      <c r="H862" s="29" t="str">
        <f t="shared" si="41"/>
        <v/>
      </c>
    </row>
    <row r="863" spans="1:8">
      <c r="A863" s="28"/>
      <c r="B863" s="28"/>
      <c r="C863" s="28"/>
      <c r="D863" s="26" t="str">
        <f t="shared" si="39"/>
        <v/>
      </c>
      <c r="E863" s="26" t="str">
        <f t="shared" si="40"/>
        <v/>
      </c>
      <c r="F863" s="28"/>
      <c r="G863" s="28"/>
      <c r="H863" s="29" t="str">
        <f t="shared" si="41"/>
        <v/>
      </c>
    </row>
    <row r="864" spans="1:8">
      <c r="A864" s="28"/>
      <c r="B864" s="28"/>
      <c r="C864" s="28"/>
      <c r="D864" s="26" t="str">
        <f t="shared" si="39"/>
        <v/>
      </c>
      <c r="E864" s="26" t="str">
        <f t="shared" si="40"/>
        <v/>
      </c>
      <c r="F864" s="28"/>
      <c r="G864" s="28"/>
      <c r="H864" s="29" t="str">
        <f t="shared" si="41"/>
        <v/>
      </c>
    </row>
    <row r="865" spans="1:8">
      <c r="A865" s="28"/>
      <c r="B865" s="28"/>
      <c r="C865" s="28"/>
      <c r="D865" s="26" t="str">
        <f t="shared" si="39"/>
        <v/>
      </c>
      <c r="E865" s="26" t="str">
        <f t="shared" si="40"/>
        <v/>
      </c>
      <c r="F865" s="28"/>
      <c r="G865" s="28"/>
      <c r="H865" s="29" t="str">
        <f t="shared" si="41"/>
        <v/>
      </c>
    </row>
    <row r="866" spans="1:8">
      <c r="A866" s="28"/>
      <c r="B866" s="28"/>
      <c r="C866" s="28"/>
      <c r="D866" s="26" t="str">
        <f t="shared" si="39"/>
        <v/>
      </c>
      <c r="E866" s="26" t="str">
        <f t="shared" si="40"/>
        <v/>
      </c>
      <c r="F866" s="28"/>
      <c r="G866" s="28"/>
      <c r="H866" s="29" t="str">
        <f t="shared" si="41"/>
        <v/>
      </c>
    </row>
    <row r="867" spans="1:8">
      <c r="A867" s="28"/>
      <c r="B867" s="28"/>
      <c r="C867" s="28"/>
      <c r="D867" s="26" t="str">
        <f t="shared" si="39"/>
        <v/>
      </c>
      <c r="E867" s="26" t="str">
        <f t="shared" si="40"/>
        <v/>
      </c>
      <c r="F867" s="28"/>
      <c r="G867" s="28"/>
      <c r="H867" s="29" t="str">
        <f t="shared" si="41"/>
        <v/>
      </c>
    </row>
    <row r="868" spans="1:8">
      <c r="A868" s="28"/>
      <c r="B868" s="28"/>
      <c r="C868" s="28"/>
      <c r="D868" s="26" t="str">
        <f t="shared" si="39"/>
        <v/>
      </c>
      <c r="E868" s="26" t="str">
        <f t="shared" si="40"/>
        <v/>
      </c>
      <c r="F868" s="28"/>
      <c r="G868" s="28"/>
      <c r="H868" s="29" t="str">
        <f t="shared" si="41"/>
        <v/>
      </c>
    </row>
    <row r="869" spans="1:8">
      <c r="A869" s="28"/>
      <c r="B869" s="28"/>
      <c r="C869" s="28"/>
      <c r="D869" s="26" t="str">
        <f t="shared" si="39"/>
        <v/>
      </c>
      <c r="E869" s="26" t="str">
        <f t="shared" si="40"/>
        <v/>
      </c>
      <c r="F869" s="28"/>
      <c r="G869" s="28"/>
      <c r="H869" s="29" t="str">
        <f t="shared" si="41"/>
        <v/>
      </c>
    </row>
    <row r="870" spans="1:8">
      <c r="A870" s="28"/>
      <c r="B870" s="28"/>
      <c r="C870" s="28"/>
      <c r="D870" s="26" t="str">
        <f t="shared" si="39"/>
        <v/>
      </c>
      <c r="E870" s="26" t="str">
        <f t="shared" si="40"/>
        <v/>
      </c>
      <c r="F870" s="28"/>
      <c r="G870" s="28"/>
      <c r="H870" s="29" t="str">
        <f t="shared" si="41"/>
        <v/>
      </c>
    </row>
    <row r="871" spans="1:8">
      <c r="A871" s="28"/>
      <c r="B871" s="28"/>
      <c r="C871" s="28"/>
      <c r="D871" s="26" t="str">
        <f t="shared" si="39"/>
        <v/>
      </c>
      <c r="E871" s="26" t="str">
        <f t="shared" si="40"/>
        <v/>
      </c>
      <c r="F871" s="28"/>
      <c r="G871" s="28"/>
      <c r="H871" s="29" t="str">
        <f t="shared" si="41"/>
        <v/>
      </c>
    </row>
    <row r="872" spans="1:8">
      <c r="A872" s="28"/>
      <c r="B872" s="28"/>
      <c r="C872" s="28"/>
      <c r="D872" s="26" t="str">
        <f t="shared" si="39"/>
        <v/>
      </c>
      <c r="E872" s="26" t="str">
        <f t="shared" si="40"/>
        <v/>
      </c>
      <c r="F872" s="28"/>
      <c r="G872" s="28"/>
      <c r="H872" s="29" t="str">
        <f t="shared" si="41"/>
        <v/>
      </c>
    </row>
    <row r="873" spans="1:8">
      <c r="A873" s="28"/>
      <c r="B873" s="28"/>
      <c r="C873" s="28"/>
      <c r="D873" s="26" t="str">
        <f t="shared" si="39"/>
        <v/>
      </c>
      <c r="E873" s="26" t="str">
        <f t="shared" si="40"/>
        <v/>
      </c>
      <c r="F873" s="28"/>
      <c r="G873" s="28"/>
      <c r="H873" s="29" t="str">
        <f t="shared" si="41"/>
        <v/>
      </c>
    </row>
    <row r="874" spans="1:8">
      <c r="A874" s="28"/>
      <c r="B874" s="28"/>
      <c r="C874" s="28"/>
      <c r="D874" s="26" t="str">
        <f t="shared" si="39"/>
        <v/>
      </c>
      <c r="E874" s="26" t="str">
        <f t="shared" si="40"/>
        <v/>
      </c>
      <c r="F874" s="28"/>
      <c r="G874" s="28"/>
      <c r="H874" s="29" t="str">
        <f t="shared" si="41"/>
        <v/>
      </c>
    </row>
    <row r="875" spans="1:8">
      <c r="A875" s="28"/>
      <c r="B875" s="28"/>
      <c r="C875" s="28"/>
      <c r="D875" s="26" t="str">
        <f t="shared" si="39"/>
        <v/>
      </c>
      <c r="E875" s="26" t="str">
        <f t="shared" si="40"/>
        <v/>
      </c>
      <c r="F875" s="28"/>
      <c r="G875" s="28"/>
      <c r="H875" s="29" t="str">
        <f t="shared" si="41"/>
        <v/>
      </c>
    </row>
    <row r="876" spans="1:8">
      <c r="A876" s="28"/>
      <c r="B876" s="28"/>
      <c r="C876" s="28"/>
      <c r="D876" s="26" t="str">
        <f t="shared" si="39"/>
        <v/>
      </c>
      <c r="E876" s="26" t="str">
        <f t="shared" si="40"/>
        <v/>
      </c>
      <c r="F876" s="28"/>
      <c r="G876" s="28"/>
      <c r="H876" s="29" t="str">
        <f t="shared" si="41"/>
        <v/>
      </c>
    </row>
    <row r="877" spans="1:8">
      <c r="A877" s="28"/>
      <c r="B877" s="28"/>
      <c r="C877" s="28"/>
      <c r="D877" s="26" t="str">
        <f t="shared" si="39"/>
        <v/>
      </c>
      <c r="E877" s="26" t="str">
        <f t="shared" si="40"/>
        <v/>
      </c>
      <c r="F877" s="28"/>
      <c r="G877" s="28"/>
      <c r="H877" s="29" t="str">
        <f t="shared" si="41"/>
        <v/>
      </c>
    </row>
    <row r="878" spans="1:8">
      <c r="A878" s="28"/>
      <c r="B878" s="28"/>
      <c r="C878" s="28"/>
      <c r="D878" s="26" t="str">
        <f t="shared" si="39"/>
        <v/>
      </c>
      <c r="E878" s="26" t="str">
        <f t="shared" si="40"/>
        <v/>
      </c>
      <c r="F878" s="28"/>
      <c r="G878" s="28"/>
      <c r="H878" s="29" t="str">
        <f t="shared" si="41"/>
        <v/>
      </c>
    </row>
    <row r="879" spans="1:8">
      <c r="A879" s="28"/>
      <c r="B879" s="28"/>
      <c r="C879" s="28"/>
      <c r="D879" s="26" t="str">
        <f t="shared" si="39"/>
        <v/>
      </c>
      <c r="E879" s="26" t="str">
        <f t="shared" si="40"/>
        <v/>
      </c>
      <c r="F879" s="28"/>
      <c r="G879" s="28"/>
      <c r="H879" s="29" t="str">
        <f t="shared" si="41"/>
        <v/>
      </c>
    </row>
    <row r="880" spans="1:8">
      <c r="A880" s="28"/>
      <c r="B880" s="28"/>
      <c r="C880" s="28"/>
      <c r="D880" s="26" t="str">
        <f t="shared" si="39"/>
        <v/>
      </c>
      <c r="E880" s="26" t="str">
        <f t="shared" si="40"/>
        <v/>
      </c>
      <c r="F880" s="28"/>
      <c r="G880" s="28"/>
      <c r="H880" s="29" t="str">
        <f t="shared" si="41"/>
        <v/>
      </c>
    </row>
    <row r="881" spans="1:8">
      <c r="A881" s="28"/>
      <c r="B881" s="28"/>
      <c r="C881" s="28"/>
      <c r="D881" s="26" t="str">
        <f t="shared" si="39"/>
        <v/>
      </c>
      <c r="E881" s="26" t="str">
        <f t="shared" si="40"/>
        <v/>
      </c>
      <c r="F881" s="28"/>
      <c r="G881" s="28"/>
      <c r="H881" s="29" t="str">
        <f t="shared" si="41"/>
        <v/>
      </c>
    </row>
    <row r="882" spans="1:8">
      <c r="A882" s="28"/>
      <c r="B882" s="28"/>
      <c r="C882" s="28"/>
      <c r="D882" s="26" t="str">
        <f t="shared" si="39"/>
        <v/>
      </c>
      <c r="E882" s="26" t="str">
        <f t="shared" si="40"/>
        <v/>
      </c>
      <c r="F882" s="28"/>
      <c r="G882" s="28"/>
      <c r="H882" s="29" t="str">
        <f t="shared" si="41"/>
        <v/>
      </c>
    </row>
    <row r="883" spans="1:8">
      <c r="A883" s="28"/>
      <c r="B883" s="28"/>
      <c r="C883" s="28"/>
      <c r="D883" s="26" t="str">
        <f t="shared" si="39"/>
        <v/>
      </c>
      <c r="E883" s="26" t="str">
        <f t="shared" si="40"/>
        <v/>
      </c>
      <c r="F883" s="28"/>
      <c r="G883" s="28"/>
      <c r="H883" s="29" t="str">
        <f t="shared" si="41"/>
        <v/>
      </c>
    </row>
    <row r="884" spans="1:8">
      <c r="A884" s="28"/>
      <c r="B884" s="28"/>
      <c r="C884" s="28"/>
      <c r="D884" s="26" t="str">
        <f t="shared" si="39"/>
        <v/>
      </c>
      <c r="E884" s="26" t="str">
        <f t="shared" si="40"/>
        <v/>
      </c>
      <c r="F884" s="28"/>
      <c r="G884" s="28"/>
      <c r="H884" s="29" t="str">
        <f t="shared" si="41"/>
        <v/>
      </c>
    </row>
    <row r="885" spans="1:8">
      <c r="A885" s="28"/>
      <c r="B885" s="28"/>
      <c r="C885" s="28"/>
      <c r="D885" s="26" t="str">
        <f t="shared" si="39"/>
        <v/>
      </c>
      <c r="E885" s="26" t="str">
        <f t="shared" si="40"/>
        <v/>
      </c>
      <c r="F885" s="28"/>
      <c r="G885" s="28"/>
      <c r="H885" s="29" t="str">
        <f t="shared" si="41"/>
        <v/>
      </c>
    </row>
    <row r="886" spans="1:8">
      <c r="A886" s="28"/>
      <c r="B886" s="28"/>
      <c r="C886" s="28"/>
      <c r="D886" s="26" t="str">
        <f t="shared" si="39"/>
        <v/>
      </c>
      <c r="E886" s="26" t="str">
        <f t="shared" si="40"/>
        <v/>
      </c>
      <c r="F886" s="28"/>
      <c r="G886" s="28"/>
      <c r="H886" s="29" t="str">
        <f t="shared" si="41"/>
        <v/>
      </c>
    </row>
    <row r="887" spans="1:8">
      <c r="A887" s="28"/>
      <c r="B887" s="28"/>
      <c r="C887" s="28"/>
      <c r="D887" s="26" t="str">
        <f t="shared" si="39"/>
        <v/>
      </c>
      <c r="E887" s="26" t="str">
        <f t="shared" si="40"/>
        <v/>
      </c>
      <c r="F887" s="28"/>
      <c r="G887" s="28"/>
      <c r="H887" s="29" t="str">
        <f t="shared" si="41"/>
        <v/>
      </c>
    </row>
    <row r="888" spans="1:8">
      <c r="A888" s="28"/>
      <c r="B888" s="28"/>
      <c r="C888" s="28"/>
      <c r="D888" s="26" t="str">
        <f t="shared" si="39"/>
        <v/>
      </c>
      <c r="E888" s="26" t="str">
        <f t="shared" si="40"/>
        <v/>
      </c>
      <c r="F888" s="28"/>
      <c r="G888" s="28"/>
      <c r="H888" s="29" t="str">
        <f t="shared" si="41"/>
        <v/>
      </c>
    </row>
    <row r="889" spans="1:8">
      <c r="A889" s="28"/>
      <c r="B889" s="28"/>
      <c r="C889" s="28"/>
      <c r="D889" s="26" t="str">
        <f t="shared" si="39"/>
        <v/>
      </c>
      <c r="E889" s="26" t="str">
        <f t="shared" si="40"/>
        <v/>
      </c>
      <c r="F889" s="28"/>
      <c r="G889" s="28"/>
      <c r="H889" s="29" t="str">
        <f t="shared" si="41"/>
        <v/>
      </c>
    </row>
    <row r="890" spans="1:8">
      <c r="A890" s="28"/>
      <c r="B890" s="28"/>
      <c r="C890" s="28"/>
      <c r="D890" s="26" t="str">
        <f t="shared" si="39"/>
        <v/>
      </c>
      <c r="E890" s="26" t="str">
        <f t="shared" si="40"/>
        <v/>
      </c>
      <c r="F890" s="28"/>
      <c r="G890" s="28"/>
      <c r="H890" s="29" t="str">
        <f t="shared" si="41"/>
        <v/>
      </c>
    </row>
    <row r="891" spans="1:8">
      <c r="A891" s="28"/>
      <c r="B891" s="28"/>
      <c r="C891" s="28"/>
      <c r="D891" s="26" t="str">
        <f t="shared" si="39"/>
        <v/>
      </c>
      <c r="E891" s="26" t="str">
        <f t="shared" si="40"/>
        <v/>
      </c>
      <c r="F891" s="28"/>
      <c r="G891" s="28"/>
      <c r="H891" s="29" t="str">
        <f t="shared" si="41"/>
        <v/>
      </c>
    </row>
    <row r="892" spans="1:8">
      <c r="A892" s="28"/>
      <c r="B892" s="28"/>
      <c r="C892" s="28"/>
      <c r="D892" s="26" t="str">
        <f t="shared" si="39"/>
        <v/>
      </c>
      <c r="E892" s="26" t="str">
        <f t="shared" si="40"/>
        <v/>
      </c>
      <c r="F892" s="28"/>
      <c r="G892" s="28"/>
      <c r="H892" s="29" t="str">
        <f t="shared" si="41"/>
        <v/>
      </c>
    </row>
    <row r="893" spans="1:8">
      <c r="A893" s="28"/>
      <c r="B893" s="28"/>
      <c r="C893" s="28"/>
      <c r="D893" s="26" t="str">
        <f t="shared" si="39"/>
        <v/>
      </c>
      <c r="E893" s="26" t="str">
        <f t="shared" si="40"/>
        <v/>
      </c>
      <c r="F893" s="28"/>
      <c r="G893" s="28"/>
      <c r="H893" s="29" t="str">
        <f t="shared" si="41"/>
        <v/>
      </c>
    </row>
    <row r="894" spans="1:8">
      <c r="A894" s="28"/>
      <c r="B894" s="28"/>
      <c r="C894" s="28"/>
      <c r="D894" s="26" t="str">
        <f t="shared" si="39"/>
        <v/>
      </c>
      <c r="E894" s="26" t="str">
        <f t="shared" si="40"/>
        <v/>
      </c>
      <c r="F894" s="28"/>
      <c r="G894" s="28"/>
      <c r="H894" s="29" t="str">
        <f t="shared" si="41"/>
        <v/>
      </c>
    </row>
    <row r="895" spans="1:8">
      <c r="A895" s="28"/>
      <c r="B895" s="28"/>
      <c r="C895" s="28"/>
      <c r="D895" s="26" t="str">
        <f t="shared" si="39"/>
        <v/>
      </c>
      <c r="E895" s="26" t="str">
        <f t="shared" si="40"/>
        <v/>
      </c>
      <c r="F895" s="28"/>
      <c r="G895" s="28"/>
      <c r="H895" s="29" t="str">
        <f t="shared" si="41"/>
        <v/>
      </c>
    </row>
    <row r="896" spans="1:8">
      <c r="A896" s="28"/>
      <c r="B896" s="28"/>
      <c r="C896" s="28"/>
      <c r="D896" s="26" t="str">
        <f t="shared" si="39"/>
        <v/>
      </c>
      <c r="E896" s="26" t="str">
        <f t="shared" si="40"/>
        <v/>
      </c>
      <c r="F896" s="28"/>
      <c r="G896" s="28"/>
      <c r="H896" s="29" t="str">
        <f t="shared" si="41"/>
        <v/>
      </c>
    </row>
    <row r="897" spans="1:8">
      <c r="A897" s="28"/>
      <c r="B897" s="28"/>
      <c r="C897" s="28"/>
      <c r="D897" s="26" t="str">
        <f t="shared" si="39"/>
        <v/>
      </c>
      <c r="E897" s="26" t="str">
        <f t="shared" si="40"/>
        <v/>
      </c>
      <c r="F897" s="28"/>
      <c r="G897" s="28"/>
      <c r="H897" s="29" t="str">
        <f t="shared" si="41"/>
        <v/>
      </c>
    </row>
    <row r="898" spans="1:8">
      <c r="A898" s="28"/>
      <c r="B898" s="28"/>
      <c r="C898" s="28"/>
      <c r="D898" s="26" t="str">
        <f t="shared" ref="D898:D961" si="42">IF(OR(B898="",C898=""),"",C898-B898)</f>
        <v/>
      </c>
      <c r="E898" s="26" t="str">
        <f t="shared" ref="E898:E961" si="43">IF(OR(B898="",C898=""),"",(B898+C898)/2)</f>
        <v/>
      </c>
      <c r="F898" s="28"/>
      <c r="G898" s="28"/>
      <c r="H898" s="29" t="str">
        <f t="shared" ref="H898:H961" si="44">IF(OR(F898="",G898=""),"",G898-F898)</f>
        <v/>
      </c>
    </row>
    <row r="899" spans="1:8">
      <c r="A899" s="28"/>
      <c r="B899" s="28"/>
      <c r="C899" s="28"/>
      <c r="D899" s="26" t="str">
        <f t="shared" si="42"/>
        <v/>
      </c>
      <c r="E899" s="26" t="str">
        <f t="shared" si="43"/>
        <v/>
      </c>
      <c r="F899" s="28"/>
      <c r="G899" s="28"/>
      <c r="H899" s="29" t="str">
        <f t="shared" si="44"/>
        <v/>
      </c>
    </row>
    <row r="900" spans="1:8">
      <c r="A900" s="28"/>
      <c r="B900" s="28"/>
      <c r="C900" s="28"/>
      <c r="D900" s="26" t="str">
        <f t="shared" si="42"/>
        <v/>
      </c>
      <c r="E900" s="26" t="str">
        <f t="shared" si="43"/>
        <v/>
      </c>
      <c r="F900" s="28"/>
      <c r="G900" s="28"/>
      <c r="H900" s="29" t="str">
        <f t="shared" si="44"/>
        <v/>
      </c>
    </row>
    <row r="901" spans="1:8">
      <c r="A901" s="28"/>
      <c r="B901" s="28"/>
      <c r="C901" s="28"/>
      <c r="D901" s="26" t="str">
        <f t="shared" si="42"/>
        <v/>
      </c>
      <c r="E901" s="26" t="str">
        <f t="shared" si="43"/>
        <v/>
      </c>
      <c r="F901" s="28"/>
      <c r="G901" s="28"/>
      <c r="H901" s="29" t="str">
        <f t="shared" si="44"/>
        <v/>
      </c>
    </row>
    <row r="902" spans="1:8">
      <c r="A902" s="28"/>
      <c r="B902" s="28"/>
      <c r="C902" s="28"/>
      <c r="D902" s="26" t="str">
        <f t="shared" si="42"/>
        <v/>
      </c>
      <c r="E902" s="26" t="str">
        <f t="shared" si="43"/>
        <v/>
      </c>
      <c r="F902" s="28"/>
      <c r="G902" s="28"/>
      <c r="H902" s="29" t="str">
        <f t="shared" si="44"/>
        <v/>
      </c>
    </row>
    <row r="903" spans="1:8">
      <c r="A903" s="28"/>
      <c r="B903" s="28"/>
      <c r="C903" s="28"/>
      <c r="D903" s="26" t="str">
        <f t="shared" si="42"/>
        <v/>
      </c>
      <c r="E903" s="26" t="str">
        <f t="shared" si="43"/>
        <v/>
      </c>
      <c r="F903" s="28"/>
      <c r="G903" s="28"/>
      <c r="H903" s="29" t="str">
        <f t="shared" si="44"/>
        <v/>
      </c>
    </row>
    <row r="904" spans="1:8">
      <c r="A904" s="28"/>
      <c r="B904" s="28"/>
      <c r="C904" s="28"/>
      <c r="D904" s="26" t="str">
        <f t="shared" si="42"/>
        <v/>
      </c>
      <c r="E904" s="26" t="str">
        <f t="shared" si="43"/>
        <v/>
      </c>
      <c r="F904" s="28"/>
      <c r="G904" s="28"/>
      <c r="H904" s="29" t="str">
        <f t="shared" si="44"/>
        <v/>
      </c>
    </row>
    <row r="905" spans="1:8">
      <c r="A905" s="28"/>
      <c r="B905" s="28"/>
      <c r="C905" s="28"/>
      <c r="D905" s="26" t="str">
        <f t="shared" si="42"/>
        <v/>
      </c>
      <c r="E905" s="26" t="str">
        <f t="shared" si="43"/>
        <v/>
      </c>
      <c r="F905" s="28"/>
      <c r="G905" s="28"/>
      <c r="H905" s="29" t="str">
        <f t="shared" si="44"/>
        <v/>
      </c>
    </row>
    <row r="906" spans="1:8">
      <c r="A906" s="28"/>
      <c r="B906" s="28"/>
      <c r="C906" s="28"/>
      <c r="D906" s="26" t="str">
        <f t="shared" si="42"/>
        <v/>
      </c>
      <c r="E906" s="26" t="str">
        <f t="shared" si="43"/>
        <v/>
      </c>
      <c r="F906" s="28"/>
      <c r="G906" s="28"/>
      <c r="H906" s="29" t="str">
        <f t="shared" si="44"/>
        <v/>
      </c>
    </row>
    <row r="907" spans="1:8">
      <c r="A907" s="28"/>
      <c r="B907" s="28"/>
      <c r="C907" s="28"/>
      <c r="D907" s="26" t="str">
        <f t="shared" si="42"/>
        <v/>
      </c>
      <c r="E907" s="26" t="str">
        <f t="shared" si="43"/>
        <v/>
      </c>
      <c r="F907" s="28"/>
      <c r="G907" s="28"/>
      <c r="H907" s="29" t="str">
        <f t="shared" si="44"/>
        <v/>
      </c>
    </row>
    <row r="908" spans="1:8">
      <c r="A908" s="28"/>
      <c r="B908" s="28"/>
      <c r="C908" s="28"/>
      <c r="D908" s="26" t="str">
        <f t="shared" si="42"/>
        <v/>
      </c>
      <c r="E908" s="26" t="str">
        <f t="shared" si="43"/>
        <v/>
      </c>
      <c r="F908" s="28"/>
      <c r="G908" s="28"/>
      <c r="H908" s="29" t="str">
        <f t="shared" si="44"/>
        <v/>
      </c>
    </row>
    <row r="909" spans="1:8">
      <c r="A909" s="28"/>
      <c r="B909" s="28"/>
      <c r="C909" s="28"/>
      <c r="D909" s="26" t="str">
        <f t="shared" si="42"/>
        <v/>
      </c>
      <c r="E909" s="26" t="str">
        <f t="shared" si="43"/>
        <v/>
      </c>
      <c r="F909" s="28"/>
      <c r="G909" s="28"/>
      <c r="H909" s="29" t="str">
        <f t="shared" si="44"/>
        <v/>
      </c>
    </row>
    <row r="910" spans="1:8">
      <c r="A910" s="28"/>
      <c r="B910" s="28"/>
      <c r="C910" s="28"/>
      <c r="D910" s="26" t="str">
        <f t="shared" si="42"/>
        <v/>
      </c>
      <c r="E910" s="26" t="str">
        <f t="shared" si="43"/>
        <v/>
      </c>
      <c r="F910" s="28"/>
      <c r="G910" s="28"/>
      <c r="H910" s="29" t="str">
        <f t="shared" si="44"/>
        <v/>
      </c>
    </row>
    <row r="911" spans="1:8">
      <c r="A911" s="28"/>
      <c r="B911" s="28"/>
      <c r="C911" s="28"/>
      <c r="D911" s="26" t="str">
        <f t="shared" si="42"/>
        <v/>
      </c>
      <c r="E911" s="26" t="str">
        <f t="shared" si="43"/>
        <v/>
      </c>
      <c r="F911" s="28"/>
      <c r="G911" s="28"/>
      <c r="H911" s="29" t="str">
        <f t="shared" si="44"/>
        <v/>
      </c>
    </row>
    <row r="912" spans="1:8">
      <c r="A912" s="28"/>
      <c r="B912" s="28"/>
      <c r="C912" s="28"/>
      <c r="D912" s="26" t="str">
        <f t="shared" si="42"/>
        <v/>
      </c>
      <c r="E912" s="26" t="str">
        <f t="shared" si="43"/>
        <v/>
      </c>
      <c r="F912" s="28"/>
      <c r="G912" s="28"/>
      <c r="H912" s="29" t="str">
        <f t="shared" si="44"/>
        <v/>
      </c>
    </row>
    <row r="913" spans="1:8">
      <c r="A913" s="28"/>
      <c r="B913" s="28"/>
      <c r="C913" s="28"/>
      <c r="D913" s="26" t="str">
        <f t="shared" si="42"/>
        <v/>
      </c>
      <c r="E913" s="26" t="str">
        <f t="shared" si="43"/>
        <v/>
      </c>
      <c r="F913" s="28"/>
      <c r="G913" s="28"/>
      <c r="H913" s="29" t="str">
        <f t="shared" si="44"/>
        <v/>
      </c>
    </row>
    <row r="914" spans="1:8">
      <c r="A914" s="28"/>
      <c r="B914" s="28"/>
      <c r="C914" s="28"/>
      <c r="D914" s="26" t="str">
        <f t="shared" si="42"/>
        <v/>
      </c>
      <c r="E914" s="26" t="str">
        <f t="shared" si="43"/>
        <v/>
      </c>
      <c r="F914" s="28"/>
      <c r="G914" s="28"/>
      <c r="H914" s="29" t="str">
        <f t="shared" si="44"/>
        <v/>
      </c>
    </row>
    <row r="915" spans="1:8">
      <c r="A915" s="28"/>
      <c r="B915" s="28"/>
      <c r="C915" s="28"/>
      <c r="D915" s="26" t="str">
        <f t="shared" si="42"/>
        <v/>
      </c>
      <c r="E915" s="26" t="str">
        <f t="shared" si="43"/>
        <v/>
      </c>
      <c r="F915" s="28"/>
      <c r="G915" s="28"/>
      <c r="H915" s="29" t="str">
        <f t="shared" si="44"/>
        <v/>
      </c>
    </row>
    <row r="916" spans="1:8">
      <c r="A916" s="28"/>
      <c r="B916" s="28"/>
      <c r="C916" s="28"/>
      <c r="D916" s="26" t="str">
        <f t="shared" si="42"/>
        <v/>
      </c>
      <c r="E916" s="26" t="str">
        <f t="shared" si="43"/>
        <v/>
      </c>
      <c r="F916" s="28"/>
      <c r="G916" s="28"/>
      <c r="H916" s="29" t="str">
        <f t="shared" si="44"/>
        <v/>
      </c>
    </row>
    <row r="917" spans="1:8">
      <c r="A917" s="28"/>
      <c r="B917" s="28"/>
      <c r="C917" s="28"/>
      <c r="D917" s="26" t="str">
        <f t="shared" si="42"/>
        <v/>
      </c>
      <c r="E917" s="26" t="str">
        <f t="shared" si="43"/>
        <v/>
      </c>
      <c r="F917" s="28"/>
      <c r="G917" s="28"/>
      <c r="H917" s="29" t="str">
        <f t="shared" si="44"/>
        <v/>
      </c>
    </row>
    <row r="918" spans="1:8">
      <c r="A918" s="28"/>
      <c r="B918" s="28"/>
      <c r="C918" s="28"/>
      <c r="D918" s="26" t="str">
        <f t="shared" si="42"/>
        <v/>
      </c>
      <c r="E918" s="26" t="str">
        <f t="shared" si="43"/>
        <v/>
      </c>
      <c r="F918" s="28"/>
      <c r="G918" s="28"/>
      <c r="H918" s="29" t="str">
        <f t="shared" si="44"/>
        <v/>
      </c>
    </row>
    <row r="919" spans="1:8">
      <c r="A919" s="28"/>
      <c r="B919" s="28"/>
      <c r="C919" s="28"/>
      <c r="D919" s="26" t="str">
        <f t="shared" si="42"/>
        <v/>
      </c>
      <c r="E919" s="26" t="str">
        <f t="shared" si="43"/>
        <v/>
      </c>
      <c r="F919" s="28"/>
      <c r="G919" s="28"/>
      <c r="H919" s="29" t="str">
        <f t="shared" si="44"/>
        <v/>
      </c>
    </row>
    <row r="920" spans="1:8">
      <c r="A920" s="28"/>
      <c r="B920" s="28"/>
      <c r="C920" s="28"/>
      <c r="D920" s="26" t="str">
        <f t="shared" si="42"/>
        <v/>
      </c>
      <c r="E920" s="26" t="str">
        <f t="shared" si="43"/>
        <v/>
      </c>
      <c r="F920" s="28"/>
      <c r="G920" s="28"/>
      <c r="H920" s="29" t="str">
        <f t="shared" si="44"/>
        <v/>
      </c>
    </row>
    <row r="921" spans="1:8">
      <c r="A921" s="28"/>
      <c r="B921" s="28"/>
      <c r="C921" s="28"/>
      <c r="D921" s="26" t="str">
        <f t="shared" si="42"/>
        <v/>
      </c>
      <c r="E921" s="26" t="str">
        <f t="shared" si="43"/>
        <v/>
      </c>
      <c r="F921" s="28"/>
      <c r="G921" s="28"/>
      <c r="H921" s="29" t="str">
        <f t="shared" si="44"/>
        <v/>
      </c>
    </row>
    <row r="922" spans="1:8">
      <c r="A922" s="28"/>
      <c r="B922" s="28"/>
      <c r="C922" s="28"/>
      <c r="D922" s="26" t="str">
        <f t="shared" si="42"/>
        <v/>
      </c>
      <c r="E922" s="26" t="str">
        <f t="shared" si="43"/>
        <v/>
      </c>
      <c r="F922" s="28"/>
      <c r="G922" s="28"/>
      <c r="H922" s="29" t="str">
        <f t="shared" si="44"/>
        <v/>
      </c>
    </row>
    <row r="923" spans="1:8">
      <c r="A923" s="28"/>
      <c r="B923" s="28"/>
      <c r="C923" s="28"/>
      <c r="D923" s="26" t="str">
        <f t="shared" si="42"/>
        <v/>
      </c>
      <c r="E923" s="26" t="str">
        <f t="shared" si="43"/>
        <v/>
      </c>
      <c r="F923" s="28"/>
      <c r="G923" s="28"/>
      <c r="H923" s="29" t="str">
        <f t="shared" si="44"/>
        <v/>
      </c>
    </row>
    <row r="924" spans="1:8">
      <c r="A924" s="28"/>
      <c r="B924" s="28"/>
      <c r="C924" s="28"/>
      <c r="D924" s="26" t="str">
        <f t="shared" si="42"/>
        <v/>
      </c>
      <c r="E924" s="26" t="str">
        <f t="shared" si="43"/>
        <v/>
      </c>
      <c r="F924" s="28"/>
      <c r="G924" s="28"/>
      <c r="H924" s="29" t="str">
        <f t="shared" si="44"/>
        <v/>
      </c>
    </row>
    <row r="925" spans="1:8">
      <c r="A925" s="28"/>
      <c r="B925" s="28"/>
      <c r="C925" s="28"/>
      <c r="D925" s="26" t="str">
        <f t="shared" si="42"/>
        <v/>
      </c>
      <c r="E925" s="26" t="str">
        <f t="shared" si="43"/>
        <v/>
      </c>
      <c r="F925" s="28"/>
      <c r="G925" s="28"/>
      <c r="H925" s="29" t="str">
        <f t="shared" si="44"/>
        <v/>
      </c>
    </row>
    <row r="926" spans="1:8">
      <c r="A926" s="28"/>
      <c r="B926" s="28"/>
      <c r="C926" s="28"/>
      <c r="D926" s="26" t="str">
        <f t="shared" si="42"/>
        <v/>
      </c>
      <c r="E926" s="26" t="str">
        <f t="shared" si="43"/>
        <v/>
      </c>
      <c r="F926" s="28"/>
      <c r="G926" s="28"/>
      <c r="H926" s="29" t="str">
        <f t="shared" si="44"/>
        <v/>
      </c>
    </row>
    <row r="927" spans="1:8">
      <c r="A927" s="28"/>
      <c r="B927" s="28"/>
      <c r="C927" s="28"/>
      <c r="D927" s="26" t="str">
        <f t="shared" si="42"/>
        <v/>
      </c>
      <c r="E927" s="26" t="str">
        <f t="shared" si="43"/>
        <v/>
      </c>
      <c r="F927" s="28"/>
      <c r="G927" s="28"/>
      <c r="H927" s="29" t="str">
        <f t="shared" si="44"/>
        <v/>
      </c>
    </row>
    <row r="928" spans="1:8">
      <c r="A928" s="28"/>
      <c r="B928" s="28"/>
      <c r="C928" s="28"/>
      <c r="D928" s="26" t="str">
        <f t="shared" si="42"/>
        <v/>
      </c>
      <c r="E928" s="26" t="str">
        <f t="shared" si="43"/>
        <v/>
      </c>
      <c r="F928" s="28"/>
      <c r="G928" s="28"/>
      <c r="H928" s="29" t="str">
        <f t="shared" si="44"/>
        <v/>
      </c>
    </row>
    <row r="929" spans="1:8">
      <c r="A929" s="28"/>
      <c r="B929" s="28"/>
      <c r="C929" s="28"/>
      <c r="D929" s="26" t="str">
        <f t="shared" si="42"/>
        <v/>
      </c>
      <c r="E929" s="26" t="str">
        <f t="shared" si="43"/>
        <v/>
      </c>
      <c r="F929" s="28"/>
      <c r="G929" s="28"/>
      <c r="H929" s="29" t="str">
        <f t="shared" si="44"/>
        <v/>
      </c>
    </row>
    <row r="930" spans="1:8">
      <c r="A930" s="28"/>
      <c r="B930" s="28"/>
      <c r="C930" s="28"/>
      <c r="D930" s="26" t="str">
        <f t="shared" si="42"/>
        <v/>
      </c>
      <c r="E930" s="26" t="str">
        <f t="shared" si="43"/>
        <v/>
      </c>
      <c r="F930" s="28"/>
      <c r="G930" s="28"/>
      <c r="H930" s="29" t="str">
        <f t="shared" si="44"/>
        <v/>
      </c>
    </row>
    <row r="931" spans="1:8">
      <c r="A931" s="28"/>
      <c r="B931" s="28"/>
      <c r="C931" s="28"/>
      <c r="D931" s="26" t="str">
        <f t="shared" si="42"/>
        <v/>
      </c>
      <c r="E931" s="26" t="str">
        <f t="shared" si="43"/>
        <v/>
      </c>
      <c r="F931" s="28"/>
      <c r="G931" s="28"/>
      <c r="H931" s="29" t="str">
        <f t="shared" si="44"/>
        <v/>
      </c>
    </row>
    <row r="932" spans="1:8">
      <c r="A932" s="28"/>
      <c r="B932" s="28"/>
      <c r="C932" s="28"/>
      <c r="D932" s="26" t="str">
        <f t="shared" si="42"/>
        <v/>
      </c>
      <c r="E932" s="26" t="str">
        <f t="shared" si="43"/>
        <v/>
      </c>
      <c r="F932" s="28"/>
      <c r="G932" s="28"/>
      <c r="H932" s="29" t="str">
        <f t="shared" si="44"/>
        <v/>
      </c>
    </row>
    <row r="933" spans="1:8">
      <c r="A933" s="28"/>
      <c r="B933" s="28"/>
      <c r="C933" s="28"/>
      <c r="D933" s="26" t="str">
        <f t="shared" si="42"/>
        <v/>
      </c>
      <c r="E933" s="26" t="str">
        <f t="shared" si="43"/>
        <v/>
      </c>
      <c r="F933" s="28"/>
      <c r="G933" s="28"/>
      <c r="H933" s="29" t="str">
        <f t="shared" si="44"/>
        <v/>
      </c>
    </row>
    <row r="934" spans="1:8">
      <c r="A934" s="28"/>
      <c r="B934" s="28"/>
      <c r="C934" s="28"/>
      <c r="D934" s="26" t="str">
        <f t="shared" si="42"/>
        <v/>
      </c>
      <c r="E934" s="26" t="str">
        <f t="shared" si="43"/>
        <v/>
      </c>
      <c r="F934" s="28"/>
      <c r="G934" s="28"/>
      <c r="H934" s="29" t="str">
        <f t="shared" si="44"/>
        <v/>
      </c>
    </row>
    <row r="935" spans="1:8">
      <c r="A935" s="28"/>
      <c r="B935" s="28"/>
      <c r="C935" s="28"/>
      <c r="D935" s="26" t="str">
        <f t="shared" si="42"/>
        <v/>
      </c>
      <c r="E935" s="26" t="str">
        <f t="shared" si="43"/>
        <v/>
      </c>
      <c r="F935" s="28"/>
      <c r="G935" s="28"/>
      <c r="H935" s="29" t="str">
        <f t="shared" si="44"/>
        <v/>
      </c>
    </row>
    <row r="936" spans="1:8">
      <c r="A936" s="28"/>
      <c r="B936" s="28"/>
      <c r="C936" s="28"/>
      <c r="D936" s="26" t="str">
        <f t="shared" si="42"/>
        <v/>
      </c>
      <c r="E936" s="26" t="str">
        <f t="shared" si="43"/>
        <v/>
      </c>
      <c r="F936" s="28"/>
      <c r="G936" s="28"/>
      <c r="H936" s="29" t="str">
        <f t="shared" si="44"/>
        <v/>
      </c>
    </row>
    <row r="937" spans="1:8">
      <c r="A937" s="28"/>
      <c r="B937" s="28"/>
      <c r="C937" s="28"/>
      <c r="D937" s="26" t="str">
        <f t="shared" si="42"/>
        <v/>
      </c>
      <c r="E937" s="26" t="str">
        <f t="shared" si="43"/>
        <v/>
      </c>
      <c r="F937" s="28"/>
      <c r="G937" s="28"/>
      <c r="H937" s="29" t="str">
        <f t="shared" si="44"/>
        <v/>
      </c>
    </row>
    <row r="938" spans="1:8">
      <c r="A938" s="28"/>
      <c r="B938" s="28"/>
      <c r="C938" s="28"/>
      <c r="D938" s="26" t="str">
        <f t="shared" si="42"/>
        <v/>
      </c>
      <c r="E938" s="26" t="str">
        <f t="shared" si="43"/>
        <v/>
      </c>
      <c r="F938" s="28"/>
      <c r="G938" s="28"/>
      <c r="H938" s="29" t="str">
        <f t="shared" si="44"/>
        <v/>
      </c>
    </row>
    <row r="939" spans="1:8">
      <c r="A939" s="28"/>
      <c r="B939" s="28"/>
      <c r="C939" s="28"/>
      <c r="D939" s="26" t="str">
        <f t="shared" si="42"/>
        <v/>
      </c>
      <c r="E939" s="26" t="str">
        <f t="shared" si="43"/>
        <v/>
      </c>
      <c r="F939" s="28"/>
      <c r="G939" s="28"/>
      <c r="H939" s="29" t="str">
        <f t="shared" si="44"/>
        <v/>
      </c>
    </row>
    <row r="940" spans="1:8">
      <c r="A940" s="28"/>
      <c r="B940" s="28"/>
      <c r="C940" s="28"/>
      <c r="D940" s="26" t="str">
        <f t="shared" si="42"/>
        <v/>
      </c>
      <c r="E940" s="26" t="str">
        <f t="shared" si="43"/>
        <v/>
      </c>
      <c r="F940" s="28"/>
      <c r="G940" s="28"/>
      <c r="H940" s="29" t="str">
        <f t="shared" si="44"/>
        <v/>
      </c>
    </row>
    <row r="941" spans="1:8">
      <c r="A941" s="28"/>
      <c r="B941" s="28"/>
      <c r="C941" s="28"/>
      <c r="D941" s="26" t="str">
        <f t="shared" si="42"/>
        <v/>
      </c>
      <c r="E941" s="26" t="str">
        <f t="shared" si="43"/>
        <v/>
      </c>
      <c r="F941" s="28"/>
      <c r="G941" s="28"/>
      <c r="H941" s="29" t="str">
        <f t="shared" si="44"/>
        <v/>
      </c>
    </row>
    <row r="942" spans="1:8">
      <c r="A942" s="28"/>
      <c r="B942" s="28"/>
      <c r="C942" s="28"/>
      <c r="D942" s="26" t="str">
        <f t="shared" si="42"/>
        <v/>
      </c>
      <c r="E942" s="26" t="str">
        <f t="shared" si="43"/>
        <v/>
      </c>
      <c r="F942" s="28"/>
      <c r="G942" s="28"/>
      <c r="H942" s="29" t="str">
        <f t="shared" si="44"/>
        <v/>
      </c>
    </row>
    <row r="943" spans="1:8">
      <c r="A943" s="28"/>
      <c r="B943" s="28"/>
      <c r="C943" s="28"/>
      <c r="D943" s="26" t="str">
        <f t="shared" si="42"/>
        <v/>
      </c>
      <c r="E943" s="26" t="str">
        <f t="shared" si="43"/>
        <v/>
      </c>
      <c r="F943" s="28"/>
      <c r="G943" s="28"/>
      <c r="H943" s="29" t="str">
        <f t="shared" si="44"/>
        <v/>
      </c>
    </row>
    <row r="944" spans="1:8">
      <c r="A944" s="28"/>
      <c r="B944" s="28"/>
      <c r="C944" s="28"/>
      <c r="D944" s="26" t="str">
        <f t="shared" si="42"/>
        <v/>
      </c>
      <c r="E944" s="26" t="str">
        <f t="shared" si="43"/>
        <v/>
      </c>
      <c r="F944" s="28"/>
      <c r="G944" s="28"/>
      <c r="H944" s="29" t="str">
        <f t="shared" si="44"/>
        <v/>
      </c>
    </row>
    <row r="945" spans="1:8">
      <c r="A945" s="28"/>
      <c r="B945" s="28"/>
      <c r="C945" s="28"/>
      <c r="D945" s="26" t="str">
        <f t="shared" si="42"/>
        <v/>
      </c>
      <c r="E945" s="26" t="str">
        <f t="shared" si="43"/>
        <v/>
      </c>
      <c r="F945" s="28"/>
      <c r="G945" s="28"/>
      <c r="H945" s="29" t="str">
        <f t="shared" si="44"/>
        <v/>
      </c>
    </row>
    <row r="946" spans="1:8">
      <c r="A946" s="28"/>
      <c r="B946" s="28"/>
      <c r="C946" s="28"/>
      <c r="D946" s="26" t="str">
        <f t="shared" si="42"/>
        <v/>
      </c>
      <c r="E946" s="26" t="str">
        <f t="shared" si="43"/>
        <v/>
      </c>
      <c r="F946" s="28"/>
      <c r="G946" s="28"/>
      <c r="H946" s="29" t="str">
        <f t="shared" si="44"/>
        <v/>
      </c>
    </row>
    <row r="947" spans="1:8">
      <c r="A947" s="28"/>
      <c r="B947" s="28"/>
      <c r="C947" s="28"/>
      <c r="D947" s="26" t="str">
        <f t="shared" si="42"/>
        <v/>
      </c>
      <c r="E947" s="26" t="str">
        <f t="shared" si="43"/>
        <v/>
      </c>
      <c r="F947" s="28"/>
      <c r="G947" s="28"/>
      <c r="H947" s="29" t="str">
        <f t="shared" si="44"/>
        <v/>
      </c>
    </row>
    <row r="948" spans="1:8">
      <c r="A948" s="28"/>
      <c r="B948" s="28"/>
      <c r="C948" s="28"/>
      <c r="D948" s="26" t="str">
        <f t="shared" si="42"/>
        <v/>
      </c>
      <c r="E948" s="26" t="str">
        <f t="shared" si="43"/>
        <v/>
      </c>
      <c r="F948" s="28"/>
      <c r="G948" s="28"/>
      <c r="H948" s="29" t="str">
        <f t="shared" si="44"/>
        <v/>
      </c>
    </row>
    <row r="949" spans="1:8">
      <c r="A949" s="28"/>
      <c r="B949" s="28"/>
      <c r="C949" s="28"/>
      <c r="D949" s="26" t="str">
        <f t="shared" si="42"/>
        <v/>
      </c>
      <c r="E949" s="26" t="str">
        <f t="shared" si="43"/>
        <v/>
      </c>
      <c r="F949" s="28"/>
      <c r="G949" s="28"/>
      <c r="H949" s="29" t="str">
        <f t="shared" si="44"/>
        <v/>
      </c>
    </row>
    <row r="950" spans="1:8">
      <c r="A950" s="28"/>
      <c r="B950" s="28"/>
      <c r="C950" s="28"/>
      <c r="D950" s="26" t="str">
        <f t="shared" si="42"/>
        <v/>
      </c>
      <c r="E950" s="26" t="str">
        <f t="shared" si="43"/>
        <v/>
      </c>
      <c r="F950" s="28"/>
      <c r="G950" s="28"/>
      <c r="H950" s="29" t="str">
        <f t="shared" si="44"/>
        <v/>
      </c>
    </row>
    <row r="951" spans="1:8">
      <c r="A951" s="28"/>
      <c r="B951" s="28"/>
      <c r="C951" s="28"/>
      <c r="D951" s="26" t="str">
        <f t="shared" si="42"/>
        <v/>
      </c>
      <c r="E951" s="26" t="str">
        <f t="shared" si="43"/>
        <v/>
      </c>
      <c r="F951" s="28"/>
      <c r="G951" s="28"/>
      <c r="H951" s="29" t="str">
        <f t="shared" si="44"/>
        <v/>
      </c>
    </row>
    <row r="952" spans="1:8">
      <c r="A952" s="28"/>
      <c r="B952" s="28"/>
      <c r="C952" s="28"/>
      <c r="D952" s="26" t="str">
        <f t="shared" si="42"/>
        <v/>
      </c>
      <c r="E952" s="26" t="str">
        <f t="shared" si="43"/>
        <v/>
      </c>
      <c r="F952" s="28"/>
      <c r="G952" s="28"/>
      <c r="H952" s="29" t="str">
        <f t="shared" si="44"/>
        <v/>
      </c>
    </row>
    <row r="953" spans="1:8">
      <c r="A953" s="28"/>
      <c r="B953" s="28"/>
      <c r="C953" s="28"/>
      <c r="D953" s="26" t="str">
        <f t="shared" si="42"/>
        <v/>
      </c>
      <c r="E953" s="26" t="str">
        <f t="shared" si="43"/>
        <v/>
      </c>
      <c r="F953" s="28"/>
      <c r="G953" s="28"/>
      <c r="H953" s="29" t="str">
        <f t="shared" si="44"/>
        <v/>
      </c>
    </row>
    <row r="954" spans="1:8">
      <c r="A954" s="28"/>
      <c r="B954" s="28"/>
      <c r="C954" s="28"/>
      <c r="D954" s="26" t="str">
        <f t="shared" si="42"/>
        <v/>
      </c>
      <c r="E954" s="26" t="str">
        <f t="shared" si="43"/>
        <v/>
      </c>
      <c r="F954" s="28"/>
      <c r="G954" s="28"/>
      <c r="H954" s="29" t="str">
        <f t="shared" si="44"/>
        <v/>
      </c>
    </row>
    <row r="955" spans="1:8">
      <c r="A955" s="28"/>
      <c r="B955" s="28"/>
      <c r="C955" s="28"/>
      <c r="D955" s="26" t="str">
        <f t="shared" si="42"/>
        <v/>
      </c>
      <c r="E955" s="26" t="str">
        <f t="shared" si="43"/>
        <v/>
      </c>
      <c r="F955" s="28"/>
      <c r="G955" s="28"/>
      <c r="H955" s="29" t="str">
        <f t="shared" si="44"/>
        <v/>
      </c>
    </row>
    <row r="956" spans="1:8">
      <c r="A956" s="28"/>
      <c r="B956" s="28"/>
      <c r="C956" s="28"/>
      <c r="D956" s="26" t="str">
        <f t="shared" si="42"/>
        <v/>
      </c>
      <c r="E956" s="26" t="str">
        <f t="shared" si="43"/>
        <v/>
      </c>
      <c r="F956" s="28"/>
      <c r="G956" s="28"/>
      <c r="H956" s="29" t="str">
        <f t="shared" si="44"/>
        <v/>
      </c>
    </row>
    <row r="957" spans="1:8">
      <c r="A957" s="28"/>
      <c r="B957" s="28"/>
      <c r="C957" s="28"/>
      <c r="D957" s="26" t="str">
        <f t="shared" si="42"/>
        <v/>
      </c>
      <c r="E957" s="26" t="str">
        <f t="shared" si="43"/>
        <v/>
      </c>
      <c r="F957" s="28"/>
      <c r="G957" s="28"/>
      <c r="H957" s="29" t="str">
        <f t="shared" si="44"/>
        <v/>
      </c>
    </row>
    <row r="958" spans="1:8">
      <c r="A958" s="28"/>
      <c r="B958" s="28"/>
      <c r="C958" s="28"/>
      <c r="D958" s="26" t="str">
        <f t="shared" si="42"/>
        <v/>
      </c>
      <c r="E958" s="26" t="str">
        <f t="shared" si="43"/>
        <v/>
      </c>
      <c r="F958" s="28"/>
      <c r="G958" s="28"/>
      <c r="H958" s="29" t="str">
        <f t="shared" si="44"/>
        <v/>
      </c>
    </row>
    <row r="959" spans="1:8">
      <c r="A959" s="28"/>
      <c r="B959" s="28"/>
      <c r="C959" s="28"/>
      <c r="D959" s="26" t="str">
        <f t="shared" si="42"/>
        <v/>
      </c>
      <c r="E959" s="26" t="str">
        <f t="shared" si="43"/>
        <v/>
      </c>
      <c r="F959" s="28"/>
      <c r="G959" s="28"/>
      <c r="H959" s="29" t="str">
        <f t="shared" si="44"/>
        <v/>
      </c>
    </row>
    <row r="960" spans="1:8">
      <c r="A960" s="28"/>
      <c r="B960" s="28"/>
      <c r="C960" s="28"/>
      <c r="D960" s="26" t="str">
        <f t="shared" si="42"/>
        <v/>
      </c>
      <c r="E960" s="26" t="str">
        <f t="shared" si="43"/>
        <v/>
      </c>
      <c r="F960" s="28"/>
      <c r="G960" s="28"/>
      <c r="H960" s="29" t="str">
        <f t="shared" si="44"/>
        <v/>
      </c>
    </row>
    <row r="961" spans="1:8">
      <c r="A961" s="28"/>
      <c r="B961" s="28"/>
      <c r="C961" s="28"/>
      <c r="D961" s="26" t="str">
        <f t="shared" si="42"/>
        <v/>
      </c>
      <c r="E961" s="26" t="str">
        <f t="shared" si="43"/>
        <v/>
      </c>
      <c r="F961" s="28"/>
      <c r="G961" s="28"/>
      <c r="H961" s="29" t="str">
        <f t="shared" si="44"/>
        <v/>
      </c>
    </row>
    <row r="962" spans="1:8">
      <c r="A962" s="28"/>
      <c r="B962" s="28"/>
      <c r="C962" s="28"/>
      <c r="D962" s="26" t="str">
        <f t="shared" ref="D962:D1025" si="45">IF(OR(B962="",C962=""),"",C962-B962)</f>
        <v/>
      </c>
      <c r="E962" s="26" t="str">
        <f t="shared" ref="E962:E1025" si="46">IF(OR(B962="",C962=""),"",(B962+C962)/2)</f>
        <v/>
      </c>
      <c r="F962" s="28"/>
      <c r="G962" s="28"/>
      <c r="H962" s="29" t="str">
        <f t="shared" ref="H962:H1025" si="47">IF(OR(F962="",G962=""),"",G962-F962)</f>
        <v/>
      </c>
    </row>
    <row r="963" spans="1:8">
      <c r="A963" s="28"/>
      <c r="B963" s="28"/>
      <c r="C963" s="28"/>
      <c r="D963" s="26" t="str">
        <f t="shared" si="45"/>
        <v/>
      </c>
      <c r="E963" s="26" t="str">
        <f t="shared" si="46"/>
        <v/>
      </c>
      <c r="F963" s="28"/>
      <c r="G963" s="28"/>
      <c r="H963" s="29" t="str">
        <f t="shared" si="47"/>
        <v/>
      </c>
    </row>
    <row r="964" spans="1:8">
      <c r="A964" s="28"/>
      <c r="B964" s="28"/>
      <c r="C964" s="28"/>
      <c r="D964" s="26" t="str">
        <f t="shared" si="45"/>
        <v/>
      </c>
      <c r="E964" s="26" t="str">
        <f t="shared" si="46"/>
        <v/>
      </c>
      <c r="F964" s="28"/>
      <c r="G964" s="28"/>
      <c r="H964" s="29" t="str">
        <f t="shared" si="47"/>
        <v/>
      </c>
    </row>
    <row r="965" spans="1:8">
      <c r="A965" s="28"/>
      <c r="B965" s="28"/>
      <c r="C965" s="28"/>
      <c r="D965" s="26" t="str">
        <f t="shared" si="45"/>
        <v/>
      </c>
      <c r="E965" s="26" t="str">
        <f t="shared" si="46"/>
        <v/>
      </c>
      <c r="F965" s="28"/>
      <c r="G965" s="28"/>
      <c r="H965" s="29" t="str">
        <f t="shared" si="47"/>
        <v/>
      </c>
    </row>
    <row r="966" spans="1:8">
      <c r="A966" s="28"/>
      <c r="B966" s="28"/>
      <c r="C966" s="28"/>
      <c r="D966" s="26" t="str">
        <f t="shared" si="45"/>
        <v/>
      </c>
      <c r="E966" s="26" t="str">
        <f t="shared" si="46"/>
        <v/>
      </c>
      <c r="F966" s="28"/>
      <c r="G966" s="28"/>
      <c r="H966" s="29" t="str">
        <f t="shared" si="47"/>
        <v/>
      </c>
    </row>
    <row r="967" spans="1:8">
      <c r="A967" s="28"/>
      <c r="B967" s="28"/>
      <c r="C967" s="28"/>
      <c r="D967" s="26" t="str">
        <f t="shared" si="45"/>
        <v/>
      </c>
      <c r="E967" s="26" t="str">
        <f t="shared" si="46"/>
        <v/>
      </c>
      <c r="F967" s="28"/>
      <c r="G967" s="28"/>
      <c r="H967" s="29" t="str">
        <f t="shared" si="47"/>
        <v/>
      </c>
    </row>
    <row r="968" spans="1:8">
      <c r="A968" s="28"/>
      <c r="B968" s="28"/>
      <c r="C968" s="28"/>
      <c r="D968" s="26" t="str">
        <f t="shared" si="45"/>
        <v/>
      </c>
      <c r="E968" s="26" t="str">
        <f t="shared" si="46"/>
        <v/>
      </c>
      <c r="F968" s="28"/>
      <c r="G968" s="28"/>
      <c r="H968" s="29" t="str">
        <f t="shared" si="47"/>
        <v/>
      </c>
    </row>
    <row r="969" spans="1:8">
      <c r="A969" s="28"/>
      <c r="B969" s="28"/>
      <c r="C969" s="28"/>
      <c r="D969" s="26" t="str">
        <f t="shared" si="45"/>
        <v/>
      </c>
      <c r="E969" s="26" t="str">
        <f t="shared" si="46"/>
        <v/>
      </c>
      <c r="F969" s="28"/>
      <c r="G969" s="28"/>
      <c r="H969" s="29" t="str">
        <f t="shared" si="47"/>
        <v/>
      </c>
    </row>
    <row r="970" spans="1:8">
      <c r="A970" s="28"/>
      <c r="B970" s="28"/>
      <c r="C970" s="28"/>
      <c r="D970" s="26" t="str">
        <f t="shared" si="45"/>
        <v/>
      </c>
      <c r="E970" s="26" t="str">
        <f t="shared" si="46"/>
        <v/>
      </c>
      <c r="F970" s="28"/>
      <c r="G970" s="28"/>
      <c r="H970" s="29" t="str">
        <f t="shared" si="47"/>
        <v/>
      </c>
    </row>
    <row r="971" spans="1:8">
      <c r="A971" s="28"/>
      <c r="B971" s="28"/>
      <c r="C971" s="28"/>
      <c r="D971" s="26" t="str">
        <f t="shared" si="45"/>
        <v/>
      </c>
      <c r="E971" s="26" t="str">
        <f t="shared" si="46"/>
        <v/>
      </c>
      <c r="F971" s="28"/>
      <c r="G971" s="28"/>
      <c r="H971" s="29" t="str">
        <f t="shared" si="47"/>
        <v/>
      </c>
    </row>
    <row r="972" spans="1:8">
      <c r="A972" s="28"/>
      <c r="B972" s="28"/>
      <c r="C972" s="28"/>
      <c r="D972" s="26" t="str">
        <f t="shared" si="45"/>
        <v/>
      </c>
      <c r="E972" s="26" t="str">
        <f t="shared" si="46"/>
        <v/>
      </c>
      <c r="F972" s="28"/>
      <c r="G972" s="28"/>
      <c r="H972" s="29" t="str">
        <f t="shared" si="47"/>
        <v/>
      </c>
    </row>
    <row r="973" spans="1:8">
      <c r="A973" s="28"/>
      <c r="B973" s="28"/>
      <c r="C973" s="28"/>
      <c r="D973" s="26" t="str">
        <f t="shared" si="45"/>
        <v/>
      </c>
      <c r="E973" s="26" t="str">
        <f t="shared" si="46"/>
        <v/>
      </c>
      <c r="F973" s="28"/>
      <c r="G973" s="28"/>
      <c r="H973" s="29" t="str">
        <f t="shared" si="47"/>
        <v/>
      </c>
    </row>
    <row r="974" spans="1:8">
      <c r="A974" s="28"/>
      <c r="B974" s="28"/>
      <c r="C974" s="28"/>
      <c r="D974" s="26" t="str">
        <f t="shared" si="45"/>
        <v/>
      </c>
      <c r="E974" s="26" t="str">
        <f t="shared" si="46"/>
        <v/>
      </c>
      <c r="F974" s="28"/>
      <c r="G974" s="28"/>
      <c r="H974" s="29" t="str">
        <f t="shared" si="47"/>
        <v/>
      </c>
    </row>
    <row r="975" spans="1:8">
      <c r="A975" s="28"/>
      <c r="B975" s="28"/>
      <c r="C975" s="28"/>
      <c r="D975" s="26" t="str">
        <f t="shared" si="45"/>
        <v/>
      </c>
      <c r="E975" s="26" t="str">
        <f t="shared" si="46"/>
        <v/>
      </c>
      <c r="F975" s="28"/>
      <c r="G975" s="28"/>
      <c r="H975" s="29" t="str">
        <f t="shared" si="47"/>
        <v/>
      </c>
    </row>
    <row r="976" spans="1:8">
      <c r="A976" s="28"/>
      <c r="B976" s="28"/>
      <c r="C976" s="28"/>
      <c r="D976" s="26" t="str">
        <f t="shared" si="45"/>
        <v/>
      </c>
      <c r="E976" s="26" t="str">
        <f t="shared" si="46"/>
        <v/>
      </c>
      <c r="F976" s="28"/>
      <c r="G976" s="28"/>
      <c r="H976" s="29" t="str">
        <f t="shared" si="47"/>
        <v/>
      </c>
    </row>
    <row r="977" spans="1:8">
      <c r="A977" s="28"/>
      <c r="B977" s="28"/>
      <c r="C977" s="28"/>
      <c r="D977" s="26" t="str">
        <f t="shared" si="45"/>
        <v/>
      </c>
      <c r="E977" s="26" t="str">
        <f t="shared" si="46"/>
        <v/>
      </c>
      <c r="F977" s="28"/>
      <c r="G977" s="28"/>
      <c r="H977" s="29" t="str">
        <f t="shared" si="47"/>
        <v/>
      </c>
    </row>
    <row r="978" spans="1:8">
      <c r="A978" s="28"/>
      <c r="B978" s="28"/>
      <c r="C978" s="28"/>
      <c r="D978" s="26" t="str">
        <f t="shared" si="45"/>
        <v/>
      </c>
      <c r="E978" s="26" t="str">
        <f t="shared" si="46"/>
        <v/>
      </c>
      <c r="F978" s="28"/>
      <c r="G978" s="28"/>
      <c r="H978" s="29" t="str">
        <f t="shared" si="47"/>
        <v/>
      </c>
    </row>
    <row r="979" spans="1:8">
      <c r="A979" s="28"/>
      <c r="B979" s="28"/>
      <c r="C979" s="28"/>
      <c r="D979" s="26" t="str">
        <f t="shared" si="45"/>
        <v/>
      </c>
      <c r="E979" s="26" t="str">
        <f t="shared" si="46"/>
        <v/>
      </c>
      <c r="F979" s="28"/>
      <c r="G979" s="28"/>
      <c r="H979" s="29" t="str">
        <f t="shared" si="47"/>
        <v/>
      </c>
    </row>
    <row r="980" spans="1:8">
      <c r="A980" s="28"/>
      <c r="B980" s="28"/>
      <c r="C980" s="28"/>
      <c r="D980" s="26" t="str">
        <f t="shared" si="45"/>
        <v/>
      </c>
      <c r="E980" s="26" t="str">
        <f t="shared" si="46"/>
        <v/>
      </c>
      <c r="F980" s="28"/>
      <c r="G980" s="28"/>
      <c r="H980" s="29" t="str">
        <f t="shared" si="47"/>
        <v/>
      </c>
    </row>
    <row r="981" spans="1:8">
      <c r="A981" s="28"/>
      <c r="B981" s="28"/>
      <c r="C981" s="28"/>
      <c r="D981" s="26" t="str">
        <f t="shared" si="45"/>
        <v/>
      </c>
      <c r="E981" s="26" t="str">
        <f t="shared" si="46"/>
        <v/>
      </c>
      <c r="F981" s="28"/>
      <c r="G981" s="28"/>
      <c r="H981" s="29" t="str">
        <f t="shared" si="47"/>
        <v/>
      </c>
    </row>
    <row r="982" spans="1:8">
      <c r="A982" s="28"/>
      <c r="B982" s="28"/>
      <c r="C982" s="28"/>
      <c r="D982" s="26" t="str">
        <f t="shared" si="45"/>
        <v/>
      </c>
      <c r="E982" s="26" t="str">
        <f t="shared" si="46"/>
        <v/>
      </c>
      <c r="F982" s="28"/>
      <c r="G982" s="28"/>
      <c r="H982" s="29" t="str">
        <f t="shared" si="47"/>
        <v/>
      </c>
    </row>
    <row r="983" spans="1:8">
      <c r="A983" s="28"/>
      <c r="B983" s="28"/>
      <c r="C983" s="28"/>
      <c r="D983" s="26" t="str">
        <f t="shared" si="45"/>
        <v/>
      </c>
      <c r="E983" s="26" t="str">
        <f t="shared" si="46"/>
        <v/>
      </c>
      <c r="F983" s="28"/>
      <c r="G983" s="28"/>
      <c r="H983" s="29" t="str">
        <f t="shared" si="47"/>
        <v/>
      </c>
    </row>
    <row r="984" spans="1:8">
      <c r="A984" s="28"/>
      <c r="B984" s="28"/>
      <c r="C984" s="28"/>
      <c r="D984" s="26" t="str">
        <f t="shared" si="45"/>
        <v/>
      </c>
      <c r="E984" s="26" t="str">
        <f t="shared" si="46"/>
        <v/>
      </c>
      <c r="F984" s="28"/>
      <c r="G984" s="28"/>
      <c r="H984" s="29" t="str">
        <f t="shared" si="47"/>
        <v/>
      </c>
    </row>
    <row r="985" spans="1:8">
      <c r="A985" s="28"/>
      <c r="B985" s="28"/>
      <c r="C985" s="28"/>
      <c r="D985" s="26" t="str">
        <f t="shared" si="45"/>
        <v/>
      </c>
      <c r="E985" s="26" t="str">
        <f t="shared" si="46"/>
        <v/>
      </c>
      <c r="F985" s="28"/>
      <c r="G985" s="28"/>
      <c r="H985" s="29" t="str">
        <f t="shared" si="47"/>
        <v/>
      </c>
    </row>
    <row r="986" spans="1:8">
      <c r="A986" s="28"/>
      <c r="B986" s="28"/>
      <c r="C986" s="28"/>
      <c r="D986" s="26" t="str">
        <f t="shared" si="45"/>
        <v/>
      </c>
      <c r="E986" s="26" t="str">
        <f t="shared" si="46"/>
        <v/>
      </c>
      <c r="F986" s="28"/>
      <c r="G986" s="28"/>
      <c r="H986" s="29" t="str">
        <f t="shared" si="47"/>
        <v/>
      </c>
    </row>
    <row r="987" spans="1:8">
      <c r="A987" s="28"/>
      <c r="B987" s="28"/>
      <c r="C987" s="28"/>
      <c r="D987" s="26" t="str">
        <f t="shared" si="45"/>
        <v/>
      </c>
      <c r="E987" s="26" t="str">
        <f t="shared" si="46"/>
        <v/>
      </c>
      <c r="F987" s="28"/>
      <c r="G987" s="28"/>
      <c r="H987" s="29" t="str">
        <f t="shared" si="47"/>
        <v/>
      </c>
    </row>
    <row r="988" spans="1:8">
      <c r="A988" s="28"/>
      <c r="B988" s="28"/>
      <c r="C988" s="28"/>
      <c r="D988" s="26" t="str">
        <f t="shared" si="45"/>
        <v/>
      </c>
      <c r="E988" s="26" t="str">
        <f t="shared" si="46"/>
        <v/>
      </c>
      <c r="F988" s="28"/>
      <c r="G988" s="28"/>
      <c r="H988" s="29" t="str">
        <f t="shared" si="47"/>
        <v/>
      </c>
    </row>
    <row r="989" spans="1:8">
      <c r="A989" s="28"/>
      <c r="B989" s="28"/>
      <c r="C989" s="28"/>
      <c r="D989" s="26" t="str">
        <f t="shared" si="45"/>
        <v/>
      </c>
      <c r="E989" s="26" t="str">
        <f t="shared" si="46"/>
        <v/>
      </c>
      <c r="F989" s="28"/>
      <c r="G989" s="28"/>
      <c r="H989" s="29" t="str">
        <f t="shared" si="47"/>
        <v/>
      </c>
    </row>
    <row r="990" spans="1:8">
      <c r="A990" s="28"/>
      <c r="B990" s="28"/>
      <c r="C990" s="28"/>
      <c r="D990" s="26" t="str">
        <f t="shared" si="45"/>
        <v/>
      </c>
      <c r="E990" s="26" t="str">
        <f t="shared" si="46"/>
        <v/>
      </c>
      <c r="F990" s="28"/>
      <c r="G990" s="28"/>
      <c r="H990" s="29" t="str">
        <f t="shared" si="47"/>
        <v/>
      </c>
    </row>
    <row r="991" spans="1:8">
      <c r="A991" s="28"/>
      <c r="B991" s="28"/>
      <c r="C991" s="28"/>
      <c r="D991" s="26" t="str">
        <f t="shared" si="45"/>
        <v/>
      </c>
      <c r="E991" s="26" t="str">
        <f t="shared" si="46"/>
        <v/>
      </c>
      <c r="F991" s="28"/>
      <c r="G991" s="28"/>
      <c r="H991" s="29" t="str">
        <f t="shared" si="47"/>
        <v/>
      </c>
    </row>
    <row r="992" spans="1:8">
      <c r="A992" s="28"/>
      <c r="B992" s="28"/>
      <c r="C992" s="28"/>
      <c r="D992" s="26" t="str">
        <f t="shared" si="45"/>
        <v/>
      </c>
      <c r="E992" s="26" t="str">
        <f t="shared" si="46"/>
        <v/>
      </c>
      <c r="F992" s="28"/>
      <c r="G992" s="28"/>
      <c r="H992" s="29" t="str">
        <f t="shared" si="47"/>
        <v/>
      </c>
    </row>
    <row r="993" spans="1:8">
      <c r="A993" s="28"/>
      <c r="B993" s="28"/>
      <c r="C993" s="28"/>
      <c r="D993" s="26" t="str">
        <f t="shared" si="45"/>
        <v/>
      </c>
      <c r="E993" s="26" t="str">
        <f t="shared" si="46"/>
        <v/>
      </c>
      <c r="F993" s="28"/>
      <c r="G993" s="28"/>
      <c r="H993" s="29" t="str">
        <f t="shared" si="47"/>
        <v/>
      </c>
    </row>
    <row r="994" spans="1:8">
      <c r="A994" s="28"/>
      <c r="B994" s="28"/>
      <c r="C994" s="28"/>
      <c r="D994" s="26" t="str">
        <f t="shared" si="45"/>
        <v/>
      </c>
      <c r="E994" s="26" t="str">
        <f t="shared" si="46"/>
        <v/>
      </c>
      <c r="F994" s="28"/>
      <c r="G994" s="28"/>
      <c r="H994" s="29" t="str">
        <f t="shared" si="47"/>
        <v/>
      </c>
    </row>
    <row r="995" spans="1:8">
      <c r="A995" s="28"/>
      <c r="B995" s="28"/>
      <c r="C995" s="28"/>
      <c r="D995" s="26" t="str">
        <f t="shared" si="45"/>
        <v/>
      </c>
      <c r="E995" s="26" t="str">
        <f t="shared" si="46"/>
        <v/>
      </c>
      <c r="F995" s="28"/>
      <c r="G995" s="28"/>
      <c r="H995" s="29" t="str">
        <f t="shared" si="47"/>
        <v/>
      </c>
    </row>
    <row r="996" spans="1:8">
      <c r="A996" s="28"/>
      <c r="B996" s="28"/>
      <c r="C996" s="28"/>
      <c r="D996" s="26" t="str">
        <f t="shared" si="45"/>
        <v/>
      </c>
      <c r="E996" s="26" t="str">
        <f t="shared" si="46"/>
        <v/>
      </c>
      <c r="F996" s="28"/>
      <c r="G996" s="28"/>
      <c r="H996" s="29" t="str">
        <f t="shared" si="47"/>
        <v/>
      </c>
    </row>
    <row r="997" spans="1:8">
      <c r="A997" s="28"/>
      <c r="B997" s="28"/>
      <c r="C997" s="28"/>
      <c r="D997" s="26" t="str">
        <f t="shared" si="45"/>
        <v/>
      </c>
      <c r="E997" s="26" t="str">
        <f t="shared" si="46"/>
        <v/>
      </c>
      <c r="F997" s="28"/>
      <c r="G997" s="28"/>
      <c r="H997" s="29" t="str">
        <f t="shared" si="47"/>
        <v/>
      </c>
    </row>
    <row r="998" spans="1:8">
      <c r="A998" s="28"/>
      <c r="B998" s="28"/>
      <c r="C998" s="28"/>
      <c r="D998" s="26" t="str">
        <f t="shared" si="45"/>
        <v/>
      </c>
      <c r="E998" s="26" t="str">
        <f t="shared" si="46"/>
        <v/>
      </c>
      <c r="F998" s="28"/>
      <c r="G998" s="28"/>
      <c r="H998" s="29" t="str">
        <f t="shared" si="47"/>
        <v/>
      </c>
    </row>
    <row r="999" spans="1:8">
      <c r="A999" s="28"/>
      <c r="B999" s="28"/>
      <c r="C999" s="28"/>
      <c r="D999" s="26" t="str">
        <f t="shared" si="45"/>
        <v/>
      </c>
      <c r="E999" s="26" t="str">
        <f t="shared" si="46"/>
        <v/>
      </c>
      <c r="F999" s="28"/>
      <c r="G999" s="28"/>
      <c r="H999" s="29" t="str">
        <f t="shared" si="47"/>
        <v/>
      </c>
    </row>
    <row r="1000" spans="1:8">
      <c r="A1000" s="28"/>
      <c r="B1000" s="28"/>
      <c r="C1000" s="28"/>
      <c r="D1000" s="26" t="str">
        <f t="shared" si="45"/>
        <v/>
      </c>
      <c r="E1000" s="26" t="str">
        <f t="shared" si="46"/>
        <v/>
      </c>
      <c r="F1000" s="28"/>
      <c r="G1000" s="28"/>
      <c r="H1000" s="29" t="str">
        <f t="shared" si="47"/>
        <v/>
      </c>
    </row>
    <row r="1001" spans="1:8">
      <c r="A1001" s="28"/>
      <c r="B1001" s="28"/>
      <c r="C1001" s="28"/>
      <c r="D1001" s="26" t="str">
        <f t="shared" si="45"/>
        <v/>
      </c>
      <c r="E1001" s="26" t="str">
        <f t="shared" si="46"/>
        <v/>
      </c>
      <c r="F1001" s="28"/>
      <c r="G1001" s="28"/>
      <c r="H1001" s="29" t="str">
        <f t="shared" si="47"/>
        <v/>
      </c>
    </row>
    <row r="1002" spans="1:8">
      <c r="A1002" s="28"/>
      <c r="B1002" s="28"/>
      <c r="C1002" s="28"/>
      <c r="D1002" s="26" t="str">
        <f t="shared" si="45"/>
        <v/>
      </c>
      <c r="E1002" s="26" t="str">
        <f t="shared" si="46"/>
        <v/>
      </c>
      <c r="F1002" s="28"/>
      <c r="G1002" s="28"/>
      <c r="H1002" s="29" t="str">
        <f t="shared" si="47"/>
        <v/>
      </c>
    </row>
    <row r="1003" spans="1:8">
      <c r="A1003" s="28"/>
      <c r="B1003" s="28"/>
      <c r="C1003" s="28"/>
      <c r="D1003" s="26" t="str">
        <f t="shared" si="45"/>
        <v/>
      </c>
      <c r="E1003" s="26" t="str">
        <f t="shared" si="46"/>
        <v/>
      </c>
      <c r="F1003" s="28"/>
      <c r="G1003" s="28"/>
      <c r="H1003" s="29" t="str">
        <f t="shared" si="47"/>
        <v/>
      </c>
    </row>
    <row r="1004" spans="1:8">
      <c r="A1004" s="28"/>
      <c r="B1004" s="28"/>
      <c r="C1004" s="28"/>
      <c r="D1004" s="26" t="str">
        <f t="shared" si="45"/>
        <v/>
      </c>
      <c r="E1004" s="26" t="str">
        <f t="shared" si="46"/>
        <v/>
      </c>
      <c r="F1004" s="28"/>
      <c r="G1004" s="28"/>
      <c r="H1004" s="29" t="str">
        <f t="shared" si="47"/>
        <v/>
      </c>
    </row>
    <row r="1005" spans="1:8">
      <c r="A1005" s="28"/>
      <c r="B1005" s="28"/>
      <c r="C1005" s="28"/>
      <c r="D1005" s="26" t="str">
        <f t="shared" si="45"/>
        <v/>
      </c>
      <c r="E1005" s="26" t="str">
        <f t="shared" si="46"/>
        <v/>
      </c>
      <c r="F1005" s="28"/>
      <c r="G1005" s="28"/>
      <c r="H1005" s="29" t="str">
        <f t="shared" si="47"/>
        <v/>
      </c>
    </row>
    <row r="1006" spans="1:8">
      <c r="A1006" s="28"/>
      <c r="B1006" s="28"/>
      <c r="C1006" s="28"/>
      <c r="D1006" s="26" t="str">
        <f t="shared" si="45"/>
        <v/>
      </c>
      <c r="E1006" s="26" t="str">
        <f t="shared" si="46"/>
        <v/>
      </c>
      <c r="F1006" s="28"/>
      <c r="G1006" s="28"/>
      <c r="H1006" s="29" t="str">
        <f t="shared" si="47"/>
        <v/>
      </c>
    </row>
    <row r="1007" spans="1:8">
      <c r="A1007" s="28"/>
      <c r="B1007" s="28"/>
      <c r="C1007" s="28"/>
      <c r="D1007" s="26" t="str">
        <f t="shared" si="45"/>
        <v/>
      </c>
      <c r="E1007" s="26" t="str">
        <f t="shared" si="46"/>
        <v/>
      </c>
      <c r="F1007" s="28"/>
      <c r="G1007" s="28"/>
      <c r="H1007" s="29" t="str">
        <f t="shared" si="47"/>
        <v/>
      </c>
    </row>
    <row r="1008" spans="1:8">
      <c r="A1008" s="28"/>
      <c r="B1008" s="28"/>
      <c r="C1008" s="28"/>
      <c r="D1008" s="26" t="str">
        <f t="shared" si="45"/>
        <v/>
      </c>
      <c r="E1008" s="26" t="str">
        <f t="shared" si="46"/>
        <v/>
      </c>
      <c r="F1008" s="28"/>
      <c r="G1008" s="28"/>
      <c r="H1008" s="29" t="str">
        <f t="shared" si="47"/>
        <v/>
      </c>
    </row>
    <row r="1009" spans="1:8">
      <c r="A1009" s="28"/>
      <c r="B1009" s="28"/>
      <c r="C1009" s="28"/>
      <c r="D1009" s="26" t="str">
        <f t="shared" si="45"/>
        <v/>
      </c>
      <c r="E1009" s="26" t="str">
        <f t="shared" si="46"/>
        <v/>
      </c>
      <c r="F1009" s="28"/>
      <c r="G1009" s="28"/>
      <c r="H1009" s="29" t="str">
        <f t="shared" si="47"/>
        <v/>
      </c>
    </row>
    <row r="1010" spans="1:8">
      <c r="A1010" s="28"/>
      <c r="B1010" s="28"/>
      <c r="C1010" s="28"/>
      <c r="D1010" s="26" t="str">
        <f t="shared" si="45"/>
        <v/>
      </c>
      <c r="E1010" s="26" t="str">
        <f t="shared" si="46"/>
        <v/>
      </c>
      <c r="F1010" s="28"/>
      <c r="G1010" s="28"/>
      <c r="H1010" s="29" t="str">
        <f t="shared" si="47"/>
        <v/>
      </c>
    </row>
    <row r="1011" spans="1:8">
      <c r="A1011" s="28"/>
      <c r="B1011" s="28"/>
      <c r="C1011" s="28"/>
      <c r="D1011" s="26" t="str">
        <f t="shared" si="45"/>
        <v/>
      </c>
      <c r="E1011" s="26" t="str">
        <f t="shared" si="46"/>
        <v/>
      </c>
      <c r="F1011" s="28"/>
      <c r="G1011" s="28"/>
      <c r="H1011" s="29" t="str">
        <f t="shared" si="47"/>
        <v/>
      </c>
    </row>
    <row r="1012" spans="1:8">
      <c r="A1012" s="28"/>
      <c r="B1012" s="28"/>
      <c r="C1012" s="28"/>
      <c r="D1012" s="26" t="str">
        <f t="shared" si="45"/>
        <v/>
      </c>
      <c r="E1012" s="26" t="str">
        <f t="shared" si="46"/>
        <v/>
      </c>
      <c r="F1012" s="28"/>
      <c r="G1012" s="28"/>
      <c r="H1012" s="29" t="str">
        <f t="shared" si="47"/>
        <v/>
      </c>
    </row>
    <row r="1013" spans="1:8">
      <c r="A1013" s="28"/>
      <c r="B1013" s="28"/>
      <c r="C1013" s="28"/>
      <c r="D1013" s="26" t="str">
        <f t="shared" si="45"/>
        <v/>
      </c>
      <c r="E1013" s="26" t="str">
        <f t="shared" si="46"/>
        <v/>
      </c>
      <c r="F1013" s="28"/>
      <c r="G1013" s="28"/>
      <c r="H1013" s="29" t="str">
        <f t="shared" si="47"/>
        <v/>
      </c>
    </row>
    <row r="1014" spans="1:8">
      <c r="A1014" s="28"/>
      <c r="B1014" s="28"/>
      <c r="C1014" s="28"/>
      <c r="D1014" s="26" t="str">
        <f t="shared" si="45"/>
        <v/>
      </c>
      <c r="E1014" s="26" t="str">
        <f t="shared" si="46"/>
        <v/>
      </c>
      <c r="F1014" s="28"/>
      <c r="G1014" s="28"/>
      <c r="H1014" s="29" t="str">
        <f t="shared" si="47"/>
        <v/>
      </c>
    </row>
    <row r="1015" spans="1:8">
      <c r="A1015" s="28"/>
      <c r="B1015" s="28"/>
      <c r="C1015" s="28"/>
      <c r="D1015" s="26" t="str">
        <f t="shared" si="45"/>
        <v/>
      </c>
      <c r="E1015" s="26" t="str">
        <f t="shared" si="46"/>
        <v/>
      </c>
      <c r="F1015" s="28"/>
      <c r="G1015" s="28"/>
      <c r="H1015" s="29" t="str">
        <f t="shared" si="47"/>
        <v/>
      </c>
    </row>
    <row r="1016" spans="1:8">
      <c r="A1016" s="28"/>
      <c r="B1016" s="28"/>
      <c r="C1016" s="28"/>
      <c r="D1016" s="26" t="str">
        <f t="shared" si="45"/>
        <v/>
      </c>
      <c r="E1016" s="26" t="str">
        <f t="shared" si="46"/>
        <v/>
      </c>
      <c r="F1016" s="28"/>
      <c r="G1016" s="28"/>
      <c r="H1016" s="29" t="str">
        <f t="shared" si="47"/>
        <v/>
      </c>
    </row>
    <row r="1017" spans="1:8">
      <c r="A1017" s="28"/>
      <c r="B1017" s="28"/>
      <c r="C1017" s="28"/>
      <c r="D1017" s="26" t="str">
        <f t="shared" si="45"/>
        <v/>
      </c>
      <c r="E1017" s="26" t="str">
        <f t="shared" si="46"/>
        <v/>
      </c>
      <c r="F1017" s="28"/>
      <c r="G1017" s="28"/>
      <c r="H1017" s="29" t="str">
        <f t="shared" si="47"/>
        <v/>
      </c>
    </row>
    <row r="1018" spans="1:8">
      <c r="A1018" s="28"/>
      <c r="B1018" s="28"/>
      <c r="C1018" s="28"/>
      <c r="D1018" s="26" t="str">
        <f t="shared" si="45"/>
        <v/>
      </c>
      <c r="E1018" s="26" t="str">
        <f t="shared" si="46"/>
        <v/>
      </c>
      <c r="F1018" s="28"/>
      <c r="G1018" s="28"/>
      <c r="H1018" s="29" t="str">
        <f t="shared" si="47"/>
        <v/>
      </c>
    </row>
    <row r="1019" spans="1:8">
      <c r="A1019" s="28"/>
      <c r="B1019" s="28"/>
      <c r="C1019" s="28"/>
      <c r="D1019" s="26" t="str">
        <f t="shared" si="45"/>
        <v/>
      </c>
      <c r="E1019" s="26" t="str">
        <f t="shared" si="46"/>
        <v/>
      </c>
      <c r="F1019" s="28"/>
      <c r="G1019" s="28"/>
      <c r="H1019" s="29" t="str">
        <f t="shared" si="47"/>
        <v/>
      </c>
    </row>
    <row r="1020" spans="1:8">
      <c r="A1020" s="28"/>
      <c r="B1020" s="28"/>
      <c r="C1020" s="28"/>
      <c r="D1020" s="26" t="str">
        <f t="shared" si="45"/>
        <v/>
      </c>
      <c r="E1020" s="26" t="str">
        <f t="shared" si="46"/>
        <v/>
      </c>
      <c r="F1020" s="28"/>
      <c r="G1020" s="28"/>
      <c r="H1020" s="29" t="str">
        <f t="shared" si="47"/>
        <v/>
      </c>
    </row>
    <row r="1021" spans="1:8">
      <c r="A1021" s="28"/>
      <c r="B1021" s="28"/>
      <c r="C1021" s="28"/>
      <c r="D1021" s="26" t="str">
        <f t="shared" si="45"/>
        <v/>
      </c>
      <c r="E1021" s="26" t="str">
        <f t="shared" si="46"/>
        <v/>
      </c>
      <c r="F1021" s="28"/>
      <c r="G1021" s="28"/>
      <c r="H1021" s="29" t="str">
        <f t="shared" si="47"/>
        <v/>
      </c>
    </row>
    <row r="1022" spans="1:8">
      <c r="A1022" s="28"/>
      <c r="B1022" s="28"/>
      <c r="C1022" s="28"/>
      <c r="D1022" s="26" t="str">
        <f t="shared" si="45"/>
        <v/>
      </c>
      <c r="E1022" s="26" t="str">
        <f t="shared" si="46"/>
        <v/>
      </c>
      <c r="F1022" s="28"/>
      <c r="G1022" s="28"/>
      <c r="H1022" s="29" t="str">
        <f t="shared" si="47"/>
        <v/>
      </c>
    </row>
    <row r="1023" spans="1:8">
      <c r="A1023" s="28"/>
      <c r="B1023" s="28"/>
      <c r="C1023" s="28"/>
      <c r="D1023" s="26" t="str">
        <f t="shared" si="45"/>
        <v/>
      </c>
      <c r="E1023" s="26" t="str">
        <f t="shared" si="46"/>
        <v/>
      </c>
      <c r="F1023" s="28"/>
      <c r="G1023" s="28"/>
      <c r="H1023" s="29" t="str">
        <f t="shared" si="47"/>
        <v/>
      </c>
    </row>
    <row r="1024" spans="1:8">
      <c r="A1024" s="28"/>
      <c r="B1024" s="28"/>
      <c r="C1024" s="28"/>
      <c r="D1024" s="26" t="str">
        <f t="shared" si="45"/>
        <v/>
      </c>
      <c r="E1024" s="26" t="str">
        <f t="shared" si="46"/>
        <v/>
      </c>
      <c r="F1024" s="28"/>
      <c r="G1024" s="28"/>
      <c r="H1024" s="29" t="str">
        <f t="shared" si="47"/>
        <v/>
      </c>
    </row>
    <row r="1025" spans="1:8">
      <c r="A1025" s="28"/>
      <c r="B1025" s="28"/>
      <c r="C1025" s="28"/>
      <c r="D1025" s="26" t="str">
        <f t="shared" si="45"/>
        <v/>
      </c>
      <c r="E1025" s="26" t="str">
        <f t="shared" si="46"/>
        <v/>
      </c>
      <c r="F1025" s="28"/>
      <c r="G1025" s="28"/>
      <c r="H1025" s="29" t="str">
        <f t="shared" si="47"/>
        <v/>
      </c>
    </row>
    <row r="1026" spans="1:8">
      <c r="A1026" s="28"/>
      <c r="B1026" s="28"/>
      <c r="C1026" s="28"/>
      <c r="D1026" s="26" t="str">
        <f t="shared" ref="D1026:D1089" si="48">IF(OR(B1026="",C1026=""),"",C1026-B1026)</f>
        <v/>
      </c>
      <c r="E1026" s="26" t="str">
        <f t="shared" ref="E1026:E1089" si="49">IF(OR(B1026="",C1026=""),"",(B1026+C1026)/2)</f>
        <v/>
      </c>
      <c r="F1026" s="28"/>
      <c r="G1026" s="28"/>
      <c r="H1026" s="29" t="str">
        <f t="shared" ref="H1026:H1089" si="50">IF(OR(F1026="",G1026=""),"",G1026-F1026)</f>
        <v/>
      </c>
    </row>
    <row r="1027" spans="1:8">
      <c r="A1027" s="28"/>
      <c r="B1027" s="28"/>
      <c r="C1027" s="28"/>
      <c r="D1027" s="26" t="str">
        <f t="shared" si="48"/>
        <v/>
      </c>
      <c r="E1027" s="26" t="str">
        <f t="shared" si="49"/>
        <v/>
      </c>
      <c r="F1027" s="28"/>
      <c r="G1027" s="28"/>
      <c r="H1027" s="29" t="str">
        <f t="shared" si="50"/>
        <v/>
      </c>
    </row>
    <row r="1028" spans="1:8">
      <c r="A1028" s="28"/>
      <c r="B1028" s="28"/>
      <c r="C1028" s="28"/>
      <c r="D1028" s="26" t="str">
        <f t="shared" si="48"/>
        <v/>
      </c>
      <c r="E1028" s="26" t="str">
        <f t="shared" si="49"/>
        <v/>
      </c>
      <c r="F1028" s="28"/>
      <c r="G1028" s="28"/>
      <c r="H1028" s="29" t="str">
        <f t="shared" si="50"/>
        <v/>
      </c>
    </row>
    <row r="1029" spans="1:8">
      <c r="A1029" s="28"/>
      <c r="B1029" s="28"/>
      <c r="C1029" s="28"/>
      <c r="D1029" s="26" t="str">
        <f t="shared" si="48"/>
        <v/>
      </c>
      <c r="E1029" s="26" t="str">
        <f t="shared" si="49"/>
        <v/>
      </c>
      <c r="F1029" s="28"/>
      <c r="G1029" s="28"/>
      <c r="H1029" s="29" t="str">
        <f t="shared" si="50"/>
        <v/>
      </c>
    </row>
    <row r="1030" spans="1:8">
      <c r="A1030" s="28"/>
      <c r="B1030" s="28"/>
      <c r="C1030" s="28"/>
      <c r="D1030" s="26" t="str">
        <f t="shared" si="48"/>
        <v/>
      </c>
      <c r="E1030" s="26" t="str">
        <f t="shared" si="49"/>
        <v/>
      </c>
      <c r="F1030" s="28"/>
      <c r="G1030" s="28"/>
      <c r="H1030" s="29" t="str">
        <f t="shared" si="50"/>
        <v/>
      </c>
    </row>
    <row r="1031" spans="1:8">
      <c r="A1031" s="28"/>
      <c r="B1031" s="28"/>
      <c r="C1031" s="28"/>
      <c r="D1031" s="26" t="str">
        <f t="shared" si="48"/>
        <v/>
      </c>
      <c r="E1031" s="26" t="str">
        <f t="shared" si="49"/>
        <v/>
      </c>
      <c r="F1031" s="28"/>
      <c r="G1031" s="28"/>
      <c r="H1031" s="29" t="str">
        <f t="shared" si="50"/>
        <v/>
      </c>
    </row>
    <row r="1032" spans="1:8">
      <c r="A1032" s="28"/>
      <c r="B1032" s="28"/>
      <c r="C1032" s="28"/>
      <c r="D1032" s="26" t="str">
        <f t="shared" si="48"/>
        <v/>
      </c>
      <c r="E1032" s="26" t="str">
        <f t="shared" si="49"/>
        <v/>
      </c>
      <c r="F1032" s="28"/>
      <c r="G1032" s="28"/>
      <c r="H1032" s="29" t="str">
        <f t="shared" si="50"/>
        <v/>
      </c>
    </row>
    <row r="1033" spans="1:8">
      <c r="A1033" s="28"/>
      <c r="B1033" s="28"/>
      <c r="C1033" s="28"/>
      <c r="D1033" s="26" t="str">
        <f t="shared" si="48"/>
        <v/>
      </c>
      <c r="E1033" s="26" t="str">
        <f t="shared" si="49"/>
        <v/>
      </c>
      <c r="F1033" s="28"/>
      <c r="G1033" s="28"/>
      <c r="H1033" s="29" t="str">
        <f t="shared" si="50"/>
        <v/>
      </c>
    </row>
    <row r="1034" spans="1:8">
      <c r="A1034" s="28"/>
      <c r="B1034" s="28"/>
      <c r="C1034" s="28"/>
      <c r="D1034" s="26" t="str">
        <f t="shared" si="48"/>
        <v/>
      </c>
      <c r="E1034" s="26" t="str">
        <f t="shared" si="49"/>
        <v/>
      </c>
      <c r="F1034" s="28"/>
      <c r="G1034" s="28"/>
      <c r="H1034" s="29" t="str">
        <f t="shared" si="50"/>
        <v/>
      </c>
    </row>
    <row r="1035" spans="1:8">
      <c r="A1035" s="28"/>
      <c r="B1035" s="28"/>
      <c r="C1035" s="28"/>
      <c r="D1035" s="26" t="str">
        <f t="shared" si="48"/>
        <v/>
      </c>
      <c r="E1035" s="26" t="str">
        <f t="shared" si="49"/>
        <v/>
      </c>
      <c r="F1035" s="28"/>
      <c r="G1035" s="28"/>
      <c r="H1035" s="29" t="str">
        <f t="shared" si="50"/>
        <v/>
      </c>
    </row>
    <row r="1036" spans="1:8">
      <c r="A1036" s="28"/>
      <c r="B1036" s="28"/>
      <c r="C1036" s="28"/>
      <c r="D1036" s="26" t="str">
        <f t="shared" si="48"/>
        <v/>
      </c>
      <c r="E1036" s="26" t="str">
        <f t="shared" si="49"/>
        <v/>
      </c>
      <c r="F1036" s="28"/>
      <c r="G1036" s="28"/>
      <c r="H1036" s="29" t="str">
        <f t="shared" si="50"/>
        <v/>
      </c>
    </row>
    <row r="1037" spans="1:8">
      <c r="A1037" s="28"/>
      <c r="B1037" s="28"/>
      <c r="C1037" s="28"/>
      <c r="D1037" s="26" t="str">
        <f t="shared" si="48"/>
        <v/>
      </c>
      <c r="E1037" s="26" t="str">
        <f t="shared" si="49"/>
        <v/>
      </c>
      <c r="F1037" s="28"/>
      <c r="G1037" s="28"/>
      <c r="H1037" s="29" t="str">
        <f t="shared" si="50"/>
        <v/>
      </c>
    </row>
    <row r="1038" spans="1:8">
      <c r="A1038" s="28"/>
      <c r="B1038" s="28"/>
      <c r="C1038" s="28"/>
      <c r="D1038" s="26" t="str">
        <f t="shared" si="48"/>
        <v/>
      </c>
      <c r="E1038" s="26" t="str">
        <f t="shared" si="49"/>
        <v/>
      </c>
      <c r="F1038" s="28"/>
      <c r="G1038" s="28"/>
      <c r="H1038" s="29" t="str">
        <f t="shared" si="50"/>
        <v/>
      </c>
    </row>
    <row r="1039" spans="1:8">
      <c r="A1039" s="28"/>
      <c r="B1039" s="28"/>
      <c r="C1039" s="28"/>
      <c r="D1039" s="26" t="str">
        <f t="shared" si="48"/>
        <v/>
      </c>
      <c r="E1039" s="26" t="str">
        <f t="shared" si="49"/>
        <v/>
      </c>
      <c r="F1039" s="28"/>
      <c r="G1039" s="28"/>
      <c r="H1039" s="29" t="str">
        <f t="shared" si="50"/>
        <v/>
      </c>
    </row>
    <row r="1040" spans="1:8">
      <c r="A1040" s="28"/>
      <c r="B1040" s="28"/>
      <c r="C1040" s="28"/>
      <c r="D1040" s="26" t="str">
        <f t="shared" si="48"/>
        <v/>
      </c>
      <c r="E1040" s="26" t="str">
        <f t="shared" si="49"/>
        <v/>
      </c>
      <c r="F1040" s="28"/>
      <c r="G1040" s="28"/>
      <c r="H1040" s="29" t="str">
        <f t="shared" si="50"/>
        <v/>
      </c>
    </row>
    <row r="1041" spans="1:8">
      <c r="A1041" s="28"/>
      <c r="B1041" s="28"/>
      <c r="C1041" s="28"/>
      <c r="D1041" s="26" t="str">
        <f t="shared" si="48"/>
        <v/>
      </c>
      <c r="E1041" s="26" t="str">
        <f t="shared" si="49"/>
        <v/>
      </c>
      <c r="F1041" s="28"/>
      <c r="G1041" s="28"/>
      <c r="H1041" s="29" t="str">
        <f t="shared" si="50"/>
        <v/>
      </c>
    </row>
    <row r="1042" spans="1:8">
      <c r="A1042" s="28"/>
      <c r="B1042" s="28"/>
      <c r="C1042" s="28"/>
      <c r="D1042" s="26" t="str">
        <f t="shared" si="48"/>
        <v/>
      </c>
      <c r="E1042" s="26" t="str">
        <f t="shared" si="49"/>
        <v/>
      </c>
      <c r="F1042" s="28"/>
      <c r="G1042" s="28"/>
      <c r="H1042" s="29" t="str">
        <f t="shared" si="50"/>
        <v/>
      </c>
    </row>
    <row r="1043" spans="1:8">
      <c r="A1043" s="28"/>
      <c r="B1043" s="28"/>
      <c r="C1043" s="28"/>
      <c r="D1043" s="26" t="str">
        <f t="shared" si="48"/>
        <v/>
      </c>
      <c r="E1043" s="26" t="str">
        <f t="shared" si="49"/>
        <v/>
      </c>
      <c r="F1043" s="28"/>
      <c r="G1043" s="28"/>
      <c r="H1043" s="29" t="str">
        <f t="shared" si="50"/>
        <v/>
      </c>
    </row>
    <row r="1044" spans="1:8">
      <c r="A1044" s="28"/>
      <c r="B1044" s="28"/>
      <c r="C1044" s="28"/>
      <c r="D1044" s="26" t="str">
        <f t="shared" si="48"/>
        <v/>
      </c>
      <c r="E1044" s="26" t="str">
        <f t="shared" si="49"/>
        <v/>
      </c>
      <c r="F1044" s="28"/>
      <c r="G1044" s="28"/>
      <c r="H1044" s="29" t="str">
        <f t="shared" si="50"/>
        <v/>
      </c>
    </row>
    <row r="1045" spans="1:8">
      <c r="A1045" s="28"/>
      <c r="B1045" s="28"/>
      <c r="C1045" s="28"/>
      <c r="D1045" s="26" t="str">
        <f t="shared" si="48"/>
        <v/>
      </c>
      <c r="E1045" s="26" t="str">
        <f t="shared" si="49"/>
        <v/>
      </c>
      <c r="F1045" s="28"/>
      <c r="G1045" s="28"/>
      <c r="H1045" s="29" t="str">
        <f t="shared" si="50"/>
        <v/>
      </c>
    </row>
    <row r="1046" spans="1:8">
      <c r="A1046" s="28"/>
      <c r="B1046" s="28"/>
      <c r="C1046" s="28"/>
      <c r="D1046" s="26" t="str">
        <f t="shared" si="48"/>
        <v/>
      </c>
      <c r="E1046" s="26" t="str">
        <f t="shared" si="49"/>
        <v/>
      </c>
      <c r="F1046" s="28"/>
      <c r="G1046" s="28"/>
      <c r="H1046" s="29" t="str">
        <f t="shared" si="50"/>
        <v/>
      </c>
    </row>
    <row r="1047" spans="1:8">
      <c r="A1047" s="28"/>
      <c r="B1047" s="28"/>
      <c r="C1047" s="28"/>
      <c r="D1047" s="26" t="str">
        <f t="shared" si="48"/>
        <v/>
      </c>
      <c r="E1047" s="26" t="str">
        <f t="shared" si="49"/>
        <v/>
      </c>
      <c r="F1047" s="28"/>
      <c r="G1047" s="28"/>
      <c r="H1047" s="29" t="str">
        <f t="shared" si="50"/>
        <v/>
      </c>
    </row>
    <row r="1048" spans="1:8">
      <c r="A1048" s="28"/>
      <c r="B1048" s="28"/>
      <c r="C1048" s="28"/>
      <c r="D1048" s="26" t="str">
        <f t="shared" si="48"/>
        <v/>
      </c>
      <c r="E1048" s="26" t="str">
        <f t="shared" si="49"/>
        <v/>
      </c>
      <c r="F1048" s="28"/>
      <c r="G1048" s="28"/>
      <c r="H1048" s="29" t="str">
        <f t="shared" si="50"/>
        <v/>
      </c>
    </row>
    <row r="1049" spans="1:8">
      <c r="A1049" s="28"/>
      <c r="B1049" s="28"/>
      <c r="C1049" s="28"/>
      <c r="D1049" s="26" t="str">
        <f t="shared" si="48"/>
        <v/>
      </c>
      <c r="E1049" s="26" t="str">
        <f t="shared" si="49"/>
        <v/>
      </c>
      <c r="F1049" s="28"/>
      <c r="G1049" s="28"/>
      <c r="H1049" s="29" t="str">
        <f t="shared" si="50"/>
        <v/>
      </c>
    </row>
    <row r="1050" spans="1:8">
      <c r="A1050" s="28"/>
      <c r="B1050" s="28"/>
      <c r="C1050" s="28"/>
      <c r="D1050" s="26" t="str">
        <f t="shared" si="48"/>
        <v/>
      </c>
      <c r="E1050" s="26" t="str">
        <f t="shared" si="49"/>
        <v/>
      </c>
      <c r="F1050" s="28"/>
      <c r="G1050" s="28"/>
      <c r="H1050" s="29" t="str">
        <f t="shared" si="50"/>
        <v/>
      </c>
    </row>
    <row r="1051" spans="1:8">
      <c r="A1051" s="28"/>
      <c r="B1051" s="28"/>
      <c r="C1051" s="28"/>
      <c r="D1051" s="26" t="str">
        <f t="shared" si="48"/>
        <v/>
      </c>
      <c r="E1051" s="26" t="str">
        <f t="shared" si="49"/>
        <v/>
      </c>
      <c r="F1051" s="28"/>
      <c r="G1051" s="28"/>
      <c r="H1051" s="29" t="str">
        <f t="shared" si="50"/>
        <v/>
      </c>
    </row>
    <row r="1052" spans="1:8">
      <c r="A1052" s="28"/>
      <c r="B1052" s="28"/>
      <c r="C1052" s="28"/>
      <c r="D1052" s="26" t="str">
        <f t="shared" si="48"/>
        <v/>
      </c>
      <c r="E1052" s="26" t="str">
        <f t="shared" si="49"/>
        <v/>
      </c>
      <c r="F1052" s="28"/>
      <c r="G1052" s="28"/>
      <c r="H1052" s="29" t="str">
        <f t="shared" si="50"/>
        <v/>
      </c>
    </row>
    <row r="1053" spans="1:8">
      <c r="A1053" s="28"/>
      <c r="B1053" s="28"/>
      <c r="C1053" s="28"/>
      <c r="D1053" s="26" t="str">
        <f t="shared" si="48"/>
        <v/>
      </c>
      <c r="E1053" s="26" t="str">
        <f t="shared" si="49"/>
        <v/>
      </c>
      <c r="F1053" s="28"/>
      <c r="G1053" s="28"/>
      <c r="H1053" s="29" t="str">
        <f t="shared" si="50"/>
        <v/>
      </c>
    </row>
    <row r="1054" spans="1:8">
      <c r="A1054" s="28"/>
      <c r="B1054" s="28"/>
      <c r="C1054" s="28"/>
      <c r="D1054" s="26" t="str">
        <f t="shared" si="48"/>
        <v/>
      </c>
      <c r="E1054" s="26" t="str">
        <f t="shared" si="49"/>
        <v/>
      </c>
      <c r="F1054" s="28"/>
      <c r="G1054" s="28"/>
      <c r="H1054" s="29" t="str">
        <f t="shared" si="50"/>
        <v/>
      </c>
    </row>
    <row r="1055" spans="1:8">
      <c r="A1055" s="28"/>
      <c r="B1055" s="28"/>
      <c r="C1055" s="28"/>
      <c r="D1055" s="26" t="str">
        <f t="shared" si="48"/>
        <v/>
      </c>
      <c r="E1055" s="26" t="str">
        <f t="shared" si="49"/>
        <v/>
      </c>
      <c r="F1055" s="28"/>
      <c r="G1055" s="28"/>
      <c r="H1055" s="29" t="str">
        <f t="shared" si="50"/>
        <v/>
      </c>
    </row>
    <row r="1056" spans="1:8">
      <c r="A1056" s="28"/>
      <c r="B1056" s="28"/>
      <c r="C1056" s="28"/>
      <c r="D1056" s="26" t="str">
        <f t="shared" si="48"/>
        <v/>
      </c>
      <c r="E1056" s="26" t="str">
        <f t="shared" si="49"/>
        <v/>
      </c>
      <c r="F1056" s="28"/>
      <c r="G1056" s="28"/>
      <c r="H1056" s="29" t="str">
        <f t="shared" si="50"/>
        <v/>
      </c>
    </row>
    <row r="1057" spans="1:8">
      <c r="A1057" s="28"/>
      <c r="B1057" s="28"/>
      <c r="C1057" s="28"/>
      <c r="D1057" s="26" t="str">
        <f t="shared" si="48"/>
        <v/>
      </c>
      <c r="E1057" s="26" t="str">
        <f t="shared" si="49"/>
        <v/>
      </c>
      <c r="F1057" s="28"/>
      <c r="G1057" s="28"/>
      <c r="H1057" s="29" t="str">
        <f t="shared" si="50"/>
        <v/>
      </c>
    </row>
    <row r="1058" spans="1:8">
      <c r="A1058" s="28"/>
      <c r="B1058" s="28"/>
      <c r="C1058" s="28"/>
      <c r="D1058" s="26" t="str">
        <f t="shared" si="48"/>
        <v/>
      </c>
      <c r="E1058" s="26" t="str">
        <f t="shared" si="49"/>
        <v/>
      </c>
      <c r="F1058" s="28"/>
      <c r="G1058" s="28"/>
      <c r="H1058" s="29" t="str">
        <f t="shared" si="50"/>
        <v/>
      </c>
    </row>
    <row r="1059" spans="1:8">
      <c r="A1059" s="28"/>
      <c r="B1059" s="28"/>
      <c r="C1059" s="28"/>
      <c r="D1059" s="26" t="str">
        <f t="shared" si="48"/>
        <v/>
      </c>
      <c r="E1059" s="26" t="str">
        <f t="shared" si="49"/>
        <v/>
      </c>
      <c r="F1059" s="28"/>
      <c r="G1059" s="28"/>
      <c r="H1059" s="29" t="str">
        <f t="shared" si="50"/>
        <v/>
      </c>
    </row>
    <row r="1060" spans="1:8">
      <c r="A1060" s="28"/>
      <c r="B1060" s="28"/>
      <c r="C1060" s="28"/>
      <c r="D1060" s="26" t="str">
        <f t="shared" si="48"/>
        <v/>
      </c>
      <c r="E1060" s="26" t="str">
        <f t="shared" si="49"/>
        <v/>
      </c>
      <c r="F1060" s="28"/>
      <c r="G1060" s="28"/>
      <c r="H1060" s="29" t="str">
        <f t="shared" si="50"/>
        <v/>
      </c>
    </row>
    <row r="1061" spans="1:8">
      <c r="A1061" s="28"/>
      <c r="B1061" s="28"/>
      <c r="C1061" s="28"/>
      <c r="D1061" s="26" t="str">
        <f t="shared" si="48"/>
        <v/>
      </c>
      <c r="E1061" s="26" t="str">
        <f t="shared" si="49"/>
        <v/>
      </c>
      <c r="F1061" s="28"/>
      <c r="G1061" s="28"/>
      <c r="H1061" s="29" t="str">
        <f t="shared" si="50"/>
        <v/>
      </c>
    </row>
    <row r="1062" spans="1:8">
      <c r="A1062" s="28"/>
      <c r="B1062" s="28"/>
      <c r="C1062" s="28"/>
      <c r="D1062" s="26" t="str">
        <f t="shared" si="48"/>
        <v/>
      </c>
      <c r="E1062" s="26" t="str">
        <f t="shared" si="49"/>
        <v/>
      </c>
      <c r="F1062" s="28"/>
      <c r="G1062" s="28"/>
      <c r="H1062" s="29" t="str">
        <f t="shared" si="50"/>
        <v/>
      </c>
    </row>
    <row r="1063" spans="1:8">
      <c r="A1063" s="28"/>
      <c r="B1063" s="28"/>
      <c r="C1063" s="28"/>
      <c r="D1063" s="26" t="str">
        <f t="shared" si="48"/>
        <v/>
      </c>
      <c r="E1063" s="26" t="str">
        <f t="shared" si="49"/>
        <v/>
      </c>
      <c r="F1063" s="28"/>
      <c r="G1063" s="28"/>
      <c r="H1063" s="29" t="str">
        <f t="shared" si="50"/>
        <v/>
      </c>
    </row>
    <row r="1064" spans="1:8">
      <c r="A1064" s="28"/>
      <c r="B1064" s="28"/>
      <c r="C1064" s="28"/>
      <c r="D1064" s="26" t="str">
        <f t="shared" si="48"/>
        <v/>
      </c>
      <c r="E1064" s="26" t="str">
        <f t="shared" si="49"/>
        <v/>
      </c>
      <c r="F1064" s="28"/>
      <c r="G1064" s="28"/>
      <c r="H1064" s="29" t="str">
        <f t="shared" si="50"/>
        <v/>
      </c>
    </row>
    <row r="1065" spans="1:8">
      <c r="A1065" s="28"/>
      <c r="B1065" s="28"/>
      <c r="C1065" s="28"/>
      <c r="D1065" s="26" t="str">
        <f t="shared" si="48"/>
        <v/>
      </c>
      <c r="E1065" s="26" t="str">
        <f t="shared" si="49"/>
        <v/>
      </c>
      <c r="F1065" s="28"/>
      <c r="G1065" s="28"/>
      <c r="H1065" s="29" t="str">
        <f t="shared" si="50"/>
        <v/>
      </c>
    </row>
    <row r="1066" spans="1:8">
      <c r="A1066" s="28"/>
      <c r="B1066" s="28"/>
      <c r="C1066" s="28"/>
      <c r="D1066" s="26" t="str">
        <f t="shared" si="48"/>
        <v/>
      </c>
      <c r="E1066" s="26" t="str">
        <f t="shared" si="49"/>
        <v/>
      </c>
      <c r="F1066" s="28"/>
      <c r="G1066" s="28"/>
      <c r="H1066" s="29" t="str">
        <f t="shared" si="50"/>
        <v/>
      </c>
    </row>
    <row r="1067" spans="1:8">
      <c r="A1067" s="28"/>
      <c r="B1067" s="28"/>
      <c r="C1067" s="28"/>
      <c r="D1067" s="26" t="str">
        <f t="shared" si="48"/>
        <v/>
      </c>
      <c r="E1067" s="26" t="str">
        <f t="shared" si="49"/>
        <v/>
      </c>
      <c r="F1067" s="28"/>
      <c r="G1067" s="28"/>
      <c r="H1067" s="29" t="str">
        <f t="shared" si="50"/>
        <v/>
      </c>
    </row>
    <row r="1068" spans="1:8">
      <c r="A1068" s="28"/>
      <c r="B1068" s="28"/>
      <c r="C1068" s="28"/>
      <c r="D1068" s="26" t="str">
        <f t="shared" si="48"/>
        <v/>
      </c>
      <c r="E1068" s="26" t="str">
        <f t="shared" si="49"/>
        <v/>
      </c>
      <c r="F1068" s="28"/>
      <c r="G1068" s="28"/>
      <c r="H1068" s="29" t="str">
        <f t="shared" si="50"/>
        <v/>
      </c>
    </row>
    <row r="1069" spans="1:8">
      <c r="A1069" s="28"/>
      <c r="B1069" s="28"/>
      <c r="C1069" s="28"/>
      <c r="D1069" s="26" t="str">
        <f t="shared" si="48"/>
        <v/>
      </c>
      <c r="E1069" s="26" t="str">
        <f t="shared" si="49"/>
        <v/>
      </c>
      <c r="F1069" s="28"/>
      <c r="G1069" s="28"/>
      <c r="H1069" s="29" t="str">
        <f t="shared" si="50"/>
        <v/>
      </c>
    </row>
    <row r="1070" spans="1:8">
      <c r="A1070" s="28"/>
      <c r="B1070" s="28"/>
      <c r="C1070" s="28"/>
      <c r="D1070" s="26" t="str">
        <f t="shared" si="48"/>
        <v/>
      </c>
      <c r="E1070" s="26" t="str">
        <f t="shared" si="49"/>
        <v/>
      </c>
      <c r="F1070" s="28"/>
      <c r="G1070" s="28"/>
      <c r="H1070" s="29" t="str">
        <f t="shared" si="50"/>
        <v/>
      </c>
    </row>
    <row r="1071" spans="1:8">
      <c r="A1071" s="28"/>
      <c r="B1071" s="28"/>
      <c r="C1071" s="28"/>
      <c r="D1071" s="26" t="str">
        <f t="shared" si="48"/>
        <v/>
      </c>
      <c r="E1071" s="26" t="str">
        <f t="shared" si="49"/>
        <v/>
      </c>
      <c r="F1071" s="28"/>
      <c r="G1071" s="28"/>
      <c r="H1071" s="29" t="str">
        <f t="shared" si="50"/>
        <v/>
      </c>
    </row>
    <row r="1072" spans="1:8">
      <c r="A1072" s="28"/>
      <c r="B1072" s="28"/>
      <c r="C1072" s="28"/>
      <c r="D1072" s="26" t="str">
        <f t="shared" si="48"/>
        <v/>
      </c>
      <c r="E1072" s="26" t="str">
        <f t="shared" si="49"/>
        <v/>
      </c>
      <c r="F1072" s="28"/>
      <c r="G1072" s="28"/>
      <c r="H1072" s="29" t="str">
        <f t="shared" si="50"/>
        <v/>
      </c>
    </row>
    <row r="1073" spans="1:8">
      <c r="A1073" s="28"/>
      <c r="B1073" s="28"/>
      <c r="C1073" s="28"/>
      <c r="D1073" s="26" t="str">
        <f t="shared" si="48"/>
        <v/>
      </c>
      <c r="E1073" s="26" t="str">
        <f t="shared" si="49"/>
        <v/>
      </c>
      <c r="F1073" s="28"/>
      <c r="G1073" s="28"/>
      <c r="H1073" s="29" t="str">
        <f t="shared" si="50"/>
        <v/>
      </c>
    </row>
    <row r="1074" spans="1:8">
      <c r="A1074" s="28"/>
      <c r="B1074" s="28"/>
      <c r="C1074" s="28"/>
      <c r="D1074" s="26" t="str">
        <f t="shared" si="48"/>
        <v/>
      </c>
      <c r="E1074" s="26" t="str">
        <f t="shared" si="49"/>
        <v/>
      </c>
      <c r="F1074" s="28"/>
      <c r="G1074" s="28"/>
      <c r="H1074" s="29" t="str">
        <f t="shared" si="50"/>
        <v/>
      </c>
    </row>
    <row r="1075" spans="1:8">
      <c r="A1075" s="28"/>
      <c r="B1075" s="28"/>
      <c r="C1075" s="28"/>
      <c r="D1075" s="26" t="str">
        <f t="shared" si="48"/>
        <v/>
      </c>
      <c r="E1075" s="26" t="str">
        <f t="shared" si="49"/>
        <v/>
      </c>
      <c r="F1075" s="28"/>
      <c r="G1075" s="28"/>
      <c r="H1075" s="29" t="str">
        <f t="shared" si="50"/>
        <v/>
      </c>
    </row>
    <row r="1076" spans="1:8">
      <c r="A1076" s="28"/>
      <c r="B1076" s="28"/>
      <c r="C1076" s="28"/>
      <c r="D1076" s="26" t="str">
        <f t="shared" si="48"/>
        <v/>
      </c>
      <c r="E1076" s="26" t="str">
        <f t="shared" si="49"/>
        <v/>
      </c>
      <c r="F1076" s="28"/>
      <c r="G1076" s="28"/>
      <c r="H1076" s="29" t="str">
        <f t="shared" si="50"/>
        <v/>
      </c>
    </row>
    <row r="1077" spans="1:8">
      <c r="A1077" s="28"/>
      <c r="B1077" s="28"/>
      <c r="C1077" s="28"/>
      <c r="D1077" s="26" t="str">
        <f t="shared" si="48"/>
        <v/>
      </c>
      <c r="E1077" s="26" t="str">
        <f t="shared" si="49"/>
        <v/>
      </c>
      <c r="F1077" s="28"/>
      <c r="G1077" s="28"/>
      <c r="H1077" s="29" t="str">
        <f t="shared" si="50"/>
        <v/>
      </c>
    </row>
    <row r="1078" spans="1:8">
      <c r="A1078" s="28"/>
      <c r="B1078" s="28"/>
      <c r="C1078" s="28"/>
      <c r="D1078" s="26" t="str">
        <f t="shared" si="48"/>
        <v/>
      </c>
      <c r="E1078" s="26" t="str">
        <f t="shared" si="49"/>
        <v/>
      </c>
      <c r="F1078" s="28"/>
      <c r="G1078" s="28"/>
      <c r="H1078" s="29" t="str">
        <f t="shared" si="50"/>
        <v/>
      </c>
    </row>
    <row r="1079" spans="1:8">
      <c r="A1079" s="28"/>
      <c r="B1079" s="28"/>
      <c r="C1079" s="28"/>
      <c r="D1079" s="26" t="str">
        <f t="shared" si="48"/>
        <v/>
      </c>
      <c r="E1079" s="26" t="str">
        <f t="shared" si="49"/>
        <v/>
      </c>
      <c r="F1079" s="28"/>
      <c r="G1079" s="28"/>
      <c r="H1079" s="29" t="str">
        <f t="shared" si="50"/>
        <v/>
      </c>
    </row>
    <row r="1080" spans="1:8">
      <c r="A1080" s="28"/>
      <c r="B1080" s="28"/>
      <c r="C1080" s="28"/>
      <c r="D1080" s="26" t="str">
        <f t="shared" si="48"/>
        <v/>
      </c>
      <c r="E1080" s="26" t="str">
        <f t="shared" si="49"/>
        <v/>
      </c>
      <c r="F1080" s="28"/>
      <c r="G1080" s="28"/>
      <c r="H1080" s="29" t="str">
        <f t="shared" si="50"/>
        <v/>
      </c>
    </row>
    <row r="1081" spans="1:8">
      <c r="A1081" s="28"/>
      <c r="B1081" s="28"/>
      <c r="C1081" s="28"/>
      <c r="D1081" s="26" t="str">
        <f t="shared" si="48"/>
        <v/>
      </c>
      <c r="E1081" s="26" t="str">
        <f t="shared" si="49"/>
        <v/>
      </c>
      <c r="F1081" s="28"/>
      <c r="G1081" s="28"/>
      <c r="H1081" s="29" t="str">
        <f t="shared" si="50"/>
        <v/>
      </c>
    </row>
    <row r="1082" spans="1:8">
      <c r="A1082" s="28"/>
      <c r="B1082" s="28"/>
      <c r="C1082" s="28"/>
      <c r="D1082" s="26" t="str">
        <f t="shared" si="48"/>
        <v/>
      </c>
      <c r="E1082" s="26" t="str">
        <f t="shared" si="49"/>
        <v/>
      </c>
      <c r="F1082" s="28"/>
      <c r="G1082" s="28"/>
      <c r="H1082" s="29" t="str">
        <f t="shared" si="50"/>
        <v/>
      </c>
    </row>
    <row r="1083" spans="1:8">
      <c r="A1083" s="28"/>
      <c r="B1083" s="28"/>
      <c r="C1083" s="28"/>
      <c r="D1083" s="26" t="str">
        <f t="shared" si="48"/>
        <v/>
      </c>
      <c r="E1083" s="26" t="str">
        <f t="shared" si="49"/>
        <v/>
      </c>
      <c r="F1083" s="28"/>
      <c r="G1083" s="28"/>
      <c r="H1083" s="29" t="str">
        <f t="shared" si="50"/>
        <v/>
      </c>
    </row>
    <row r="1084" spans="1:8">
      <c r="A1084" s="28"/>
      <c r="B1084" s="28"/>
      <c r="C1084" s="28"/>
      <c r="D1084" s="26" t="str">
        <f t="shared" si="48"/>
        <v/>
      </c>
      <c r="E1084" s="26" t="str">
        <f t="shared" si="49"/>
        <v/>
      </c>
      <c r="F1084" s="28"/>
      <c r="G1084" s="28"/>
      <c r="H1084" s="29" t="str">
        <f t="shared" si="50"/>
        <v/>
      </c>
    </row>
    <row r="1085" spans="1:8">
      <c r="A1085" s="28"/>
      <c r="B1085" s="28"/>
      <c r="C1085" s="28"/>
      <c r="D1085" s="26" t="str">
        <f t="shared" si="48"/>
        <v/>
      </c>
      <c r="E1085" s="26" t="str">
        <f t="shared" si="49"/>
        <v/>
      </c>
      <c r="F1085" s="28"/>
      <c r="G1085" s="28"/>
      <c r="H1085" s="29" t="str">
        <f t="shared" si="50"/>
        <v/>
      </c>
    </row>
    <row r="1086" spans="1:8">
      <c r="A1086" s="28"/>
      <c r="B1086" s="28"/>
      <c r="C1086" s="28"/>
      <c r="D1086" s="26" t="str">
        <f t="shared" si="48"/>
        <v/>
      </c>
      <c r="E1086" s="26" t="str">
        <f t="shared" si="49"/>
        <v/>
      </c>
      <c r="F1086" s="28"/>
      <c r="G1086" s="28"/>
      <c r="H1086" s="29" t="str">
        <f t="shared" si="50"/>
        <v/>
      </c>
    </row>
    <row r="1087" spans="1:8">
      <c r="A1087" s="28"/>
      <c r="B1087" s="28"/>
      <c r="C1087" s="28"/>
      <c r="D1087" s="26" t="str">
        <f t="shared" si="48"/>
        <v/>
      </c>
      <c r="E1087" s="26" t="str">
        <f t="shared" si="49"/>
        <v/>
      </c>
      <c r="F1087" s="28"/>
      <c r="G1087" s="28"/>
      <c r="H1087" s="29" t="str">
        <f t="shared" si="50"/>
        <v/>
      </c>
    </row>
    <row r="1088" spans="1:8">
      <c r="A1088" s="28"/>
      <c r="B1088" s="28"/>
      <c r="C1088" s="28"/>
      <c r="D1088" s="26" t="str">
        <f t="shared" si="48"/>
        <v/>
      </c>
      <c r="E1088" s="26" t="str">
        <f t="shared" si="49"/>
        <v/>
      </c>
      <c r="F1088" s="28"/>
      <c r="G1088" s="28"/>
      <c r="H1088" s="29" t="str">
        <f t="shared" si="50"/>
        <v/>
      </c>
    </row>
    <row r="1089" spans="1:8">
      <c r="A1089" s="28"/>
      <c r="B1089" s="28"/>
      <c r="C1089" s="28"/>
      <c r="D1089" s="26" t="str">
        <f t="shared" si="48"/>
        <v/>
      </c>
      <c r="E1089" s="26" t="str">
        <f t="shared" si="49"/>
        <v/>
      </c>
      <c r="F1089" s="28"/>
      <c r="G1089" s="28"/>
      <c r="H1089" s="29" t="str">
        <f t="shared" si="50"/>
        <v/>
      </c>
    </row>
    <row r="1090" spans="1:8">
      <c r="A1090" s="28"/>
      <c r="B1090" s="28"/>
      <c r="C1090" s="28"/>
      <c r="D1090" s="26" t="str">
        <f t="shared" ref="D1090:D1153" si="51">IF(OR(B1090="",C1090=""),"",C1090-B1090)</f>
        <v/>
      </c>
      <c r="E1090" s="26" t="str">
        <f t="shared" ref="E1090:E1153" si="52">IF(OR(B1090="",C1090=""),"",(B1090+C1090)/2)</f>
        <v/>
      </c>
      <c r="F1090" s="28"/>
      <c r="G1090" s="28"/>
      <c r="H1090" s="29" t="str">
        <f t="shared" ref="H1090:H1153" si="53">IF(OR(F1090="",G1090=""),"",G1090-F1090)</f>
        <v/>
      </c>
    </row>
    <row r="1091" spans="1:8">
      <c r="A1091" s="28"/>
      <c r="B1091" s="28"/>
      <c r="C1091" s="28"/>
      <c r="D1091" s="26" t="str">
        <f t="shared" si="51"/>
        <v/>
      </c>
      <c r="E1091" s="26" t="str">
        <f t="shared" si="52"/>
        <v/>
      </c>
      <c r="F1091" s="28"/>
      <c r="G1091" s="28"/>
      <c r="H1091" s="29" t="str">
        <f t="shared" si="53"/>
        <v/>
      </c>
    </row>
    <row r="1092" spans="1:8">
      <c r="A1092" s="28"/>
      <c r="B1092" s="28"/>
      <c r="C1092" s="28"/>
      <c r="D1092" s="26" t="str">
        <f t="shared" si="51"/>
        <v/>
      </c>
      <c r="E1092" s="26" t="str">
        <f t="shared" si="52"/>
        <v/>
      </c>
      <c r="F1092" s="28"/>
      <c r="G1092" s="28"/>
      <c r="H1092" s="29" t="str">
        <f t="shared" si="53"/>
        <v/>
      </c>
    </row>
    <row r="1093" spans="1:8">
      <c r="A1093" s="28"/>
      <c r="B1093" s="28"/>
      <c r="C1093" s="28"/>
      <c r="D1093" s="26" t="str">
        <f t="shared" si="51"/>
        <v/>
      </c>
      <c r="E1093" s="26" t="str">
        <f t="shared" si="52"/>
        <v/>
      </c>
      <c r="F1093" s="28"/>
      <c r="G1093" s="28"/>
      <c r="H1093" s="29" t="str">
        <f t="shared" si="53"/>
        <v/>
      </c>
    </row>
    <row r="1094" spans="1:8">
      <c r="A1094" s="28"/>
      <c r="B1094" s="28"/>
      <c r="C1094" s="28"/>
      <c r="D1094" s="26" t="str">
        <f t="shared" si="51"/>
        <v/>
      </c>
      <c r="E1094" s="26" t="str">
        <f t="shared" si="52"/>
        <v/>
      </c>
      <c r="F1094" s="28"/>
      <c r="G1094" s="28"/>
      <c r="H1094" s="29" t="str">
        <f t="shared" si="53"/>
        <v/>
      </c>
    </row>
    <row r="1095" spans="1:8">
      <c r="A1095" s="28"/>
      <c r="B1095" s="28"/>
      <c r="C1095" s="28"/>
      <c r="D1095" s="26" t="str">
        <f t="shared" si="51"/>
        <v/>
      </c>
      <c r="E1095" s="26" t="str">
        <f t="shared" si="52"/>
        <v/>
      </c>
      <c r="F1095" s="28"/>
      <c r="G1095" s="28"/>
      <c r="H1095" s="29" t="str">
        <f t="shared" si="53"/>
        <v/>
      </c>
    </row>
    <row r="1096" spans="1:8">
      <c r="A1096" s="28"/>
      <c r="B1096" s="28"/>
      <c r="C1096" s="28"/>
      <c r="D1096" s="26" t="str">
        <f t="shared" si="51"/>
        <v/>
      </c>
      <c r="E1096" s="26" t="str">
        <f t="shared" si="52"/>
        <v/>
      </c>
      <c r="F1096" s="28"/>
      <c r="G1096" s="28"/>
      <c r="H1096" s="29" t="str">
        <f t="shared" si="53"/>
        <v/>
      </c>
    </row>
    <row r="1097" spans="1:8">
      <c r="A1097" s="28"/>
      <c r="B1097" s="28"/>
      <c r="C1097" s="28"/>
      <c r="D1097" s="26" t="str">
        <f t="shared" si="51"/>
        <v/>
      </c>
      <c r="E1097" s="26" t="str">
        <f t="shared" si="52"/>
        <v/>
      </c>
      <c r="F1097" s="28"/>
      <c r="G1097" s="28"/>
      <c r="H1097" s="29" t="str">
        <f t="shared" si="53"/>
        <v/>
      </c>
    </row>
    <row r="1098" spans="1:8">
      <c r="A1098" s="28"/>
      <c r="B1098" s="28"/>
      <c r="C1098" s="28"/>
      <c r="D1098" s="26" t="str">
        <f t="shared" si="51"/>
        <v/>
      </c>
      <c r="E1098" s="26" t="str">
        <f t="shared" si="52"/>
        <v/>
      </c>
      <c r="F1098" s="28"/>
      <c r="G1098" s="28"/>
      <c r="H1098" s="29" t="str">
        <f t="shared" si="53"/>
        <v/>
      </c>
    </row>
    <row r="1099" spans="1:8">
      <c r="A1099" s="28"/>
      <c r="B1099" s="28"/>
      <c r="C1099" s="28"/>
      <c r="D1099" s="26" t="str">
        <f t="shared" si="51"/>
        <v/>
      </c>
      <c r="E1099" s="26" t="str">
        <f t="shared" si="52"/>
        <v/>
      </c>
      <c r="F1099" s="28"/>
      <c r="G1099" s="28"/>
      <c r="H1099" s="29" t="str">
        <f t="shared" si="53"/>
        <v/>
      </c>
    </row>
    <row r="1100" spans="1:8">
      <c r="A1100" s="28"/>
      <c r="B1100" s="28"/>
      <c r="C1100" s="28"/>
      <c r="D1100" s="26" t="str">
        <f t="shared" si="51"/>
        <v/>
      </c>
      <c r="E1100" s="26" t="str">
        <f t="shared" si="52"/>
        <v/>
      </c>
      <c r="F1100" s="28"/>
      <c r="G1100" s="28"/>
      <c r="H1100" s="29" t="str">
        <f t="shared" si="53"/>
        <v/>
      </c>
    </row>
    <row r="1101" spans="1:8">
      <c r="A1101" s="28"/>
      <c r="B1101" s="28"/>
      <c r="C1101" s="28"/>
      <c r="D1101" s="26" t="str">
        <f t="shared" si="51"/>
        <v/>
      </c>
      <c r="E1101" s="26" t="str">
        <f t="shared" si="52"/>
        <v/>
      </c>
      <c r="F1101" s="28"/>
      <c r="G1101" s="28"/>
      <c r="H1101" s="29" t="str">
        <f t="shared" si="53"/>
        <v/>
      </c>
    </row>
    <row r="1102" spans="1:8">
      <c r="A1102" s="28"/>
      <c r="B1102" s="28"/>
      <c r="C1102" s="28"/>
      <c r="D1102" s="26" t="str">
        <f t="shared" si="51"/>
        <v/>
      </c>
      <c r="E1102" s="26" t="str">
        <f t="shared" si="52"/>
        <v/>
      </c>
      <c r="F1102" s="28"/>
      <c r="G1102" s="28"/>
      <c r="H1102" s="29" t="str">
        <f t="shared" si="53"/>
        <v/>
      </c>
    </row>
    <row r="1103" spans="1:8">
      <c r="A1103" s="28"/>
      <c r="B1103" s="28"/>
      <c r="C1103" s="28"/>
      <c r="D1103" s="26" t="str">
        <f t="shared" si="51"/>
        <v/>
      </c>
      <c r="E1103" s="26" t="str">
        <f t="shared" si="52"/>
        <v/>
      </c>
      <c r="F1103" s="28"/>
      <c r="G1103" s="28"/>
      <c r="H1103" s="29" t="str">
        <f t="shared" si="53"/>
        <v/>
      </c>
    </row>
    <row r="1104" spans="1:8">
      <c r="A1104" s="28"/>
      <c r="B1104" s="28"/>
      <c r="C1104" s="28"/>
      <c r="D1104" s="26" t="str">
        <f t="shared" si="51"/>
        <v/>
      </c>
      <c r="E1104" s="26" t="str">
        <f t="shared" si="52"/>
        <v/>
      </c>
      <c r="F1104" s="28"/>
      <c r="G1104" s="28"/>
      <c r="H1104" s="29" t="str">
        <f t="shared" si="53"/>
        <v/>
      </c>
    </row>
    <row r="1105" spans="1:8">
      <c r="A1105" s="28"/>
      <c r="B1105" s="28"/>
      <c r="C1105" s="28"/>
      <c r="D1105" s="26" t="str">
        <f t="shared" si="51"/>
        <v/>
      </c>
      <c r="E1105" s="26" t="str">
        <f t="shared" si="52"/>
        <v/>
      </c>
      <c r="F1105" s="28"/>
      <c r="G1105" s="28"/>
      <c r="H1105" s="29" t="str">
        <f t="shared" si="53"/>
        <v/>
      </c>
    </row>
    <row r="1106" spans="1:8">
      <c r="A1106" s="28"/>
      <c r="B1106" s="28"/>
      <c r="C1106" s="28"/>
      <c r="D1106" s="26" t="str">
        <f t="shared" si="51"/>
        <v/>
      </c>
      <c r="E1106" s="26" t="str">
        <f t="shared" si="52"/>
        <v/>
      </c>
      <c r="F1106" s="28"/>
      <c r="G1106" s="28"/>
      <c r="H1106" s="29" t="str">
        <f t="shared" si="53"/>
        <v/>
      </c>
    </row>
    <row r="1107" spans="1:8">
      <c r="A1107" s="28"/>
      <c r="B1107" s="28"/>
      <c r="C1107" s="28"/>
      <c r="D1107" s="26" t="str">
        <f t="shared" si="51"/>
        <v/>
      </c>
      <c r="E1107" s="26" t="str">
        <f t="shared" si="52"/>
        <v/>
      </c>
      <c r="F1107" s="28"/>
      <c r="G1107" s="28"/>
      <c r="H1107" s="29" t="str">
        <f t="shared" si="53"/>
        <v/>
      </c>
    </row>
    <row r="1108" spans="1:8">
      <c r="A1108" s="28"/>
      <c r="B1108" s="28"/>
      <c r="C1108" s="28"/>
      <c r="D1108" s="26" t="str">
        <f t="shared" si="51"/>
        <v/>
      </c>
      <c r="E1108" s="26" t="str">
        <f t="shared" si="52"/>
        <v/>
      </c>
      <c r="F1108" s="28"/>
      <c r="G1108" s="28"/>
      <c r="H1108" s="29" t="str">
        <f t="shared" si="53"/>
        <v/>
      </c>
    </row>
    <row r="1109" spans="1:8">
      <c r="A1109" s="28"/>
      <c r="B1109" s="28"/>
      <c r="C1109" s="28"/>
      <c r="D1109" s="26" t="str">
        <f t="shared" si="51"/>
        <v/>
      </c>
      <c r="E1109" s="26" t="str">
        <f t="shared" si="52"/>
        <v/>
      </c>
      <c r="F1109" s="28"/>
      <c r="G1109" s="28"/>
      <c r="H1109" s="29" t="str">
        <f t="shared" si="53"/>
        <v/>
      </c>
    </row>
    <row r="1110" spans="1:8">
      <c r="A1110" s="28"/>
      <c r="B1110" s="28"/>
      <c r="C1110" s="28"/>
      <c r="D1110" s="26" t="str">
        <f t="shared" si="51"/>
        <v/>
      </c>
      <c r="E1110" s="26" t="str">
        <f t="shared" si="52"/>
        <v/>
      </c>
      <c r="F1110" s="28"/>
      <c r="G1110" s="28"/>
      <c r="H1110" s="29" t="str">
        <f t="shared" si="53"/>
        <v/>
      </c>
    </row>
    <row r="1111" spans="1:8">
      <c r="A1111" s="28"/>
      <c r="B1111" s="28"/>
      <c r="C1111" s="28"/>
      <c r="D1111" s="26" t="str">
        <f t="shared" si="51"/>
        <v/>
      </c>
      <c r="E1111" s="26" t="str">
        <f t="shared" si="52"/>
        <v/>
      </c>
      <c r="F1111" s="28"/>
      <c r="G1111" s="28"/>
      <c r="H1111" s="29" t="str">
        <f t="shared" si="53"/>
        <v/>
      </c>
    </row>
    <row r="1112" spans="1:8">
      <c r="A1112" s="28"/>
      <c r="B1112" s="28"/>
      <c r="C1112" s="28"/>
      <c r="D1112" s="26" t="str">
        <f t="shared" si="51"/>
        <v/>
      </c>
      <c r="E1112" s="26" t="str">
        <f t="shared" si="52"/>
        <v/>
      </c>
      <c r="F1112" s="28"/>
      <c r="G1112" s="28"/>
      <c r="H1112" s="29" t="str">
        <f t="shared" si="53"/>
        <v/>
      </c>
    </row>
    <row r="1113" spans="1:8">
      <c r="A1113" s="28"/>
      <c r="B1113" s="28"/>
      <c r="C1113" s="28"/>
      <c r="D1113" s="26" t="str">
        <f t="shared" si="51"/>
        <v/>
      </c>
      <c r="E1113" s="26" t="str">
        <f t="shared" si="52"/>
        <v/>
      </c>
      <c r="F1113" s="28"/>
      <c r="G1113" s="28"/>
      <c r="H1113" s="29" t="str">
        <f t="shared" si="53"/>
        <v/>
      </c>
    </row>
    <row r="1114" spans="1:8">
      <c r="A1114" s="28"/>
      <c r="B1114" s="28"/>
      <c r="C1114" s="28"/>
      <c r="D1114" s="26" t="str">
        <f t="shared" si="51"/>
        <v/>
      </c>
      <c r="E1114" s="26" t="str">
        <f t="shared" si="52"/>
        <v/>
      </c>
      <c r="F1114" s="28"/>
      <c r="G1114" s="28"/>
      <c r="H1114" s="29" t="str">
        <f t="shared" si="53"/>
        <v/>
      </c>
    </row>
    <row r="1115" spans="1:8">
      <c r="A1115" s="28"/>
      <c r="B1115" s="28"/>
      <c r="C1115" s="28"/>
      <c r="D1115" s="26" t="str">
        <f t="shared" si="51"/>
        <v/>
      </c>
      <c r="E1115" s="26" t="str">
        <f t="shared" si="52"/>
        <v/>
      </c>
      <c r="F1115" s="28"/>
      <c r="G1115" s="28"/>
      <c r="H1115" s="29" t="str">
        <f t="shared" si="53"/>
        <v/>
      </c>
    </row>
    <row r="1116" spans="1:8">
      <c r="A1116" s="28"/>
      <c r="B1116" s="28"/>
      <c r="C1116" s="28"/>
      <c r="D1116" s="26" t="str">
        <f t="shared" si="51"/>
        <v/>
      </c>
      <c r="E1116" s="26" t="str">
        <f t="shared" si="52"/>
        <v/>
      </c>
      <c r="F1116" s="28"/>
      <c r="G1116" s="28"/>
      <c r="H1116" s="29" t="str">
        <f t="shared" si="53"/>
        <v/>
      </c>
    </row>
    <row r="1117" spans="1:8">
      <c r="A1117" s="28"/>
      <c r="B1117" s="28"/>
      <c r="C1117" s="28"/>
      <c r="D1117" s="26" t="str">
        <f t="shared" si="51"/>
        <v/>
      </c>
      <c r="E1117" s="26" t="str">
        <f t="shared" si="52"/>
        <v/>
      </c>
      <c r="F1117" s="28"/>
      <c r="G1117" s="28"/>
      <c r="H1117" s="29" t="str">
        <f t="shared" si="53"/>
        <v/>
      </c>
    </row>
    <row r="1118" spans="1:8">
      <c r="A1118" s="28"/>
      <c r="B1118" s="28"/>
      <c r="C1118" s="28"/>
      <c r="D1118" s="26" t="str">
        <f t="shared" si="51"/>
        <v/>
      </c>
      <c r="E1118" s="26" t="str">
        <f t="shared" si="52"/>
        <v/>
      </c>
      <c r="F1118" s="28"/>
      <c r="G1118" s="28"/>
      <c r="H1118" s="29" t="str">
        <f t="shared" si="53"/>
        <v/>
      </c>
    </row>
    <row r="1119" spans="1:8">
      <c r="A1119" s="28"/>
      <c r="B1119" s="28"/>
      <c r="C1119" s="28"/>
      <c r="D1119" s="26" t="str">
        <f t="shared" si="51"/>
        <v/>
      </c>
      <c r="E1119" s="26" t="str">
        <f t="shared" si="52"/>
        <v/>
      </c>
      <c r="F1119" s="28"/>
      <c r="G1119" s="28"/>
      <c r="H1119" s="29" t="str">
        <f t="shared" si="53"/>
        <v/>
      </c>
    </row>
    <row r="1120" spans="1:8">
      <c r="A1120" s="28"/>
      <c r="B1120" s="28"/>
      <c r="C1120" s="28"/>
      <c r="D1120" s="26" t="str">
        <f t="shared" si="51"/>
        <v/>
      </c>
      <c r="E1120" s="26" t="str">
        <f t="shared" si="52"/>
        <v/>
      </c>
      <c r="F1120" s="28"/>
      <c r="G1120" s="28"/>
      <c r="H1120" s="29" t="str">
        <f t="shared" si="53"/>
        <v/>
      </c>
    </row>
    <row r="1121" spans="1:8">
      <c r="A1121" s="28"/>
      <c r="B1121" s="28"/>
      <c r="C1121" s="28"/>
      <c r="D1121" s="26" t="str">
        <f t="shared" si="51"/>
        <v/>
      </c>
      <c r="E1121" s="26" t="str">
        <f t="shared" si="52"/>
        <v/>
      </c>
      <c r="F1121" s="28"/>
      <c r="G1121" s="28"/>
      <c r="H1121" s="29" t="str">
        <f t="shared" si="53"/>
        <v/>
      </c>
    </row>
    <row r="1122" spans="1:8">
      <c r="A1122" s="28"/>
      <c r="B1122" s="28"/>
      <c r="C1122" s="28"/>
      <c r="D1122" s="26" t="str">
        <f t="shared" si="51"/>
        <v/>
      </c>
      <c r="E1122" s="26" t="str">
        <f t="shared" si="52"/>
        <v/>
      </c>
      <c r="F1122" s="28"/>
      <c r="G1122" s="28"/>
      <c r="H1122" s="29" t="str">
        <f t="shared" si="53"/>
        <v/>
      </c>
    </row>
    <row r="1123" spans="1:8">
      <c r="A1123" s="28"/>
      <c r="B1123" s="28"/>
      <c r="C1123" s="28"/>
      <c r="D1123" s="26" t="str">
        <f t="shared" si="51"/>
        <v/>
      </c>
      <c r="E1123" s="26" t="str">
        <f t="shared" si="52"/>
        <v/>
      </c>
      <c r="F1123" s="28"/>
      <c r="G1123" s="28"/>
      <c r="H1123" s="29" t="str">
        <f t="shared" si="53"/>
        <v/>
      </c>
    </row>
    <row r="1124" spans="1:8">
      <c r="A1124" s="28"/>
      <c r="B1124" s="28"/>
      <c r="C1124" s="28"/>
      <c r="D1124" s="26" t="str">
        <f t="shared" si="51"/>
        <v/>
      </c>
      <c r="E1124" s="26" t="str">
        <f t="shared" si="52"/>
        <v/>
      </c>
      <c r="F1124" s="28"/>
      <c r="G1124" s="28"/>
      <c r="H1124" s="29" t="str">
        <f t="shared" si="53"/>
        <v/>
      </c>
    </row>
    <row r="1125" spans="1:8">
      <c r="A1125" s="28"/>
      <c r="B1125" s="28"/>
      <c r="C1125" s="28"/>
      <c r="D1125" s="26" t="str">
        <f t="shared" si="51"/>
        <v/>
      </c>
      <c r="E1125" s="26" t="str">
        <f t="shared" si="52"/>
        <v/>
      </c>
      <c r="F1125" s="28"/>
      <c r="G1125" s="28"/>
      <c r="H1125" s="29" t="str">
        <f t="shared" si="53"/>
        <v/>
      </c>
    </row>
    <row r="1126" spans="1:8">
      <c r="A1126" s="28"/>
      <c r="B1126" s="28"/>
      <c r="C1126" s="28"/>
      <c r="D1126" s="26" t="str">
        <f t="shared" si="51"/>
        <v/>
      </c>
      <c r="E1126" s="26" t="str">
        <f t="shared" si="52"/>
        <v/>
      </c>
      <c r="F1126" s="28"/>
      <c r="G1126" s="28"/>
      <c r="H1126" s="29" t="str">
        <f t="shared" si="53"/>
        <v/>
      </c>
    </row>
    <row r="1127" spans="1:8">
      <c r="A1127" s="28"/>
      <c r="B1127" s="28"/>
      <c r="C1127" s="28"/>
      <c r="D1127" s="26" t="str">
        <f t="shared" si="51"/>
        <v/>
      </c>
      <c r="E1127" s="26" t="str">
        <f t="shared" si="52"/>
        <v/>
      </c>
      <c r="F1127" s="28"/>
      <c r="G1127" s="28"/>
      <c r="H1127" s="29" t="str">
        <f t="shared" si="53"/>
        <v/>
      </c>
    </row>
    <row r="1128" spans="1:8">
      <c r="A1128" s="28"/>
      <c r="B1128" s="28"/>
      <c r="C1128" s="28"/>
      <c r="D1128" s="26" t="str">
        <f t="shared" si="51"/>
        <v/>
      </c>
      <c r="E1128" s="26" t="str">
        <f t="shared" si="52"/>
        <v/>
      </c>
      <c r="F1128" s="28"/>
      <c r="G1128" s="28"/>
      <c r="H1128" s="29" t="str">
        <f t="shared" si="53"/>
        <v/>
      </c>
    </row>
    <row r="1129" spans="1:8">
      <c r="A1129" s="28"/>
      <c r="B1129" s="28"/>
      <c r="C1129" s="28"/>
      <c r="D1129" s="26" t="str">
        <f t="shared" si="51"/>
        <v/>
      </c>
      <c r="E1129" s="26" t="str">
        <f t="shared" si="52"/>
        <v/>
      </c>
      <c r="F1129" s="28"/>
      <c r="G1129" s="28"/>
      <c r="H1129" s="29" t="str">
        <f t="shared" si="53"/>
        <v/>
      </c>
    </row>
    <row r="1130" spans="1:8">
      <c r="A1130" s="28"/>
      <c r="B1130" s="28"/>
      <c r="C1130" s="28"/>
      <c r="D1130" s="26" t="str">
        <f t="shared" si="51"/>
        <v/>
      </c>
      <c r="E1130" s="26" t="str">
        <f t="shared" si="52"/>
        <v/>
      </c>
      <c r="F1130" s="28"/>
      <c r="G1130" s="28"/>
      <c r="H1130" s="29" t="str">
        <f t="shared" si="53"/>
        <v/>
      </c>
    </row>
    <row r="1131" spans="1:8">
      <c r="A1131" s="28"/>
      <c r="B1131" s="28"/>
      <c r="C1131" s="28"/>
      <c r="D1131" s="26" t="str">
        <f t="shared" si="51"/>
        <v/>
      </c>
      <c r="E1131" s="26" t="str">
        <f t="shared" si="52"/>
        <v/>
      </c>
      <c r="F1131" s="28"/>
      <c r="G1131" s="28"/>
      <c r="H1131" s="29" t="str">
        <f t="shared" si="53"/>
        <v/>
      </c>
    </row>
    <row r="1132" spans="1:8">
      <c r="A1132" s="28"/>
      <c r="B1132" s="28"/>
      <c r="C1132" s="28"/>
      <c r="D1132" s="26" t="str">
        <f t="shared" si="51"/>
        <v/>
      </c>
      <c r="E1132" s="26" t="str">
        <f t="shared" si="52"/>
        <v/>
      </c>
      <c r="F1132" s="28"/>
      <c r="G1132" s="28"/>
      <c r="H1132" s="29" t="str">
        <f t="shared" si="53"/>
        <v/>
      </c>
    </row>
    <row r="1133" spans="1:8">
      <c r="A1133" s="28"/>
      <c r="B1133" s="28"/>
      <c r="C1133" s="28"/>
      <c r="D1133" s="26" t="str">
        <f t="shared" si="51"/>
        <v/>
      </c>
      <c r="E1133" s="26" t="str">
        <f t="shared" si="52"/>
        <v/>
      </c>
      <c r="F1133" s="28"/>
      <c r="G1133" s="28"/>
      <c r="H1133" s="29" t="str">
        <f t="shared" si="53"/>
        <v/>
      </c>
    </row>
    <row r="1134" spans="1:8">
      <c r="A1134" s="28"/>
      <c r="B1134" s="28"/>
      <c r="C1134" s="28"/>
      <c r="D1134" s="26" t="str">
        <f t="shared" si="51"/>
        <v/>
      </c>
      <c r="E1134" s="26" t="str">
        <f t="shared" si="52"/>
        <v/>
      </c>
      <c r="F1134" s="28"/>
      <c r="G1134" s="28"/>
      <c r="H1134" s="29" t="str">
        <f t="shared" si="53"/>
        <v/>
      </c>
    </row>
    <row r="1135" spans="1:8">
      <c r="A1135" s="28"/>
      <c r="B1135" s="28"/>
      <c r="C1135" s="28"/>
      <c r="D1135" s="26" t="str">
        <f t="shared" si="51"/>
        <v/>
      </c>
      <c r="E1135" s="26" t="str">
        <f t="shared" si="52"/>
        <v/>
      </c>
      <c r="F1135" s="28"/>
      <c r="G1135" s="28"/>
      <c r="H1135" s="29" t="str">
        <f t="shared" si="53"/>
        <v/>
      </c>
    </row>
    <row r="1136" spans="1:8">
      <c r="A1136" s="28"/>
      <c r="B1136" s="28"/>
      <c r="C1136" s="28"/>
      <c r="D1136" s="26" t="str">
        <f t="shared" si="51"/>
        <v/>
      </c>
      <c r="E1136" s="26" t="str">
        <f t="shared" si="52"/>
        <v/>
      </c>
      <c r="F1136" s="28"/>
      <c r="G1136" s="28"/>
      <c r="H1136" s="29" t="str">
        <f t="shared" si="53"/>
        <v/>
      </c>
    </row>
    <row r="1137" spans="1:8">
      <c r="A1137" s="28"/>
      <c r="B1137" s="28"/>
      <c r="C1137" s="28"/>
      <c r="D1137" s="26" t="str">
        <f t="shared" si="51"/>
        <v/>
      </c>
      <c r="E1137" s="26" t="str">
        <f t="shared" si="52"/>
        <v/>
      </c>
      <c r="F1137" s="28"/>
      <c r="G1137" s="28"/>
      <c r="H1137" s="29" t="str">
        <f t="shared" si="53"/>
        <v/>
      </c>
    </row>
    <row r="1138" spans="1:8">
      <c r="A1138" s="28"/>
      <c r="B1138" s="28"/>
      <c r="C1138" s="28"/>
      <c r="D1138" s="26" t="str">
        <f t="shared" si="51"/>
        <v/>
      </c>
      <c r="E1138" s="26" t="str">
        <f t="shared" si="52"/>
        <v/>
      </c>
      <c r="F1138" s="28"/>
      <c r="G1138" s="28"/>
      <c r="H1138" s="29" t="str">
        <f t="shared" si="53"/>
        <v/>
      </c>
    </row>
    <row r="1139" spans="1:8">
      <c r="A1139" s="28"/>
      <c r="B1139" s="28"/>
      <c r="C1139" s="28"/>
      <c r="D1139" s="26" t="str">
        <f t="shared" si="51"/>
        <v/>
      </c>
      <c r="E1139" s="26" t="str">
        <f t="shared" si="52"/>
        <v/>
      </c>
      <c r="F1139" s="28"/>
      <c r="G1139" s="28"/>
      <c r="H1139" s="29" t="str">
        <f t="shared" si="53"/>
        <v/>
      </c>
    </row>
    <row r="1140" spans="1:8">
      <c r="A1140" s="28"/>
      <c r="B1140" s="28"/>
      <c r="C1140" s="28"/>
      <c r="D1140" s="26" t="str">
        <f t="shared" si="51"/>
        <v/>
      </c>
      <c r="E1140" s="26" t="str">
        <f t="shared" si="52"/>
        <v/>
      </c>
      <c r="F1140" s="28"/>
      <c r="G1140" s="28"/>
      <c r="H1140" s="29" t="str">
        <f t="shared" si="53"/>
        <v/>
      </c>
    </row>
    <row r="1141" spans="1:8">
      <c r="A1141" s="28"/>
      <c r="B1141" s="28"/>
      <c r="C1141" s="28"/>
      <c r="D1141" s="26" t="str">
        <f t="shared" si="51"/>
        <v/>
      </c>
      <c r="E1141" s="26" t="str">
        <f t="shared" si="52"/>
        <v/>
      </c>
      <c r="F1141" s="28"/>
      <c r="G1141" s="28"/>
      <c r="H1141" s="29" t="str">
        <f t="shared" si="53"/>
        <v/>
      </c>
    </row>
    <row r="1142" spans="1:8">
      <c r="A1142" s="28"/>
      <c r="B1142" s="28"/>
      <c r="C1142" s="28"/>
      <c r="D1142" s="26" t="str">
        <f t="shared" si="51"/>
        <v/>
      </c>
      <c r="E1142" s="26" t="str">
        <f t="shared" si="52"/>
        <v/>
      </c>
      <c r="F1142" s="28"/>
      <c r="G1142" s="28"/>
      <c r="H1142" s="29" t="str">
        <f t="shared" si="53"/>
        <v/>
      </c>
    </row>
    <row r="1143" spans="1:8">
      <c r="A1143" s="28"/>
      <c r="B1143" s="28"/>
      <c r="C1143" s="28"/>
      <c r="D1143" s="26" t="str">
        <f t="shared" si="51"/>
        <v/>
      </c>
      <c r="E1143" s="26" t="str">
        <f t="shared" si="52"/>
        <v/>
      </c>
      <c r="F1143" s="28"/>
      <c r="G1143" s="28"/>
      <c r="H1143" s="29" t="str">
        <f t="shared" si="53"/>
        <v/>
      </c>
    </row>
    <row r="1144" spans="1:8">
      <c r="A1144" s="28"/>
      <c r="B1144" s="28"/>
      <c r="C1144" s="28"/>
      <c r="D1144" s="26" t="str">
        <f t="shared" si="51"/>
        <v/>
      </c>
      <c r="E1144" s="26" t="str">
        <f t="shared" si="52"/>
        <v/>
      </c>
      <c r="F1144" s="28"/>
      <c r="G1144" s="28"/>
      <c r="H1144" s="29" t="str">
        <f t="shared" si="53"/>
        <v/>
      </c>
    </row>
    <row r="1145" spans="1:8">
      <c r="A1145" s="28"/>
      <c r="B1145" s="28"/>
      <c r="C1145" s="28"/>
      <c r="D1145" s="26" t="str">
        <f t="shared" si="51"/>
        <v/>
      </c>
      <c r="E1145" s="26" t="str">
        <f t="shared" si="52"/>
        <v/>
      </c>
      <c r="F1145" s="28"/>
      <c r="G1145" s="28"/>
      <c r="H1145" s="29" t="str">
        <f t="shared" si="53"/>
        <v/>
      </c>
    </row>
    <row r="1146" spans="1:8">
      <c r="A1146" s="28"/>
      <c r="B1146" s="28"/>
      <c r="C1146" s="28"/>
      <c r="D1146" s="26" t="str">
        <f t="shared" si="51"/>
        <v/>
      </c>
      <c r="E1146" s="26" t="str">
        <f t="shared" si="52"/>
        <v/>
      </c>
      <c r="F1146" s="28"/>
      <c r="G1146" s="28"/>
      <c r="H1146" s="29" t="str">
        <f t="shared" si="53"/>
        <v/>
      </c>
    </row>
    <row r="1147" spans="1:8">
      <c r="A1147" s="28"/>
      <c r="B1147" s="28"/>
      <c r="C1147" s="28"/>
      <c r="D1147" s="26" t="str">
        <f t="shared" si="51"/>
        <v/>
      </c>
      <c r="E1147" s="26" t="str">
        <f t="shared" si="52"/>
        <v/>
      </c>
      <c r="F1147" s="28"/>
      <c r="G1147" s="28"/>
      <c r="H1147" s="29" t="str">
        <f t="shared" si="53"/>
        <v/>
      </c>
    </row>
    <row r="1148" spans="1:8">
      <c r="A1148" s="28"/>
      <c r="B1148" s="28"/>
      <c r="C1148" s="28"/>
      <c r="D1148" s="26" t="str">
        <f t="shared" si="51"/>
        <v/>
      </c>
      <c r="E1148" s="26" t="str">
        <f t="shared" si="52"/>
        <v/>
      </c>
      <c r="F1148" s="28"/>
      <c r="G1148" s="28"/>
      <c r="H1148" s="29" t="str">
        <f t="shared" si="53"/>
        <v/>
      </c>
    </row>
    <row r="1149" spans="1:8">
      <c r="A1149" s="28"/>
      <c r="B1149" s="28"/>
      <c r="C1149" s="28"/>
      <c r="D1149" s="26" t="str">
        <f t="shared" si="51"/>
        <v/>
      </c>
      <c r="E1149" s="26" t="str">
        <f t="shared" si="52"/>
        <v/>
      </c>
      <c r="F1149" s="28"/>
      <c r="G1149" s="28"/>
      <c r="H1149" s="29" t="str">
        <f t="shared" si="53"/>
        <v/>
      </c>
    </row>
    <row r="1150" spans="1:8">
      <c r="A1150" s="28"/>
      <c r="B1150" s="28"/>
      <c r="C1150" s="28"/>
      <c r="D1150" s="26" t="str">
        <f t="shared" si="51"/>
        <v/>
      </c>
      <c r="E1150" s="26" t="str">
        <f t="shared" si="52"/>
        <v/>
      </c>
      <c r="F1150" s="28"/>
      <c r="G1150" s="28"/>
      <c r="H1150" s="29" t="str">
        <f t="shared" si="53"/>
        <v/>
      </c>
    </row>
    <row r="1151" spans="1:8">
      <c r="A1151" s="28"/>
      <c r="B1151" s="28"/>
      <c r="C1151" s="28"/>
      <c r="D1151" s="26" t="str">
        <f t="shared" si="51"/>
        <v/>
      </c>
      <c r="E1151" s="26" t="str">
        <f t="shared" si="52"/>
        <v/>
      </c>
      <c r="F1151" s="28"/>
      <c r="G1151" s="28"/>
      <c r="H1151" s="29" t="str">
        <f t="shared" si="53"/>
        <v/>
      </c>
    </row>
    <row r="1152" spans="1:8">
      <c r="A1152" s="28"/>
      <c r="B1152" s="28"/>
      <c r="C1152" s="28"/>
      <c r="D1152" s="26" t="str">
        <f t="shared" si="51"/>
        <v/>
      </c>
      <c r="E1152" s="26" t="str">
        <f t="shared" si="52"/>
        <v/>
      </c>
      <c r="F1152" s="28"/>
      <c r="G1152" s="28"/>
      <c r="H1152" s="29" t="str">
        <f t="shared" si="53"/>
        <v/>
      </c>
    </row>
    <row r="1153" spans="1:8">
      <c r="A1153" s="28"/>
      <c r="B1153" s="28"/>
      <c r="C1153" s="28"/>
      <c r="D1153" s="26" t="str">
        <f t="shared" si="51"/>
        <v/>
      </c>
      <c r="E1153" s="26" t="str">
        <f t="shared" si="52"/>
        <v/>
      </c>
      <c r="F1153" s="28"/>
      <c r="G1153" s="28"/>
      <c r="H1153" s="29" t="str">
        <f t="shared" si="53"/>
        <v/>
      </c>
    </row>
    <row r="1154" spans="1:8">
      <c r="A1154" s="28"/>
      <c r="B1154" s="28"/>
      <c r="C1154" s="28"/>
      <c r="D1154" s="26" t="str">
        <f t="shared" ref="D1154:D1217" si="54">IF(OR(B1154="",C1154=""),"",C1154-B1154)</f>
        <v/>
      </c>
      <c r="E1154" s="26" t="str">
        <f t="shared" ref="E1154:E1217" si="55">IF(OR(B1154="",C1154=""),"",(B1154+C1154)/2)</f>
        <v/>
      </c>
      <c r="F1154" s="28"/>
      <c r="G1154" s="28"/>
      <c r="H1154" s="29" t="str">
        <f t="shared" ref="H1154:H1217" si="56">IF(OR(F1154="",G1154=""),"",G1154-F1154)</f>
        <v/>
      </c>
    </row>
    <row r="1155" spans="1:8">
      <c r="A1155" s="28"/>
      <c r="B1155" s="28"/>
      <c r="C1155" s="28"/>
      <c r="D1155" s="26" t="str">
        <f t="shared" si="54"/>
        <v/>
      </c>
      <c r="E1155" s="26" t="str">
        <f t="shared" si="55"/>
        <v/>
      </c>
      <c r="F1155" s="28"/>
      <c r="G1155" s="28"/>
      <c r="H1155" s="29" t="str">
        <f t="shared" si="56"/>
        <v/>
      </c>
    </row>
    <row r="1156" spans="1:8">
      <c r="A1156" s="28"/>
      <c r="B1156" s="28"/>
      <c r="C1156" s="28"/>
      <c r="D1156" s="26" t="str">
        <f t="shared" si="54"/>
        <v/>
      </c>
      <c r="E1156" s="26" t="str">
        <f t="shared" si="55"/>
        <v/>
      </c>
      <c r="F1156" s="28"/>
      <c r="G1156" s="28"/>
      <c r="H1156" s="29" t="str">
        <f t="shared" si="56"/>
        <v/>
      </c>
    </row>
    <row r="1157" spans="1:8">
      <c r="A1157" s="28"/>
      <c r="B1157" s="28"/>
      <c r="C1157" s="28"/>
      <c r="D1157" s="26" t="str">
        <f t="shared" si="54"/>
        <v/>
      </c>
      <c r="E1157" s="26" t="str">
        <f t="shared" si="55"/>
        <v/>
      </c>
      <c r="F1157" s="28"/>
      <c r="G1157" s="28"/>
      <c r="H1157" s="29" t="str">
        <f t="shared" si="56"/>
        <v/>
      </c>
    </row>
    <row r="1158" spans="1:8">
      <c r="A1158" s="28"/>
      <c r="B1158" s="28"/>
      <c r="C1158" s="28"/>
      <c r="D1158" s="26" t="str">
        <f t="shared" si="54"/>
        <v/>
      </c>
      <c r="E1158" s="26" t="str">
        <f t="shared" si="55"/>
        <v/>
      </c>
      <c r="F1158" s="28"/>
      <c r="G1158" s="28"/>
      <c r="H1158" s="29" t="str">
        <f t="shared" si="56"/>
        <v/>
      </c>
    </row>
    <row r="1159" spans="1:8">
      <c r="A1159" s="28"/>
      <c r="B1159" s="28"/>
      <c r="C1159" s="28"/>
      <c r="D1159" s="26" t="str">
        <f t="shared" si="54"/>
        <v/>
      </c>
      <c r="E1159" s="26" t="str">
        <f t="shared" si="55"/>
        <v/>
      </c>
      <c r="F1159" s="28"/>
      <c r="G1159" s="28"/>
      <c r="H1159" s="29" t="str">
        <f t="shared" si="56"/>
        <v/>
      </c>
    </row>
    <row r="1160" spans="1:8">
      <c r="A1160" s="28"/>
      <c r="B1160" s="28"/>
      <c r="C1160" s="28"/>
      <c r="D1160" s="26" t="str">
        <f t="shared" si="54"/>
        <v/>
      </c>
      <c r="E1160" s="26" t="str">
        <f t="shared" si="55"/>
        <v/>
      </c>
      <c r="F1160" s="28"/>
      <c r="G1160" s="28"/>
      <c r="H1160" s="29" t="str">
        <f t="shared" si="56"/>
        <v/>
      </c>
    </row>
    <row r="1161" spans="1:8">
      <c r="A1161" s="28"/>
      <c r="B1161" s="28"/>
      <c r="C1161" s="28"/>
      <c r="D1161" s="26" t="str">
        <f t="shared" si="54"/>
        <v/>
      </c>
      <c r="E1161" s="26" t="str">
        <f t="shared" si="55"/>
        <v/>
      </c>
      <c r="F1161" s="28"/>
      <c r="G1161" s="28"/>
      <c r="H1161" s="29" t="str">
        <f t="shared" si="56"/>
        <v/>
      </c>
    </row>
    <row r="1162" spans="1:8">
      <c r="A1162" s="28"/>
      <c r="B1162" s="28"/>
      <c r="C1162" s="28"/>
      <c r="D1162" s="26" t="str">
        <f t="shared" si="54"/>
        <v/>
      </c>
      <c r="E1162" s="26" t="str">
        <f t="shared" si="55"/>
        <v/>
      </c>
      <c r="F1162" s="28"/>
      <c r="G1162" s="28"/>
      <c r="H1162" s="29" t="str">
        <f t="shared" si="56"/>
        <v/>
      </c>
    </row>
    <row r="1163" spans="1:8">
      <c r="A1163" s="28"/>
      <c r="B1163" s="28"/>
      <c r="C1163" s="28"/>
      <c r="D1163" s="26" t="str">
        <f t="shared" si="54"/>
        <v/>
      </c>
      <c r="E1163" s="26" t="str">
        <f t="shared" si="55"/>
        <v/>
      </c>
      <c r="F1163" s="28"/>
      <c r="G1163" s="28"/>
      <c r="H1163" s="29" t="str">
        <f t="shared" si="56"/>
        <v/>
      </c>
    </row>
    <row r="1164" spans="1:8">
      <c r="A1164" s="28"/>
      <c r="B1164" s="28"/>
      <c r="C1164" s="28"/>
      <c r="D1164" s="26" t="str">
        <f t="shared" si="54"/>
        <v/>
      </c>
      <c r="E1164" s="26" t="str">
        <f t="shared" si="55"/>
        <v/>
      </c>
      <c r="F1164" s="28"/>
      <c r="G1164" s="28"/>
      <c r="H1164" s="29" t="str">
        <f t="shared" si="56"/>
        <v/>
      </c>
    </row>
    <row r="1165" spans="1:8">
      <c r="A1165" s="28"/>
      <c r="B1165" s="28"/>
      <c r="C1165" s="28"/>
      <c r="D1165" s="26" t="str">
        <f t="shared" si="54"/>
        <v/>
      </c>
      <c r="E1165" s="26" t="str">
        <f t="shared" si="55"/>
        <v/>
      </c>
      <c r="F1165" s="28"/>
      <c r="G1165" s="28"/>
      <c r="H1165" s="29" t="str">
        <f t="shared" si="56"/>
        <v/>
      </c>
    </row>
    <row r="1166" spans="1:8">
      <c r="A1166" s="28"/>
      <c r="B1166" s="28"/>
      <c r="C1166" s="28"/>
      <c r="D1166" s="26" t="str">
        <f t="shared" si="54"/>
        <v/>
      </c>
      <c r="E1166" s="26" t="str">
        <f t="shared" si="55"/>
        <v/>
      </c>
      <c r="F1166" s="28"/>
      <c r="G1166" s="28"/>
      <c r="H1166" s="29" t="str">
        <f t="shared" si="56"/>
        <v/>
      </c>
    </row>
    <row r="1167" spans="1:8">
      <c r="A1167" s="28"/>
      <c r="B1167" s="28"/>
      <c r="C1167" s="28"/>
      <c r="D1167" s="26" t="str">
        <f t="shared" si="54"/>
        <v/>
      </c>
      <c r="E1167" s="26" t="str">
        <f t="shared" si="55"/>
        <v/>
      </c>
      <c r="F1167" s="28"/>
      <c r="G1167" s="28"/>
      <c r="H1167" s="29" t="str">
        <f t="shared" si="56"/>
        <v/>
      </c>
    </row>
    <row r="1168" spans="1:8">
      <c r="A1168" s="28"/>
      <c r="B1168" s="28"/>
      <c r="C1168" s="28"/>
      <c r="D1168" s="26" t="str">
        <f t="shared" si="54"/>
        <v/>
      </c>
      <c r="E1168" s="26" t="str">
        <f t="shared" si="55"/>
        <v/>
      </c>
      <c r="F1168" s="28"/>
      <c r="G1168" s="28"/>
      <c r="H1168" s="29" t="str">
        <f t="shared" si="56"/>
        <v/>
      </c>
    </row>
    <row r="1169" spans="1:8">
      <c r="A1169" s="28"/>
      <c r="B1169" s="28"/>
      <c r="C1169" s="28"/>
      <c r="D1169" s="26" t="str">
        <f t="shared" si="54"/>
        <v/>
      </c>
      <c r="E1169" s="26" t="str">
        <f t="shared" si="55"/>
        <v/>
      </c>
      <c r="F1169" s="28"/>
      <c r="G1169" s="28"/>
      <c r="H1169" s="29" t="str">
        <f t="shared" si="56"/>
        <v/>
      </c>
    </row>
    <row r="1170" spans="1:8">
      <c r="A1170" s="28"/>
      <c r="B1170" s="28"/>
      <c r="C1170" s="28"/>
      <c r="D1170" s="26" t="str">
        <f t="shared" si="54"/>
        <v/>
      </c>
      <c r="E1170" s="26" t="str">
        <f t="shared" si="55"/>
        <v/>
      </c>
      <c r="F1170" s="28"/>
      <c r="G1170" s="28"/>
      <c r="H1170" s="29" t="str">
        <f t="shared" si="56"/>
        <v/>
      </c>
    </row>
    <row r="1171" spans="1:8">
      <c r="A1171" s="28"/>
      <c r="B1171" s="28"/>
      <c r="C1171" s="28"/>
      <c r="D1171" s="26" t="str">
        <f t="shared" si="54"/>
        <v/>
      </c>
      <c r="E1171" s="26" t="str">
        <f t="shared" si="55"/>
        <v/>
      </c>
      <c r="F1171" s="28"/>
      <c r="G1171" s="28"/>
      <c r="H1171" s="29" t="str">
        <f t="shared" si="56"/>
        <v/>
      </c>
    </row>
    <row r="1172" spans="1:8">
      <c r="A1172" s="28"/>
      <c r="B1172" s="28"/>
      <c r="C1172" s="28"/>
      <c r="D1172" s="26" t="str">
        <f t="shared" si="54"/>
        <v/>
      </c>
      <c r="E1172" s="26" t="str">
        <f t="shared" si="55"/>
        <v/>
      </c>
      <c r="F1172" s="28"/>
      <c r="G1172" s="28"/>
      <c r="H1172" s="29" t="str">
        <f t="shared" si="56"/>
        <v/>
      </c>
    </row>
    <row r="1173" spans="1:8">
      <c r="A1173" s="28"/>
      <c r="B1173" s="28"/>
      <c r="C1173" s="28"/>
      <c r="D1173" s="26" t="str">
        <f t="shared" si="54"/>
        <v/>
      </c>
      <c r="E1173" s="26" t="str">
        <f t="shared" si="55"/>
        <v/>
      </c>
      <c r="F1173" s="28"/>
      <c r="G1173" s="28"/>
      <c r="H1173" s="29" t="str">
        <f t="shared" si="56"/>
        <v/>
      </c>
    </row>
    <row r="1174" spans="1:8">
      <c r="A1174" s="28"/>
      <c r="B1174" s="28"/>
      <c r="C1174" s="28"/>
      <c r="D1174" s="26" t="str">
        <f t="shared" si="54"/>
        <v/>
      </c>
      <c r="E1174" s="26" t="str">
        <f t="shared" si="55"/>
        <v/>
      </c>
      <c r="F1174" s="28"/>
      <c r="G1174" s="28"/>
      <c r="H1174" s="29" t="str">
        <f t="shared" si="56"/>
        <v/>
      </c>
    </row>
    <row r="1175" spans="1:8">
      <c r="A1175" s="28"/>
      <c r="B1175" s="28"/>
      <c r="C1175" s="28"/>
      <c r="D1175" s="26" t="str">
        <f t="shared" si="54"/>
        <v/>
      </c>
      <c r="E1175" s="26" t="str">
        <f t="shared" si="55"/>
        <v/>
      </c>
      <c r="F1175" s="28"/>
      <c r="G1175" s="28"/>
      <c r="H1175" s="29" t="str">
        <f t="shared" si="56"/>
        <v/>
      </c>
    </row>
    <row r="1176" spans="1:8">
      <c r="A1176" s="28"/>
      <c r="B1176" s="28"/>
      <c r="C1176" s="28"/>
      <c r="D1176" s="26" t="str">
        <f t="shared" si="54"/>
        <v/>
      </c>
      <c r="E1176" s="26" t="str">
        <f t="shared" si="55"/>
        <v/>
      </c>
      <c r="F1176" s="28"/>
      <c r="G1176" s="28"/>
      <c r="H1176" s="29" t="str">
        <f t="shared" si="56"/>
        <v/>
      </c>
    </row>
    <row r="1177" spans="1:8">
      <c r="A1177" s="28"/>
      <c r="B1177" s="28"/>
      <c r="C1177" s="28"/>
      <c r="D1177" s="26" t="str">
        <f t="shared" si="54"/>
        <v/>
      </c>
      <c r="E1177" s="26" t="str">
        <f t="shared" si="55"/>
        <v/>
      </c>
      <c r="F1177" s="28"/>
      <c r="G1177" s="28"/>
      <c r="H1177" s="29" t="str">
        <f t="shared" si="56"/>
        <v/>
      </c>
    </row>
    <row r="1178" spans="1:8">
      <c r="A1178" s="28"/>
      <c r="B1178" s="28"/>
      <c r="C1178" s="28"/>
      <c r="D1178" s="26" t="str">
        <f t="shared" si="54"/>
        <v/>
      </c>
      <c r="E1178" s="26" t="str">
        <f t="shared" si="55"/>
        <v/>
      </c>
      <c r="F1178" s="28"/>
      <c r="G1178" s="28"/>
      <c r="H1178" s="29" t="str">
        <f t="shared" si="56"/>
        <v/>
      </c>
    </row>
    <row r="1179" spans="1:8">
      <c r="A1179" s="28"/>
      <c r="B1179" s="28"/>
      <c r="C1179" s="28"/>
      <c r="D1179" s="26" t="str">
        <f t="shared" si="54"/>
        <v/>
      </c>
      <c r="E1179" s="26" t="str">
        <f t="shared" si="55"/>
        <v/>
      </c>
      <c r="F1179" s="28"/>
      <c r="G1179" s="28"/>
      <c r="H1179" s="29" t="str">
        <f t="shared" si="56"/>
        <v/>
      </c>
    </row>
    <row r="1180" spans="1:8">
      <c r="A1180" s="28"/>
      <c r="B1180" s="28"/>
      <c r="C1180" s="28"/>
      <c r="D1180" s="26" t="str">
        <f t="shared" si="54"/>
        <v/>
      </c>
      <c r="E1180" s="26" t="str">
        <f t="shared" si="55"/>
        <v/>
      </c>
      <c r="F1180" s="28"/>
      <c r="G1180" s="28"/>
      <c r="H1180" s="29" t="str">
        <f t="shared" si="56"/>
        <v/>
      </c>
    </row>
    <row r="1181" spans="1:8">
      <c r="A1181" s="28"/>
      <c r="B1181" s="28"/>
      <c r="C1181" s="28"/>
      <c r="D1181" s="26" t="str">
        <f t="shared" si="54"/>
        <v/>
      </c>
      <c r="E1181" s="26" t="str">
        <f t="shared" si="55"/>
        <v/>
      </c>
      <c r="F1181" s="28"/>
      <c r="G1181" s="28"/>
      <c r="H1181" s="29" t="str">
        <f t="shared" si="56"/>
        <v/>
      </c>
    </row>
    <row r="1182" spans="1:8">
      <c r="A1182" s="28"/>
      <c r="B1182" s="28"/>
      <c r="C1182" s="28"/>
      <c r="D1182" s="26" t="str">
        <f t="shared" si="54"/>
        <v/>
      </c>
      <c r="E1182" s="26" t="str">
        <f t="shared" si="55"/>
        <v/>
      </c>
      <c r="F1182" s="28"/>
      <c r="G1182" s="28"/>
      <c r="H1182" s="29" t="str">
        <f t="shared" si="56"/>
        <v/>
      </c>
    </row>
    <row r="1183" spans="1:8">
      <c r="A1183" s="28"/>
      <c r="B1183" s="28"/>
      <c r="C1183" s="28"/>
      <c r="D1183" s="26" t="str">
        <f t="shared" si="54"/>
        <v/>
      </c>
      <c r="E1183" s="26" t="str">
        <f t="shared" si="55"/>
        <v/>
      </c>
      <c r="F1183" s="28"/>
      <c r="G1183" s="28"/>
      <c r="H1183" s="29" t="str">
        <f t="shared" si="56"/>
        <v/>
      </c>
    </row>
    <row r="1184" spans="1:8">
      <c r="A1184" s="28"/>
      <c r="B1184" s="28"/>
      <c r="C1184" s="28"/>
      <c r="D1184" s="26" t="str">
        <f t="shared" si="54"/>
        <v/>
      </c>
      <c r="E1184" s="26" t="str">
        <f t="shared" si="55"/>
        <v/>
      </c>
      <c r="F1184" s="28"/>
      <c r="G1184" s="28"/>
      <c r="H1184" s="29" t="str">
        <f t="shared" si="56"/>
        <v/>
      </c>
    </row>
    <row r="1185" spans="1:8">
      <c r="A1185" s="28"/>
      <c r="B1185" s="28"/>
      <c r="C1185" s="28"/>
      <c r="D1185" s="26" t="str">
        <f t="shared" si="54"/>
        <v/>
      </c>
      <c r="E1185" s="26" t="str">
        <f t="shared" si="55"/>
        <v/>
      </c>
      <c r="F1185" s="28"/>
      <c r="G1185" s="28"/>
      <c r="H1185" s="29" t="str">
        <f t="shared" si="56"/>
        <v/>
      </c>
    </row>
    <row r="1186" spans="1:8">
      <c r="A1186" s="28"/>
      <c r="B1186" s="28"/>
      <c r="C1186" s="28"/>
      <c r="D1186" s="26" t="str">
        <f t="shared" si="54"/>
        <v/>
      </c>
      <c r="E1186" s="26" t="str">
        <f t="shared" si="55"/>
        <v/>
      </c>
      <c r="F1186" s="28"/>
      <c r="G1186" s="28"/>
      <c r="H1186" s="29" t="str">
        <f t="shared" si="56"/>
        <v/>
      </c>
    </row>
    <row r="1187" spans="1:8">
      <c r="A1187" s="28"/>
      <c r="B1187" s="28"/>
      <c r="C1187" s="28"/>
      <c r="D1187" s="26" t="str">
        <f t="shared" si="54"/>
        <v/>
      </c>
      <c r="E1187" s="26" t="str">
        <f t="shared" si="55"/>
        <v/>
      </c>
      <c r="F1187" s="28"/>
      <c r="G1187" s="28"/>
      <c r="H1187" s="29" t="str">
        <f t="shared" si="56"/>
        <v/>
      </c>
    </row>
    <row r="1188" spans="1:8">
      <c r="A1188" s="28"/>
      <c r="B1188" s="28"/>
      <c r="C1188" s="28"/>
      <c r="D1188" s="26" t="str">
        <f t="shared" si="54"/>
        <v/>
      </c>
      <c r="E1188" s="26" t="str">
        <f t="shared" si="55"/>
        <v/>
      </c>
      <c r="F1188" s="28"/>
      <c r="G1188" s="28"/>
      <c r="H1188" s="29" t="str">
        <f t="shared" si="56"/>
        <v/>
      </c>
    </row>
    <row r="1189" spans="1:8">
      <c r="A1189" s="28"/>
      <c r="B1189" s="28"/>
      <c r="C1189" s="28"/>
      <c r="D1189" s="26" t="str">
        <f t="shared" si="54"/>
        <v/>
      </c>
      <c r="E1189" s="26" t="str">
        <f t="shared" si="55"/>
        <v/>
      </c>
      <c r="F1189" s="28"/>
      <c r="G1189" s="28"/>
      <c r="H1189" s="29" t="str">
        <f t="shared" si="56"/>
        <v/>
      </c>
    </row>
    <row r="1190" spans="1:8">
      <c r="A1190" s="28"/>
      <c r="B1190" s="28"/>
      <c r="C1190" s="28"/>
      <c r="D1190" s="26" t="str">
        <f t="shared" si="54"/>
        <v/>
      </c>
      <c r="E1190" s="26" t="str">
        <f t="shared" si="55"/>
        <v/>
      </c>
      <c r="F1190" s="28"/>
      <c r="G1190" s="28"/>
      <c r="H1190" s="29" t="str">
        <f t="shared" si="56"/>
        <v/>
      </c>
    </row>
    <row r="1191" spans="1:8">
      <c r="A1191" s="28"/>
      <c r="B1191" s="28"/>
      <c r="C1191" s="28"/>
      <c r="D1191" s="26" t="str">
        <f t="shared" si="54"/>
        <v/>
      </c>
      <c r="E1191" s="26" t="str">
        <f t="shared" si="55"/>
        <v/>
      </c>
      <c r="F1191" s="28"/>
      <c r="G1191" s="28"/>
      <c r="H1191" s="29" t="str">
        <f t="shared" si="56"/>
        <v/>
      </c>
    </row>
    <row r="1192" spans="1:8">
      <c r="A1192" s="28"/>
      <c r="B1192" s="28"/>
      <c r="C1192" s="28"/>
      <c r="D1192" s="26" t="str">
        <f t="shared" si="54"/>
        <v/>
      </c>
      <c r="E1192" s="26" t="str">
        <f t="shared" si="55"/>
        <v/>
      </c>
      <c r="F1192" s="28"/>
      <c r="G1192" s="28"/>
      <c r="H1192" s="29" t="str">
        <f t="shared" si="56"/>
        <v/>
      </c>
    </row>
    <row r="1193" spans="1:8">
      <c r="A1193" s="28"/>
      <c r="B1193" s="28"/>
      <c r="C1193" s="28"/>
      <c r="D1193" s="26" t="str">
        <f t="shared" si="54"/>
        <v/>
      </c>
      <c r="E1193" s="26" t="str">
        <f t="shared" si="55"/>
        <v/>
      </c>
      <c r="F1193" s="28"/>
      <c r="G1193" s="28"/>
      <c r="H1193" s="29" t="str">
        <f t="shared" si="56"/>
        <v/>
      </c>
    </row>
    <row r="1194" spans="1:8">
      <c r="A1194" s="28"/>
      <c r="B1194" s="28"/>
      <c r="C1194" s="28"/>
      <c r="D1194" s="26" t="str">
        <f t="shared" si="54"/>
        <v/>
      </c>
      <c r="E1194" s="26" t="str">
        <f t="shared" si="55"/>
        <v/>
      </c>
      <c r="F1194" s="28"/>
      <c r="G1194" s="28"/>
      <c r="H1194" s="29" t="str">
        <f t="shared" si="56"/>
        <v/>
      </c>
    </row>
    <row r="1195" spans="1:8">
      <c r="A1195" s="28"/>
      <c r="B1195" s="28"/>
      <c r="C1195" s="28"/>
      <c r="D1195" s="26" t="str">
        <f t="shared" si="54"/>
        <v/>
      </c>
      <c r="E1195" s="26" t="str">
        <f t="shared" si="55"/>
        <v/>
      </c>
      <c r="F1195" s="28"/>
      <c r="G1195" s="28"/>
      <c r="H1195" s="29" t="str">
        <f t="shared" si="56"/>
        <v/>
      </c>
    </row>
    <row r="1196" spans="1:8">
      <c r="A1196" s="28"/>
      <c r="B1196" s="28"/>
      <c r="C1196" s="28"/>
      <c r="D1196" s="26" t="str">
        <f t="shared" si="54"/>
        <v/>
      </c>
      <c r="E1196" s="26" t="str">
        <f t="shared" si="55"/>
        <v/>
      </c>
      <c r="F1196" s="28"/>
      <c r="G1196" s="28"/>
      <c r="H1196" s="29" t="str">
        <f t="shared" si="56"/>
        <v/>
      </c>
    </row>
    <row r="1197" spans="1:8">
      <c r="A1197" s="28"/>
      <c r="B1197" s="28"/>
      <c r="C1197" s="28"/>
      <c r="D1197" s="26" t="str">
        <f t="shared" si="54"/>
        <v/>
      </c>
      <c r="E1197" s="26" t="str">
        <f t="shared" si="55"/>
        <v/>
      </c>
      <c r="F1197" s="28"/>
      <c r="G1197" s="28"/>
      <c r="H1197" s="29" t="str">
        <f t="shared" si="56"/>
        <v/>
      </c>
    </row>
    <row r="1198" spans="1:8">
      <c r="A1198" s="28"/>
      <c r="B1198" s="28"/>
      <c r="C1198" s="28"/>
      <c r="D1198" s="26" t="str">
        <f t="shared" si="54"/>
        <v/>
      </c>
      <c r="E1198" s="26" t="str">
        <f t="shared" si="55"/>
        <v/>
      </c>
      <c r="F1198" s="28"/>
      <c r="G1198" s="28"/>
      <c r="H1198" s="29" t="str">
        <f t="shared" si="56"/>
        <v/>
      </c>
    </row>
    <row r="1199" spans="1:8">
      <c r="A1199" s="28"/>
      <c r="B1199" s="28"/>
      <c r="C1199" s="28"/>
      <c r="D1199" s="26" t="str">
        <f t="shared" si="54"/>
        <v/>
      </c>
      <c r="E1199" s="26" t="str">
        <f t="shared" si="55"/>
        <v/>
      </c>
      <c r="F1199" s="28"/>
      <c r="G1199" s="28"/>
      <c r="H1199" s="29" t="str">
        <f t="shared" si="56"/>
        <v/>
      </c>
    </row>
    <row r="1200" spans="1:8">
      <c r="A1200" s="28"/>
      <c r="B1200" s="28"/>
      <c r="C1200" s="28"/>
      <c r="D1200" s="26" t="str">
        <f t="shared" si="54"/>
        <v/>
      </c>
      <c r="E1200" s="26" t="str">
        <f t="shared" si="55"/>
        <v/>
      </c>
      <c r="F1200" s="28"/>
      <c r="G1200" s="28"/>
      <c r="H1200" s="29" t="str">
        <f t="shared" si="56"/>
        <v/>
      </c>
    </row>
    <row r="1201" spans="1:8">
      <c r="A1201" s="28"/>
      <c r="B1201" s="28"/>
      <c r="C1201" s="28"/>
      <c r="D1201" s="26" t="str">
        <f t="shared" si="54"/>
        <v/>
      </c>
      <c r="E1201" s="26" t="str">
        <f t="shared" si="55"/>
        <v/>
      </c>
      <c r="F1201" s="28"/>
      <c r="G1201" s="28"/>
      <c r="H1201" s="29" t="str">
        <f t="shared" si="56"/>
        <v/>
      </c>
    </row>
    <row r="1202" spans="1:8">
      <c r="A1202" s="28"/>
      <c r="B1202" s="28"/>
      <c r="C1202" s="28"/>
      <c r="D1202" s="26" t="str">
        <f t="shared" si="54"/>
        <v/>
      </c>
      <c r="E1202" s="26" t="str">
        <f t="shared" si="55"/>
        <v/>
      </c>
      <c r="F1202" s="28"/>
      <c r="G1202" s="28"/>
      <c r="H1202" s="29" t="str">
        <f t="shared" si="56"/>
        <v/>
      </c>
    </row>
    <row r="1203" spans="1:8">
      <c r="A1203" s="28"/>
      <c r="B1203" s="28"/>
      <c r="C1203" s="28"/>
      <c r="D1203" s="26" t="str">
        <f t="shared" si="54"/>
        <v/>
      </c>
      <c r="E1203" s="26" t="str">
        <f t="shared" si="55"/>
        <v/>
      </c>
      <c r="F1203" s="28"/>
      <c r="G1203" s="28"/>
      <c r="H1203" s="29" t="str">
        <f t="shared" si="56"/>
        <v/>
      </c>
    </row>
    <row r="1204" spans="1:8">
      <c r="A1204" s="28"/>
      <c r="B1204" s="28"/>
      <c r="C1204" s="28"/>
      <c r="D1204" s="26" t="str">
        <f t="shared" si="54"/>
        <v/>
      </c>
      <c r="E1204" s="26" t="str">
        <f t="shared" si="55"/>
        <v/>
      </c>
      <c r="F1204" s="28"/>
      <c r="G1204" s="28"/>
      <c r="H1204" s="29" t="str">
        <f t="shared" si="56"/>
        <v/>
      </c>
    </row>
    <row r="1205" spans="1:8">
      <c r="A1205" s="28"/>
      <c r="B1205" s="28"/>
      <c r="C1205" s="28"/>
      <c r="D1205" s="26" t="str">
        <f t="shared" si="54"/>
        <v/>
      </c>
      <c r="E1205" s="26" t="str">
        <f t="shared" si="55"/>
        <v/>
      </c>
      <c r="F1205" s="28"/>
      <c r="G1205" s="28"/>
      <c r="H1205" s="29" t="str">
        <f t="shared" si="56"/>
        <v/>
      </c>
    </row>
    <row r="1206" spans="1:8">
      <c r="A1206" s="28"/>
      <c r="B1206" s="28"/>
      <c r="C1206" s="28"/>
      <c r="D1206" s="26" t="str">
        <f t="shared" si="54"/>
        <v/>
      </c>
      <c r="E1206" s="26" t="str">
        <f t="shared" si="55"/>
        <v/>
      </c>
      <c r="F1206" s="28"/>
      <c r="G1206" s="28"/>
      <c r="H1206" s="29" t="str">
        <f t="shared" si="56"/>
        <v/>
      </c>
    </row>
    <row r="1207" spans="1:8">
      <c r="A1207" s="28"/>
      <c r="B1207" s="28"/>
      <c r="C1207" s="28"/>
      <c r="D1207" s="26" t="str">
        <f t="shared" si="54"/>
        <v/>
      </c>
      <c r="E1207" s="26" t="str">
        <f t="shared" si="55"/>
        <v/>
      </c>
      <c r="F1207" s="28"/>
      <c r="G1207" s="28"/>
      <c r="H1207" s="29" t="str">
        <f t="shared" si="56"/>
        <v/>
      </c>
    </row>
    <row r="1208" spans="1:8">
      <c r="A1208" s="28"/>
      <c r="B1208" s="28"/>
      <c r="C1208" s="28"/>
      <c r="D1208" s="26" t="str">
        <f t="shared" si="54"/>
        <v/>
      </c>
      <c r="E1208" s="26" t="str">
        <f t="shared" si="55"/>
        <v/>
      </c>
      <c r="F1208" s="28"/>
      <c r="G1208" s="28"/>
      <c r="H1208" s="29" t="str">
        <f t="shared" si="56"/>
        <v/>
      </c>
    </row>
    <row r="1209" spans="1:8">
      <c r="A1209" s="28"/>
      <c r="B1209" s="28"/>
      <c r="C1209" s="28"/>
      <c r="D1209" s="26" t="str">
        <f t="shared" si="54"/>
        <v/>
      </c>
      <c r="E1209" s="26" t="str">
        <f t="shared" si="55"/>
        <v/>
      </c>
      <c r="F1209" s="28"/>
      <c r="G1209" s="28"/>
      <c r="H1209" s="29" t="str">
        <f t="shared" si="56"/>
        <v/>
      </c>
    </row>
    <row r="1210" spans="1:8">
      <c r="A1210" s="28"/>
      <c r="B1210" s="28"/>
      <c r="C1210" s="28"/>
      <c r="D1210" s="26" t="str">
        <f t="shared" si="54"/>
        <v/>
      </c>
      <c r="E1210" s="26" t="str">
        <f t="shared" si="55"/>
        <v/>
      </c>
      <c r="F1210" s="28"/>
      <c r="G1210" s="28"/>
      <c r="H1210" s="29" t="str">
        <f t="shared" si="56"/>
        <v/>
      </c>
    </row>
    <row r="1211" spans="1:8">
      <c r="A1211" s="28"/>
      <c r="B1211" s="28"/>
      <c r="C1211" s="28"/>
      <c r="D1211" s="26" t="str">
        <f t="shared" si="54"/>
        <v/>
      </c>
      <c r="E1211" s="26" t="str">
        <f t="shared" si="55"/>
        <v/>
      </c>
      <c r="F1211" s="28"/>
      <c r="G1211" s="28"/>
      <c r="H1211" s="29" t="str">
        <f t="shared" si="56"/>
        <v/>
      </c>
    </row>
    <row r="1212" spans="1:8">
      <c r="A1212" s="28"/>
      <c r="B1212" s="28"/>
      <c r="C1212" s="28"/>
      <c r="D1212" s="26" t="str">
        <f t="shared" si="54"/>
        <v/>
      </c>
      <c r="E1212" s="26" t="str">
        <f t="shared" si="55"/>
        <v/>
      </c>
      <c r="F1212" s="28"/>
      <c r="G1212" s="28"/>
      <c r="H1212" s="29" t="str">
        <f t="shared" si="56"/>
        <v/>
      </c>
    </row>
    <row r="1213" spans="1:8">
      <c r="A1213" s="28"/>
      <c r="B1213" s="28"/>
      <c r="C1213" s="28"/>
      <c r="D1213" s="26" t="str">
        <f t="shared" si="54"/>
        <v/>
      </c>
      <c r="E1213" s="26" t="str">
        <f t="shared" si="55"/>
        <v/>
      </c>
      <c r="F1213" s="28"/>
      <c r="G1213" s="28"/>
      <c r="H1213" s="29" t="str">
        <f t="shared" si="56"/>
        <v/>
      </c>
    </row>
    <row r="1214" spans="1:8">
      <c r="A1214" s="28"/>
      <c r="B1214" s="28"/>
      <c r="C1214" s="28"/>
      <c r="D1214" s="26" t="str">
        <f t="shared" si="54"/>
        <v/>
      </c>
      <c r="E1214" s="26" t="str">
        <f t="shared" si="55"/>
        <v/>
      </c>
      <c r="F1214" s="28"/>
      <c r="G1214" s="28"/>
      <c r="H1214" s="29" t="str">
        <f t="shared" si="56"/>
        <v/>
      </c>
    </row>
    <row r="1215" spans="1:8">
      <c r="A1215" s="28"/>
      <c r="B1215" s="28"/>
      <c r="C1215" s="28"/>
      <c r="D1215" s="26" t="str">
        <f t="shared" si="54"/>
        <v/>
      </c>
      <c r="E1215" s="26" t="str">
        <f t="shared" si="55"/>
        <v/>
      </c>
      <c r="F1215" s="28"/>
      <c r="G1215" s="28"/>
      <c r="H1215" s="29" t="str">
        <f t="shared" si="56"/>
        <v/>
      </c>
    </row>
    <row r="1216" spans="1:8">
      <c r="A1216" s="28"/>
      <c r="B1216" s="28"/>
      <c r="C1216" s="28"/>
      <c r="D1216" s="26" t="str">
        <f t="shared" si="54"/>
        <v/>
      </c>
      <c r="E1216" s="26" t="str">
        <f t="shared" si="55"/>
        <v/>
      </c>
      <c r="F1216" s="28"/>
      <c r="G1216" s="28"/>
      <c r="H1216" s="29" t="str">
        <f t="shared" si="56"/>
        <v/>
      </c>
    </row>
    <row r="1217" spans="1:8">
      <c r="A1217" s="28"/>
      <c r="B1217" s="28"/>
      <c r="C1217" s="28"/>
      <c r="D1217" s="26" t="str">
        <f t="shared" si="54"/>
        <v/>
      </c>
      <c r="E1217" s="26" t="str">
        <f t="shared" si="55"/>
        <v/>
      </c>
      <c r="F1217" s="28"/>
      <c r="G1217" s="28"/>
      <c r="H1217" s="29" t="str">
        <f t="shared" si="56"/>
        <v/>
      </c>
    </row>
    <row r="1218" spans="1:8">
      <c r="A1218" s="28"/>
      <c r="B1218" s="28"/>
      <c r="C1218" s="28"/>
      <c r="D1218" s="26" t="str">
        <f t="shared" ref="D1218:D1281" si="57">IF(OR(B1218="",C1218=""),"",C1218-B1218)</f>
        <v/>
      </c>
      <c r="E1218" s="26" t="str">
        <f t="shared" ref="E1218:E1281" si="58">IF(OR(B1218="",C1218=""),"",(B1218+C1218)/2)</f>
        <v/>
      </c>
      <c r="F1218" s="28"/>
      <c r="G1218" s="28"/>
      <c r="H1218" s="29" t="str">
        <f t="shared" ref="H1218:H1281" si="59">IF(OR(F1218="",G1218=""),"",G1218-F1218)</f>
        <v/>
      </c>
    </row>
    <row r="1219" spans="1:8">
      <c r="A1219" s="28"/>
      <c r="B1219" s="28"/>
      <c r="C1219" s="28"/>
      <c r="D1219" s="26" t="str">
        <f t="shared" si="57"/>
        <v/>
      </c>
      <c r="E1219" s="26" t="str">
        <f t="shared" si="58"/>
        <v/>
      </c>
      <c r="F1219" s="28"/>
      <c r="G1219" s="28"/>
      <c r="H1219" s="29" t="str">
        <f t="shared" si="59"/>
        <v/>
      </c>
    </row>
    <row r="1220" spans="1:8">
      <c r="A1220" s="28"/>
      <c r="B1220" s="28"/>
      <c r="C1220" s="28"/>
      <c r="D1220" s="26" t="str">
        <f t="shared" si="57"/>
        <v/>
      </c>
      <c r="E1220" s="26" t="str">
        <f t="shared" si="58"/>
        <v/>
      </c>
      <c r="F1220" s="28"/>
      <c r="G1220" s="28"/>
      <c r="H1220" s="29" t="str">
        <f t="shared" si="59"/>
        <v/>
      </c>
    </row>
    <row r="1221" spans="1:8">
      <c r="A1221" s="28"/>
      <c r="B1221" s="28"/>
      <c r="C1221" s="28"/>
      <c r="D1221" s="26" t="str">
        <f t="shared" si="57"/>
        <v/>
      </c>
      <c r="E1221" s="26" t="str">
        <f t="shared" si="58"/>
        <v/>
      </c>
      <c r="F1221" s="28"/>
      <c r="G1221" s="28"/>
      <c r="H1221" s="29" t="str">
        <f t="shared" si="59"/>
        <v/>
      </c>
    </row>
    <row r="1222" spans="1:8">
      <c r="A1222" s="28"/>
      <c r="B1222" s="28"/>
      <c r="C1222" s="28"/>
      <c r="D1222" s="26" t="str">
        <f t="shared" si="57"/>
        <v/>
      </c>
      <c r="E1222" s="26" t="str">
        <f t="shared" si="58"/>
        <v/>
      </c>
      <c r="F1222" s="28"/>
      <c r="G1222" s="28"/>
      <c r="H1222" s="29" t="str">
        <f t="shared" si="59"/>
        <v/>
      </c>
    </row>
    <row r="1223" spans="1:8">
      <c r="A1223" s="28"/>
      <c r="B1223" s="28"/>
      <c r="C1223" s="28"/>
      <c r="D1223" s="26" t="str">
        <f t="shared" si="57"/>
        <v/>
      </c>
      <c r="E1223" s="26" t="str">
        <f t="shared" si="58"/>
        <v/>
      </c>
      <c r="F1223" s="28"/>
      <c r="G1223" s="28"/>
      <c r="H1223" s="29" t="str">
        <f t="shared" si="59"/>
        <v/>
      </c>
    </row>
    <row r="1224" spans="1:8">
      <c r="A1224" s="28"/>
      <c r="B1224" s="28"/>
      <c r="C1224" s="28"/>
      <c r="D1224" s="26" t="str">
        <f t="shared" si="57"/>
        <v/>
      </c>
      <c r="E1224" s="26" t="str">
        <f t="shared" si="58"/>
        <v/>
      </c>
      <c r="F1224" s="28"/>
      <c r="G1224" s="28"/>
      <c r="H1224" s="29" t="str">
        <f t="shared" si="59"/>
        <v/>
      </c>
    </row>
    <row r="1225" spans="1:8">
      <c r="A1225" s="28"/>
      <c r="B1225" s="28"/>
      <c r="C1225" s="28"/>
      <c r="D1225" s="26" t="str">
        <f t="shared" si="57"/>
        <v/>
      </c>
      <c r="E1225" s="26" t="str">
        <f t="shared" si="58"/>
        <v/>
      </c>
      <c r="F1225" s="28"/>
      <c r="G1225" s="28"/>
      <c r="H1225" s="29" t="str">
        <f t="shared" si="59"/>
        <v/>
      </c>
    </row>
    <row r="1226" spans="1:8">
      <c r="A1226" s="28"/>
      <c r="B1226" s="28"/>
      <c r="C1226" s="28"/>
      <c r="D1226" s="26" t="str">
        <f t="shared" si="57"/>
        <v/>
      </c>
      <c r="E1226" s="26" t="str">
        <f t="shared" si="58"/>
        <v/>
      </c>
      <c r="F1226" s="28"/>
      <c r="G1226" s="28"/>
      <c r="H1226" s="29" t="str">
        <f t="shared" si="59"/>
        <v/>
      </c>
    </row>
    <row r="1227" spans="1:8">
      <c r="A1227" s="28"/>
      <c r="B1227" s="28"/>
      <c r="C1227" s="28"/>
      <c r="D1227" s="26" t="str">
        <f t="shared" si="57"/>
        <v/>
      </c>
      <c r="E1227" s="26" t="str">
        <f t="shared" si="58"/>
        <v/>
      </c>
      <c r="F1227" s="28"/>
      <c r="G1227" s="28"/>
      <c r="H1227" s="29" t="str">
        <f t="shared" si="59"/>
        <v/>
      </c>
    </row>
    <row r="1228" spans="1:8">
      <c r="A1228" s="28"/>
      <c r="B1228" s="28"/>
      <c r="C1228" s="28"/>
      <c r="D1228" s="26" t="str">
        <f t="shared" si="57"/>
        <v/>
      </c>
      <c r="E1228" s="26" t="str">
        <f t="shared" si="58"/>
        <v/>
      </c>
      <c r="F1228" s="28"/>
      <c r="G1228" s="28"/>
      <c r="H1228" s="29" t="str">
        <f t="shared" si="59"/>
        <v/>
      </c>
    </row>
    <row r="1229" spans="1:8">
      <c r="A1229" s="28"/>
      <c r="B1229" s="28"/>
      <c r="C1229" s="28"/>
      <c r="D1229" s="26" t="str">
        <f t="shared" si="57"/>
        <v/>
      </c>
      <c r="E1229" s="26" t="str">
        <f t="shared" si="58"/>
        <v/>
      </c>
      <c r="F1229" s="28"/>
      <c r="G1229" s="28"/>
      <c r="H1229" s="29" t="str">
        <f t="shared" si="59"/>
        <v/>
      </c>
    </row>
    <row r="1230" spans="1:8">
      <c r="A1230" s="28"/>
      <c r="B1230" s="28"/>
      <c r="C1230" s="28"/>
      <c r="D1230" s="26" t="str">
        <f t="shared" si="57"/>
        <v/>
      </c>
      <c r="E1230" s="26" t="str">
        <f t="shared" si="58"/>
        <v/>
      </c>
      <c r="F1230" s="28"/>
      <c r="G1230" s="28"/>
      <c r="H1230" s="29" t="str">
        <f t="shared" si="59"/>
        <v/>
      </c>
    </row>
    <row r="1231" spans="1:8">
      <c r="A1231" s="28"/>
      <c r="B1231" s="28"/>
      <c r="C1231" s="28"/>
      <c r="D1231" s="26" t="str">
        <f t="shared" si="57"/>
        <v/>
      </c>
      <c r="E1231" s="26" t="str">
        <f t="shared" si="58"/>
        <v/>
      </c>
      <c r="F1231" s="28"/>
      <c r="G1231" s="28"/>
      <c r="H1231" s="29" t="str">
        <f t="shared" si="59"/>
        <v/>
      </c>
    </row>
    <row r="1232" spans="1:8">
      <c r="A1232" s="28"/>
      <c r="B1232" s="28"/>
      <c r="C1232" s="28"/>
      <c r="D1232" s="26" t="str">
        <f t="shared" si="57"/>
        <v/>
      </c>
      <c r="E1232" s="26" t="str">
        <f t="shared" si="58"/>
        <v/>
      </c>
      <c r="F1232" s="28"/>
      <c r="G1232" s="28"/>
      <c r="H1232" s="29" t="str">
        <f t="shared" si="59"/>
        <v/>
      </c>
    </row>
    <row r="1233" spans="1:8">
      <c r="A1233" s="28"/>
      <c r="B1233" s="28"/>
      <c r="C1233" s="28"/>
      <c r="D1233" s="26" t="str">
        <f t="shared" si="57"/>
        <v/>
      </c>
      <c r="E1233" s="26" t="str">
        <f t="shared" si="58"/>
        <v/>
      </c>
      <c r="F1233" s="28"/>
      <c r="G1233" s="28"/>
      <c r="H1233" s="29" t="str">
        <f t="shared" si="59"/>
        <v/>
      </c>
    </row>
    <row r="1234" spans="1:8">
      <c r="A1234" s="28"/>
      <c r="B1234" s="28"/>
      <c r="C1234" s="28"/>
      <c r="D1234" s="26" t="str">
        <f t="shared" si="57"/>
        <v/>
      </c>
      <c r="E1234" s="26" t="str">
        <f t="shared" si="58"/>
        <v/>
      </c>
      <c r="F1234" s="28"/>
      <c r="G1234" s="28"/>
      <c r="H1234" s="29" t="str">
        <f t="shared" si="59"/>
        <v/>
      </c>
    </row>
    <row r="1235" spans="1:8">
      <c r="A1235" s="28"/>
      <c r="B1235" s="28"/>
      <c r="C1235" s="28"/>
      <c r="D1235" s="26" t="str">
        <f t="shared" si="57"/>
        <v/>
      </c>
      <c r="E1235" s="26" t="str">
        <f t="shared" si="58"/>
        <v/>
      </c>
      <c r="F1235" s="28"/>
      <c r="G1235" s="28"/>
      <c r="H1235" s="29" t="str">
        <f t="shared" si="59"/>
        <v/>
      </c>
    </row>
    <row r="1236" spans="1:8">
      <c r="A1236" s="28"/>
      <c r="B1236" s="28"/>
      <c r="C1236" s="28"/>
      <c r="D1236" s="26" t="str">
        <f t="shared" si="57"/>
        <v/>
      </c>
      <c r="E1236" s="26" t="str">
        <f t="shared" si="58"/>
        <v/>
      </c>
      <c r="F1236" s="28"/>
      <c r="G1236" s="28"/>
      <c r="H1236" s="29" t="str">
        <f t="shared" si="59"/>
        <v/>
      </c>
    </row>
    <row r="1237" spans="1:8">
      <c r="A1237" s="28"/>
      <c r="B1237" s="28"/>
      <c r="C1237" s="28"/>
      <c r="D1237" s="26" t="str">
        <f t="shared" si="57"/>
        <v/>
      </c>
      <c r="E1237" s="26" t="str">
        <f t="shared" si="58"/>
        <v/>
      </c>
      <c r="F1237" s="28"/>
      <c r="G1237" s="28"/>
      <c r="H1237" s="29" t="str">
        <f t="shared" si="59"/>
        <v/>
      </c>
    </row>
    <row r="1238" spans="1:8">
      <c r="A1238" s="28"/>
      <c r="B1238" s="28"/>
      <c r="C1238" s="28"/>
      <c r="D1238" s="26" t="str">
        <f t="shared" si="57"/>
        <v/>
      </c>
      <c r="E1238" s="26" t="str">
        <f t="shared" si="58"/>
        <v/>
      </c>
      <c r="F1238" s="28"/>
      <c r="G1238" s="28"/>
      <c r="H1238" s="29" t="str">
        <f t="shared" si="59"/>
        <v/>
      </c>
    </row>
    <row r="1239" spans="1:8">
      <c r="A1239" s="28"/>
      <c r="B1239" s="28"/>
      <c r="C1239" s="28"/>
      <c r="D1239" s="26" t="str">
        <f t="shared" si="57"/>
        <v/>
      </c>
      <c r="E1239" s="26" t="str">
        <f t="shared" si="58"/>
        <v/>
      </c>
      <c r="F1239" s="28"/>
      <c r="G1239" s="28"/>
      <c r="H1239" s="29" t="str">
        <f t="shared" si="59"/>
        <v/>
      </c>
    </row>
    <row r="1240" spans="1:8">
      <c r="A1240" s="28"/>
      <c r="B1240" s="28"/>
      <c r="C1240" s="28"/>
      <c r="D1240" s="26" t="str">
        <f t="shared" si="57"/>
        <v/>
      </c>
      <c r="E1240" s="26" t="str">
        <f t="shared" si="58"/>
        <v/>
      </c>
      <c r="F1240" s="28"/>
      <c r="G1240" s="28"/>
      <c r="H1240" s="29" t="str">
        <f t="shared" si="59"/>
        <v/>
      </c>
    </row>
    <row r="1241" spans="1:8">
      <c r="A1241" s="28"/>
      <c r="B1241" s="28"/>
      <c r="C1241" s="28"/>
      <c r="D1241" s="26" t="str">
        <f t="shared" si="57"/>
        <v/>
      </c>
      <c r="E1241" s="26" t="str">
        <f t="shared" si="58"/>
        <v/>
      </c>
      <c r="F1241" s="28"/>
      <c r="G1241" s="28"/>
      <c r="H1241" s="29" t="str">
        <f t="shared" si="59"/>
        <v/>
      </c>
    </row>
    <row r="1242" spans="1:8">
      <c r="A1242" s="28"/>
      <c r="B1242" s="28"/>
      <c r="C1242" s="28"/>
      <c r="D1242" s="26" t="str">
        <f t="shared" si="57"/>
        <v/>
      </c>
      <c r="E1242" s="26" t="str">
        <f t="shared" si="58"/>
        <v/>
      </c>
      <c r="F1242" s="28"/>
      <c r="G1242" s="28"/>
      <c r="H1242" s="29" t="str">
        <f t="shared" si="59"/>
        <v/>
      </c>
    </row>
    <row r="1243" spans="1:8">
      <c r="A1243" s="28"/>
      <c r="B1243" s="28"/>
      <c r="C1243" s="28"/>
      <c r="D1243" s="26" t="str">
        <f t="shared" si="57"/>
        <v/>
      </c>
      <c r="E1243" s="26" t="str">
        <f t="shared" si="58"/>
        <v/>
      </c>
      <c r="F1243" s="28"/>
      <c r="G1243" s="28"/>
      <c r="H1243" s="29" t="str">
        <f t="shared" si="59"/>
        <v/>
      </c>
    </row>
    <row r="1244" spans="1:8">
      <c r="A1244" s="28"/>
      <c r="B1244" s="28"/>
      <c r="C1244" s="28"/>
      <c r="D1244" s="26" t="str">
        <f t="shared" si="57"/>
        <v/>
      </c>
      <c r="E1244" s="26" t="str">
        <f t="shared" si="58"/>
        <v/>
      </c>
      <c r="F1244" s="28"/>
      <c r="G1244" s="28"/>
      <c r="H1244" s="29" t="str">
        <f t="shared" si="59"/>
        <v/>
      </c>
    </row>
    <row r="1245" spans="1:8">
      <c r="A1245" s="28"/>
      <c r="B1245" s="28"/>
      <c r="C1245" s="28"/>
      <c r="D1245" s="26" t="str">
        <f t="shared" si="57"/>
        <v/>
      </c>
      <c r="E1245" s="26" t="str">
        <f t="shared" si="58"/>
        <v/>
      </c>
      <c r="F1245" s="28"/>
      <c r="G1245" s="28"/>
      <c r="H1245" s="29" t="str">
        <f t="shared" si="59"/>
        <v/>
      </c>
    </row>
    <row r="1246" spans="1:8">
      <c r="A1246" s="28"/>
      <c r="B1246" s="28"/>
      <c r="C1246" s="28"/>
      <c r="D1246" s="26" t="str">
        <f t="shared" si="57"/>
        <v/>
      </c>
      <c r="E1246" s="26" t="str">
        <f t="shared" si="58"/>
        <v/>
      </c>
      <c r="F1246" s="28"/>
      <c r="G1246" s="28"/>
      <c r="H1246" s="29" t="str">
        <f t="shared" si="59"/>
        <v/>
      </c>
    </row>
    <row r="1247" spans="1:8">
      <c r="A1247" s="28"/>
      <c r="B1247" s="28"/>
      <c r="C1247" s="28"/>
      <c r="D1247" s="26" t="str">
        <f t="shared" si="57"/>
        <v/>
      </c>
      <c r="E1247" s="26" t="str">
        <f t="shared" si="58"/>
        <v/>
      </c>
      <c r="F1247" s="28"/>
      <c r="G1247" s="28"/>
      <c r="H1247" s="29" t="str">
        <f t="shared" si="59"/>
        <v/>
      </c>
    </row>
    <row r="1248" spans="1:8">
      <c r="A1248" s="28"/>
      <c r="B1248" s="28"/>
      <c r="C1248" s="28"/>
      <c r="D1248" s="26" t="str">
        <f t="shared" si="57"/>
        <v/>
      </c>
      <c r="E1248" s="26" t="str">
        <f t="shared" si="58"/>
        <v/>
      </c>
      <c r="F1248" s="28"/>
      <c r="G1248" s="28"/>
      <c r="H1248" s="29" t="str">
        <f t="shared" si="59"/>
        <v/>
      </c>
    </row>
    <row r="1249" spans="1:8">
      <c r="A1249" s="28"/>
      <c r="B1249" s="28"/>
      <c r="C1249" s="28"/>
      <c r="D1249" s="26" t="str">
        <f t="shared" si="57"/>
        <v/>
      </c>
      <c r="E1249" s="26" t="str">
        <f t="shared" si="58"/>
        <v/>
      </c>
      <c r="F1249" s="28"/>
      <c r="G1249" s="28"/>
      <c r="H1249" s="29" t="str">
        <f t="shared" si="59"/>
        <v/>
      </c>
    </row>
    <row r="1250" spans="1:8">
      <c r="A1250" s="28"/>
      <c r="B1250" s="28"/>
      <c r="C1250" s="28"/>
      <c r="D1250" s="26" t="str">
        <f t="shared" si="57"/>
        <v/>
      </c>
      <c r="E1250" s="26" t="str">
        <f t="shared" si="58"/>
        <v/>
      </c>
      <c r="F1250" s="28"/>
      <c r="G1250" s="28"/>
      <c r="H1250" s="29" t="str">
        <f t="shared" si="59"/>
        <v/>
      </c>
    </row>
    <row r="1251" spans="1:8">
      <c r="A1251" s="28"/>
      <c r="B1251" s="28"/>
      <c r="C1251" s="28"/>
      <c r="D1251" s="26" t="str">
        <f t="shared" si="57"/>
        <v/>
      </c>
      <c r="E1251" s="26" t="str">
        <f t="shared" si="58"/>
        <v/>
      </c>
      <c r="F1251" s="28"/>
      <c r="G1251" s="28"/>
      <c r="H1251" s="29" t="str">
        <f t="shared" si="59"/>
        <v/>
      </c>
    </row>
    <row r="1252" spans="1:8">
      <c r="A1252" s="28"/>
      <c r="B1252" s="28"/>
      <c r="C1252" s="28"/>
      <c r="D1252" s="26" t="str">
        <f t="shared" si="57"/>
        <v/>
      </c>
      <c r="E1252" s="26" t="str">
        <f t="shared" si="58"/>
        <v/>
      </c>
      <c r="F1252" s="28"/>
      <c r="G1252" s="28"/>
      <c r="H1252" s="29" t="str">
        <f t="shared" si="59"/>
        <v/>
      </c>
    </row>
    <row r="1253" spans="1:8">
      <c r="A1253" s="28"/>
      <c r="B1253" s="28"/>
      <c r="C1253" s="28"/>
      <c r="D1253" s="26" t="str">
        <f t="shared" si="57"/>
        <v/>
      </c>
      <c r="E1253" s="26" t="str">
        <f t="shared" si="58"/>
        <v/>
      </c>
      <c r="F1253" s="28"/>
      <c r="G1253" s="28"/>
      <c r="H1253" s="29" t="str">
        <f t="shared" si="59"/>
        <v/>
      </c>
    </row>
    <row r="1254" spans="1:8">
      <c r="A1254" s="28"/>
      <c r="B1254" s="28"/>
      <c r="C1254" s="28"/>
      <c r="D1254" s="26" t="str">
        <f t="shared" si="57"/>
        <v/>
      </c>
      <c r="E1254" s="26" t="str">
        <f t="shared" si="58"/>
        <v/>
      </c>
      <c r="F1254" s="28"/>
      <c r="G1254" s="28"/>
      <c r="H1254" s="29" t="str">
        <f t="shared" si="59"/>
        <v/>
      </c>
    </row>
    <row r="1255" spans="1:8">
      <c r="A1255" s="28"/>
      <c r="B1255" s="28"/>
      <c r="C1255" s="28"/>
      <c r="D1255" s="26" t="str">
        <f t="shared" si="57"/>
        <v/>
      </c>
      <c r="E1255" s="26" t="str">
        <f t="shared" si="58"/>
        <v/>
      </c>
      <c r="F1255" s="28"/>
      <c r="G1255" s="28"/>
      <c r="H1255" s="29" t="str">
        <f t="shared" si="59"/>
        <v/>
      </c>
    </row>
    <row r="1256" spans="1:8">
      <c r="A1256" s="28"/>
      <c r="B1256" s="28"/>
      <c r="C1256" s="28"/>
      <c r="D1256" s="26" t="str">
        <f t="shared" si="57"/>
        <v/>
      </c>
      <c r="E1256" s="26" t="str">
        <f t="shared" si="58"/>
        <v/>
      </c>
      <c r="F1256" s="28"/>
      <c r="G1256" s="28"/>
      <c r="H1256" s="29" t="str">
        <f t="shared" si="59"/>
        <v/>
      </c>
    </row>
    <row r="1257" spans="1:8">
      <c r="A1257" s="28"/>
      <c r="B1257" s="28"/>
      <c r="C1257" s="28"/>
      <c r="D1257" s="26" t="str">
        <f t="shared" si="57"/>
        <v/>
      </c>
      <c r="E1257" s="26" t="str">
        <f t="shared" si="58"/>
        <v/>
      </c>
      <c r="F1257" s="28"/>
      <c r="G1257" s="28"/>
      <c r="H1257" s="29" t="str">
        <f t="shared" si="59"/>
        <v/>
      </c>
    </row>
    <row r="1258" spans="1:8">
      <c r="A1258" s="28"/>
      <c r="B1258" s="28"/>
      <c r="C1258" s="28"/>
      <c r="D1258" s="26" t="str">
        <f t="shared" si="57"/>
        <v/>
      </c>
      <c r="E1258" s="26" t="str">
        <f t="shared" si="58"/>
        <v/>
      </c>
      <c r="F1258" s="28"/>
      <c r="G1258" s="28"/>
      <c r="H1258" s="29" t="str">
        <f t="shared" si="59"/>
        <v/>
      </c>
    </row>
    <row r="1259" spans="1:8">
      <c r="A1259" s="28"/>
      <c r="B1259" s="28"/>
      <c r="C1259" s="28"/>
      <c r="D1259" s="26" t="str">
        <f t="shared" si="57"/>
        <v/>
      </c>
      <c r="E1259" s="26" t="str">
        <f t="shared" si="58"/>
        <v/>
      </c>
      <c r="F1259" s="28"/>
      <c r="G1259" s="28"/>
      <c r="H1259" s="29" t="str">
        <f t="shared" si="59"/>
        <v/>
      </c>
    </row>
    <row r="1260" spans="1:8">
      <c r="A1260" s="28"/>
      <c r="B1260" s="28"/>
      <c r="C1260" s="28"/>
      <c r="D1260" s="26" t="str">
        <f t="shared" si="57"/>
        <v/>
      </c>
      <c r="E1260" s="26" t="str">
        <f t="shared" si="58"/>
        <v/>
      </c>
      <c r="F1260" s="28"/>
      <c r="G1260" s="28"/>
      <c r="H1260" s="29" t="str">
        <f t="shared" si="59"/>
        <v/>
      </c>
    </row>
    <row r="1261" spans="1:8">
      <c r="A1261" s="28"/>
      <c r="B1261" s="28"/>
      <c r="C1261" s="28"/>
      <c r="D1261" s="26" t="str">
        <f t="shared" si="57"/>
        <v/>
      </c>
      <c r="E1261" s="26" t="str">
        <f t="shared" si="58"/>
        <v/>
      </c>
      <c r="F1261" s="28"/>
      <c r="G1261" s="28"/>
      <c r="H1261" s="29" t="str">
        <f t="shared" si="59"/>
        <v/>
      </c>
    </row>
    <row r="1262" spans="1:8">
      <c r="A1262" s="28"/>
      <c r="B1262" s="28"/>
      <c r="C1262" s="28"/>
      <c r="D1262" s="26" t="str">
        <f t="shared" si="57"/>
        <v/>
      </c>
      <c r="E1262" s="26" t="str">
        <f t="shared" si="58"/>
        <v/>
      </c>
      <c r="F1262" s="28"/>
      <c r="G1262" s="28"/>
      <c r="H1262" s="29" t="str">
        <f t="shared" si="59"/>
        <v/>
      </c>
    </row>
    <row r="1263" spans="1:8">
      <c r="A1263" s="28"/>
      <c r="B1263" s="28"/>
      <c r="C1263" s="28"/>
      <c r="D1263" s="26" t="str">
        <f t="shared" si="57"/>
        <v/>
      </c>
      <c r="E1263" s="26" t="str">
        <f t="shared" si="58"/>
        <v/>
      </c>
      <c r="F1263" s="28"/>
      <c r="G1263" s="28"/>
      <c r="H1263" s="29" t="str">
        <f t="shared" si="59"/>
        <v/>
      </c>
    </row>
    <row r="1264" spans="1:8">
      <c r="A1264" s="28"/>
      <c r="B1264" s="28"/>
      <c r="C1264" s="28"/>
      <c r="D1264" s="26" t="str">
        <f t="shared" si="57"/>
        <v/>
      </c>
      <c r="E1264" s="26" t="str">
        <f t="shared" si="58"/>
        <v/>
      </c>
      <c r="F1264" s="28"/>
      <c r="G1264" s="28"/>
      <c r="H1264" s="29" t="str">
        <f t="shared" si="59"/>
        <v/>
      </c>
    </row>
    <row r="1265" spans="1:8">
      <c r="A1265" s="28"/>
      <c r="B1265" s="28"/>
      <c r="C1265" s="28"/>
      <c r="D1265" s="26" t="str">
        <f t="shared" si="57"/>
        <v/>
      </c>
      <c r="E1265" s="26" t="str">
        <f t="shared" si="58"/>
        <v/>
      </c>
      <c r="F1265" s="28"/>
      <c r="G1265" s="28"/>
      <c r="H1265" s="29" t="str">
        <f t="shared" si="59"/>
        <v/>
      </c>
    </row>
    <row r="1266" spans="1:8">
      <c r="A1266" s="28"/>
      <c r="B1266" s="28"/>
      <c r="C1266" s="28"/>
      <c r="D1266" s="26" t="str">
        <f t="shared" si="57"/>
        <v/>
      </c>
      <c r="E1266" s="26" t="str">
        <f t="shared" si="58"/>
        <v/>
      </c>
      <c r="F1266" s="28"/>
      <c r="G1266" s="28"/>
      <c r="H1266" s="29" t="str">
        <f t="shared" si="59"/>
        <v/>
      </c>
    </row>
    <row r="1267" spans="1:8">
      <c r="A1267" s="28"/>
      <c r="B1267" s="28"/>
      <c r="C1267" s="28"/>
      <c r="D1267" s="26" t="str">
        <f t="shared" si="57"/>
        <v/>
      </c>
      <c r="E1267" s="26" t="str">
        <f t="shared" si="58"/>
        <v/>
      </c>
      <c r="F1267" s="28"/>
      <c r="G1267" s="28"/>
      <c r="H1267" s="29" t="str">
        <f t="shared" si="59"/>
        <v/>
      </c>
    </row>
    <row r="1268" spans="1:8">
      <c r="A1268" s="28"/>
      <c r="B1268" s="28"/>
      <c r="C1268" s="28"/>
      <c r="D1268" s="26" t="str">
        <f t="shared" si="57"/>
        <v/>
      </c>
      <c r="E1268" s="26" t="str">
        <f t="shared" si="58"/>
        <v/>
      </c>
      <c r="F1268" s="28"/>
      <c r="G1268" s="28"/>
      <c r="H1268" s="29" t="str">
        <f t="shared" si="59"/>
        <v/>
      </c>
    </row>
    <row r="1269" spans="1:8">
      <c r="A1269" s="28"/>
      <c r="B1269" s="28"/>
      <c r="C1269" s="28"/>
      <c r="D1269" s="26" t="str">
        <f t="shared" si="57"/>
        <v/>
      </c>
      <c r="E1269" s="26" t="str">
        <f t="shared" si="58"/>
        <v/>
      </c>
      <c r="F1269" s="28"/>
      <c r="G1269" s="28"/>
      <c r="H1269" s="29" t="str">
        <f t="shared" si="59"/>
        <v/>
      </c>
    </row>
    <row r="1270" spans="1:8">
      <c r="A1270" s="28"/>
      <c r="B1270" s="28"/>
      <c r="C1270" s="28"/>
      <c r="D1270" s="26" t="str">
        <f t="shared" si="57"/>
        <v/>
      </c>
      <c r="E1270" s="26" t="str">
        <f t="shared" si="58"/>
        <v/>
      </c>
      <c r="F1270" s="28"/>
      <c r="G1270" s="28"/>
      <c r="H1270" s="29" t="str">
        <f t="shared" si="59"/>
        <v/>
      </c>
    </row>
    <row r="1271" spans="1:8">
      <c r="A1271" s="28"/>
      <c r="B1271" s="28"/>
      <c r="C1271" s="28"/>
      <c r="D1271" s="26" t="str">
        <f t="shared" si="57"/>
        <v/>
      </c>
      <c r="E1271" s="26" t="str">
        <f t="shared" si="58"/>
        <v/>
      </c>
      <c r="F1271" s="28"/>
      <c r="G1271" s="28"/>
      <c r="H1271" s="29" t="str">
        <f t="shared" si="59"/>
        <v/>
      </c>
    </row>
    <row r="1272" spans="1:8">
      <c r="A1272" s="28"/>
      <c r="B1272" s="28"/>
      <c r="C1272" s="28"/>
      <c r="D1272" s="26" t="str">
        <f t="shared" si="57"/>
        <v/>
      </c>
      <c r="E1272" s="26" t="str">
        <f t="shared" si="58"/>
        <v/>
      </c>
      <c r="F1272" s="28"/>
      <c r="G1272" s="28"/>
      <c r="H1272" s="29" t="str">
        <f t="shared" si="59"/>
        <v/>
      </c>
    </row>
    <row r="1273" spans="1:8">
      <c r="A1273" s="28"/>
      <c r="B1273" s="28"/>
      <c r="C1273" s="28"/>
      <c r="D1273" s="26" t="str">
        <f t="shared" si="57"/>
        <v/>
      </c>
      <c r="E1273" s="26" t="str">
        <f t="shared" si="58"/>
        <v/>
      </c>
      <c r="F1273" s="28"/>
      <c r="G1273" s="28"/>
      <c r="H1273" s="29" t="str">
        <f t="shared" si="59"/>
        <v/>
      </c>
    </row>
    <row r="1274" spans="1:8">
      <c r="A1274" s="28"/>
      <c r="B1274" s="28"/>
      <c r="C1274" s="28"/>
      <c r="D1274" s="26" t="str">
        <f t="shared" si="57"/>
        <v/>
      </c>
      <c r="E1274" s="26" t="str">
        <f t="shared" si="58"/>
        <v/>
      </c>
      <c r="F1274" s="28"/>
      <c r="G1274" s="28"/>
      <c r="H1274" s="29" t="str">
        <f t="shared" si="59"/>
        <v/>
      </c>
    </row>
    <row r="1275" spans="1:8">
      <c r="A1275" s="28"/>
      <c r="B1275" s="28"/>
      <c r="C1275" s="28"/>
      <c r="D1275" s="26" t="str">
        <f t="shared" si="57"/>
        <v/>
      </c>
      <c r="E1275" s="26" t="str">
        <f t="shared" si="58"/>
        <v/>
      </c>
      <c r="F1275" s="28"/>
      <c r="G1275" s="28"/>
      <c r="H1275" s="29" t="str">
        <f t="shared" si="59"/>
        <v/>
      </c>
    </row>
    <row r="1276" spans="1:8">
      <c r="A1276" s="28"/>
      <c r="B1276" s="28"/>
      <c r="C1276" s="28"/>
      <c r="D1276" s="26" t="str">
        <f t="shared" si="57"/>
        <v/>
      </c>
      <c r="E1276" s="26" t="str">
        <f t="shared" si="58"/>
        <v/>
      </c>
      <c r="F1276" s="28"/>
      <c r="G1276" s="28"/>
      <c r="H1276" s="29" t="str">
        <f t="shared" si="59"/>
        <v/>
      </c>
    </row>
    <row r="1277" spans="1:8">
      <c r="A1277" s="28"/>
      <c r="B1277" s="28"/>
      <c r="C1277" s="28"/>
      <c r="D1277" s="26" t="str">
        <f t="shared" si="57"/>
        <v/>
      </c>
      <c r="E1277" s="26" t="str">
        <f t="shared" si="58"/>
        <v/>
      </c>
      <c r="F1277" s="28"/>
      <c r="G1277" s="28"/>
      <c r="H1277" s="29" t="str">
        <f t="shared" si="59"/>
        <v/>
      </c>
    </row>
    <row r="1278" spans="1:8">
      <c r="A1278" s="28"/>
      <c r="B1278" s="28"/>
      <c r="C1278" s="28"/>
      <c r="D1278" s="26" t="str">
        <f t="shared" si="57"/>
        <v/>
      </c>
      <c r="E1278" s="26" t="str">
        <f t="shared" si="58"/>
        <v/>
      </c>
      <c r="F1278" s="28"/>
      <c r="G1278" s="28"/>
      <c r="H1278" s="29" t="str">
        <f t="shared" si="59"/>
        <v/>
      </c>
    </row>
    <row r="1279" spans="1:8">
      <c r="A1279" s="28"/>
      <c r="B1279" s="28"/>
      <c r="C1279" s="28"/>
      <c r="D1279" s="26" t="str">
        <f t="shared" si="57"/>
        <v/>
      </c>
      <c r="E1279" s="26" t="str">
        <f t="shared" si="58"/>
        <v/>
      </c>
      <c r="F1279" s="28"/>
      <c r="G1279" s="28"/>
      <c r="H1279" s="29" t="str">
        <f t="shared" si="59"/>
        <v/>
      </c>
    </row>
    <row r="1280" spans="1:8">
      <c r="A1280" s="28"/>
      <c r="B1280" s="28"/>
      <c r="C1280" s="28"/>
      <c r="D1280" s="26" t="str">
        <f t="shared" si="57"/>
        <v/>
      </c>
      <c r="E1280" s="26" t="str">
        <f t="shared" si="58"/>
        <v/>
      </c>
      <c r="F1280" s="28"/>
      <c r="G1280" s="28"/>
      <c r="H1280" s="29" t="str">
        <f t="shared" si="59"/>
        <v/>
      </c>
    </row>
    <row r="1281" spans="1:8">
      <c r="A1281" s="28"/>
      <c r="B1281" s="28"/>
      <c r="C1281" s="28"/>
      <c r="D1281" s="26" t="str">
        <f t="shared" si="57"/>
        <v/>
      </c>
      <c r="E1281" s="26" t="str">
        <f t="shared" si="58"/>
        <v/>
      </c>
      <c r="F1281" s="28"/>
      <c r="G1281" s="28"/>
      <c r="H1281" s="29" t="str">
        <f t="shared" si="59"/>
        <v/>
      </c>
    </row>
    <row r="1282" spans="1:8">
      <c r="A1282" s="28"/>
      <c r="B1282" s="28"/>
      <c r="C1282" s="28"/>
      <c r="D1282" s="26" t="str">
        <f t="shared" ref="D1282:D1345" si="60">IF(OR(B1282="",C1282=""),"",C1282-B1282)</f>
        <v/>
      </c>
      <c r="E1282" s="26" t="str">
        <f t="shared" ref="E1282:E1345" si="61">IF(OR(B1282="",C1282=""),"",(B1282+C1282)/2)</f>
        <v/>
      </c>
      <c r="F1282" s="28"/>
      <c r="G1282" s="28"/>
      <c r="H1282" s="29" t="str">
        <f t="shared" ref="H1282:H1345" si="62">IF(OR(F1282="",G1282=""),"",G1282-F1282)</f>
        <v/>
      </c>
    </row>
    <row r="1283" spans="1:8">
      <c r="A1283" s="28"/>
      <c r="B1283" s="28"/>
      <c r="C1283" s="28"/>
      <c r="D1283" s="26" t="str">
        <f t="shared" si="60"/>
        <v/>
      </c>
      <c r="E1283" s="26" t="str">
        <f t="shared" si="61"/>
        <v/>
      </c>
      <c r="F1283" s="28"/>
      <c r="G1283" s="28"/>
      <c r="H1283" s="29" t="str">
        <f t="shared" si="62"/>
        <v/>
      </c>
    </row>
    <row r="1284" spans="1:8">
      <c r="A1284" s="28"/>
      <c r="B1284" s="28"/>
      <c r="C1284" s="28"/>
      <c r="D1284" s="26" t="str">
        <f t="shared" si="60"/>
        <v/>
      </c>
      <c r="E1284" s="26" t="str">
        <f t="shared" si="61"/>
        <v/>
      </c>
      <c r="F1284" s="28"/>
      <c r="G1284" s="28"/>
      <c r="H1284" s="29" t="str">
        <f t="shared" si="62"/>
        <v/>
      </c>
    </row>
    <row r="1285" spans="1:8">
      <c r="A1285" s="28"/>
      <c r="B1285" s="28"/>
      <c r="C1285" s="28"/>
      <c r="D1285" s="26" t="str">
        <f t="shared" si="60"/>
        <v/>
      </c>
      <c r="E1285" s="26" t="str">
        <f t="shared" si="61"/>
        <v/>
      </c>
      <c r="F1285" s="28"/>
      <c r="G1285" s="28"/>
      <c r="H1285" s="29" t="str">
        <f t="shared" si="62"/>
        <v/>
      </c>
    </row>
    <row r="1286" spans="1:8">
      <c r="A1286" s="28"/>
      <c r="B1286" s="28"/>
      <c r="C1286" s="28"/>
      <c r="D1286" s="26" t="str">
        <f t="shared" si="60"/>
        <v/>
      </c>
      <c r="E1286" s="26" t="str">
        <f t="shared" si="61"/>
        <v/>
      </c>
      <c r="F1286" s="28"/>
      <c r="G1286" s="28"/>
      <c r="H1286" s="29" t="str">
        <f t="shared" si="62"/>
        <v/>
      </c>
    </row>
    <row r="1287" spans="1:8">
      <c r="A1287" s="28"/>
      <c r="B1287" s="28"/>
      <c r="C1287" s="28"/>
      <c r="D1287" s="26" t="str">
        <f t="shared" si="60"/>
        <v/>
      </c>
      <c r="E1287" s="26" t="str">
        <f t="shared" si="61"/>
        <v/>
      </c>
      <c r="F1287" s="28"/>
      <c r="G1287" s="28"/>
      <c r="H1287" s="29" t="str">
        <f t="shared" si="62"/>
        <v/>
      </c>
    </row>
    <row r="1288" spans="1:8">
      <c r="A1288" s="28"/>
      <c r="B1288" s="28"/>
      <c r="C1288" s="28"/>
      <c r="D1288" s="26" t="str">
        <f t="shared" si="60"/>
        <v/>
      </c>
      <c r="E1288" s="26" t="str">
        <f t="shared" si="61"/>
        <v/>
      </c>
      <c r="F1288" s="28"/>
      <c r="G1288" s="28"/>
      <c r="H1288" s="29" t="str">
        <f t="shared" si="62"/>
        <v/>
      </c>
    </row>
    <row r="1289" spans="1:8">
      <c r="A1289" s="28"/>
      <c r="B1289" s="28"/>
      <c r="C1289" s="28"/>
      <c r="D1289" s="26" t="str">
        <f t="shared" si="60"/>
        <v/>
      </c>
      <c r="E1289" s="26" t="str">
        <f t="shared" si="61"/>
        <v/>
      </c>
      <c r="F1289" s="28"/>
      <c r="G1289" s="28"/>
      <c r="H1289" s="29" t="str">
        <f t="shared" si="62"/>
        <v/>
      </c>
    </row>
    <row r="1290" spans="1:8">
      <c r="A1290" s="28"/>
      <c r="B1290" s="28"/>
      <c r="C1290" s="28"/>
      <c r="D1290" s="26" t="str">
        <f t="shared" si="60"/>
        <v/>
      </c>
      <c r="E1290" s="26" t="str">
        <f t="shared" si="61"/>
        <v/>
      </c>
      <c r="F1290" s="28"/>
      <c r="G1290" s="28"/>
      <c r="H1290" s="29" t="str">
        <f t="shared" si="62"/>
        <v/>
      </c>
    </row>
    <row r="1291" spans="1:8">
      <c r="A1291" s="28"/>
      <c r="B1291" s="28"/>
      <c r="C1291" s="28"/>
      <c r="D1291" s="26" t="str">
        <f t="shared" si="60"/>
        <v/>
      </c>
      <c r="E1291" s="26" t="str">
        <f t="shared" si="61"/>
        <v/>
      </c>
      <c r="F1291" s="28"/>
      <c r="G1291" s="28"/>
      <c r="H1291" s="29" t="str">
        <f t="shared" si="62"/>
        <v/>
      </c>
    </row>
    <row r="1292" spans="1:8">
      <c r="A1292" s="28"/>
      <c r="B1292" s="28"/>
      <c r="C1292" s="28"/>
      <c r="D1292" s="26" t="str">
        <f t="shared" si="60"/>
        <v/>
      </c>
      <c r="E1292" s="26" t="str">
        <f t="shared" si="61"/>
        <v/>
      </c>
      <c r="F1292" s="28"/>
      <c r="G1292" s="28"/>
      <c r="H1292" s="29" t="str">
        <f t="shared" si="62"/>
        <v/>
      </c>
    </row>
    <row r="1293" spans="1:8">
      <c r="A1293" s="28"/>
      <c r="B1293" s="28"/>
      <c r="C1293" s="28"/>
      <c r="D1293" s="26" t="str">
        <f t="shared" si="60"/>
        <v/>
      </c>
      <c r="E1293" s="26" t="str">
        <f t="shared" si="61"/>
        <v/>
      </c>
      <c r="F1293" s="28"/>
      <c r="G1293" s="28"/>
      <c r="H1293" s="29" t="str">
        <f t="shared" si="62"/>
        <v/>
      </c>
    </row>
    <row r="1294" spans="1:8">
      <c r="A1294" s="28"/>
      <c r="B1294" s="28"/>
      <c r="C1294" s="28"/>
      <c r="D1294" s="26" t="str">
        <f t="shared" si="60"/>
        <v/>
      </c>
      <c r="E1294" s="26" t="str">
        <f t="shared" si="61"/>
        <v/>
      </c>
      <c r="F1294" s="28"/>
      <c r="G1294" s="28"/>
      <c r="H1294" s="29" t="str">
        <f t="shared" si="62"/>
        <v/>
      </c>
    </row>
    <row r="1295" spans="1:8">
      <c r="A1295" s="28"/>
      <c r="B1295" s="28"/>
      <c r="C1295" s="28"/>
      <c r="D1295" s="26" t="str">
        <f t="shared" si="60"/>
        <v/>
      </c>
      <c r="E1295" s="26" t="str">
        <f t="shared" si="61"/>
        <v/>
      </c>
      <c r="F1295" s="28"/>
      <c r="G1295" s="28"/>
      <c r="H1295" s="29" t="str">
        <f t="shared" si="62"/>
        <v/>
      </c>
    </row>
    <row r="1296" spans="1:8">
      <c r="A1296" s="28"/>
      <c r="B1296" s="28"/>
      <c r="C1296" s="28"/>
      <c r="D1296" s="26" t="str">
        <f t="shared" si="60"/>
        <v/>
      </c>
      <c r="E1296" s="26" t="str">
        <f t="shared" si="61"/>
        <v/>
      </c>
      <c r="F1296" s="28"/>
      <c r="G1296" s="28"/>
      <c r="H1296" s="29" t="str">
        <f t="shared" si="62"/>
        <v/>
      </c>
    </row>
    <row r="1297" spans="1:8">
      <c r="A1297" s="28"/>
      <c r="B1297" s="28"/>
      <c r="C1297" s="28"/>
      <c r="D1297" s="26" t="str">
        <f t="shared" si="60"/>
        <v/>
      </c>
      <c r="E1297" s="26" t="str">
        <f t="shared" si="61"/>
        <v/>
      </c>
      <c r="F1297" s="28"/>
      <c r="G1297" s="28"/>
      <c r="H1297" s="29" t="str">
        <f t="shared" si="62"/>
        <v/>
      </c>
    </row>
    <row r="1298" spans="1:8">
      <c r="A1298" s="28"/>
      <c r="B1298" s="28"/>
      <c r="C1298" s="28"/>
      <c r="D1298" s="26" t="str">
        <f t="shared" si="60"/>
        <v/>
      </c>
      <c r="E1298" s="26" t="str">
        <f t="shared" si="61"/>
        <v/>
      </c>
      <c r="F1298" s="28"/>
      <c r="G1298" s="28"/>
      <c r="H1298" s="29" t="str">
        <f t="shared" si="62"/>
        <v/>
      </c>
    </row>
    <row r="1299" spans="1:8">
      <c r="A1299" s="28"/>
      <c r="B1299" s="28"/>
      <c r="C1299" s="28"/>
      <c r="D1299" s="26" t="str">
        <f t="shared" si="60"/>
        <v/>
      </c>
      <c r="E1299" s="26" t="str">
        <f t="shared" si="61"/>
        <v/>
      </c>
      <c r="F1299" s="28"/>
      <c r="G1299" s="28"/>
      <c r="H1299" s="29" t="str">
        <f t="shared" si="62"/>
        <v/>
      </c>
    </row>
    <row r="1300" spans="1:8">
      <c r="A1300" s="28"/>
      <c r="B1300" s="28"/>
      <c r="C1300" s="28"/>
      <c r="D1300" s="26" t="str">
        <f t="shared" si="60"/>
        <v/>
      </c>
      <c r="E1300" s="26" t="str">
        <f t="shared" si="61"/>
        <v/>
      </c>
      <c r="F1300" s="28"/>
      <c r="G1300" s="28"/>
      <c r="H1300" s="29" t="str">
        <f t="shared" si="62"/>
        <v/>
      </c>
    </row>
    <row r="1301" spans="1:8">
      <c r="A1301" s="28"/>
      <c r="B1301" s="28"/>
      <c r="C1301" s="28"/>
      <c r="D1301" s="26" t="str">
        <f t="shared" si="60"/>
        <v/>
      </c>
      <c r="E1301" s="26" t="str">
        <f t="shared" si="61"/>
        <v/>
      </c>
      <c r="F1301" s="28"/>
      <c r="G1301" s="28"/>
      <c r="H1301" s="29" t="str">
        <f t="shared" si="62"/>
        <v/>
      </c>
    </row>
    <row r="1302" spans="1:8">
      <c r="A1302" s="28"/>
      <c r="B1302" s="28"/>
      <c r="C1302" s="28"/>
      <c r="D1302" s="26" t="str">
        <f t="shared" si="60"/>
        <v/>
      </c>
      <c r="E1302" s="26" t="str">
        <f t="shared" si="61"/>
        <v/>
      </c>
      <c r="F1302" s="28"/>
      <c r="G1302" s="28"/>
      <c r="H1302" s="29" t="str">
        <f t="shared" si="62"/>
        <v/>
      </c>
    </row>
    <row r="1303" spans="1:8">
      <c r="A1303" s="28"/>
      <c r="B1303" s="28"/>
      <c r="C1303" s="28"/>
      <c r="D1303" s="26" t="str">
        <f t="shared" si="60"/>
        <v/>
      </c>
      <c r="E1303" s="26" t="str">
        <f t="shared" si="61"/>
        <v/>
      </c>
      <c r="F1303" s="28"/>
      <c r="G1303" s="28"/>
      <c r="H1303" s="29" t="str">
        <f t="shared" si="62"/>
        <v/>
      </c>
    </row>
    <row r="1304" spans="1:8">
      <c r="A1304" s="28"/>
      <c r="B1304" s="28"/>
      <c r="C1304" s="28"/>
      <c r="D1304" s="26" t="str">
        <f t="shared" si="60"/>
        <v/>
      </c>
      <c r="E1304" s="26" t="str">
        <f t="shared" si="61"/>
        <v/>
      </c>
      <c r="F1304" s="28"/>
      <c r="G1304" s="28"/>
      <c r="H1304" s="29" t="str">
        <f t="shared" si="62"/>
        <v/>
      </c>
    </row>
    <row r="1305" spans="1:8">
      <c r="A1305" s="28"/>
      <c r="B1305" s="28"/>
      <c r="C1305" s="28"/>
      <c r="D1305" s="26" t="str">
        <f t="shared" si="60"/>
        <v/>
      </c>
      <c r="E1305" s="26" t="str">
        <f t="shared" si="61"/>
        <v/>
      </c>
      <c r="F1305" s="28"/>
      <c r="G1305" s="28"/>
      <c r="H1305" s="29" t="str">
        <f t="shared" si="62"/>
        <v/>
      </c>
    </row>
    <row r="1306" spans="1:8">
      <c r="A1306" s="28"/>
      <c r="B1306" s="28"/>
      <c r="C1306" s="28"/>
      <c r="D1306" s="26" t="str">
        <f t="shared" si="60"/>
        <v/>
      </c>
      <c r="E1306" s="26" t="str">
        <f t="shared" si="61"/>
        <v/>
      </c>
      <c r="F1306" s="28"/>
      <c r="G1306" s="28"/>
      <c r="H1306" s="29" t="str">
        <f t="shared" si="62"/>
        <v/>
      </c>
    </row>
    <row r="1307" spans="1:8">
      <c r="A1307" s="28"/>
      <c r="B1307" s="28"/>
      <c r="C1307" s="28"/>
      <c r="D1307" s="26" t="str">
        <f t="shared" si="60"/>
        <v/>
      </c>
      <c r="E1307" s="26" t="str">
        <f t="shared" si="61"/>
        <v/>
      </c>
      <c r="F1307" s="28"/>
      <c r="G1307" s="28"/>
      <c r="H1307" s="29" t="str">
        <f t="shared" si="62"/>
        <v/>
      </c>
    </row>
    <row r="1308" spans="1:8">
      <c r="A1308" s="28"/>
      <c r="B1308" s="28"/>
      <c r="C1308" s="28"/>
      <c r="D1308" s="26" t="str">
        <f t="shared" si="60"/>
        <v/>
      </c>
      <c r="E1308" s="26" t="str">
        <f t="shared" si="61"/>
        <v/>
      </c>
      <c r="F1308" s="28"/>
      <c r="G1308" s="28"/>
      <c r="H1308" s="29" t="str">
        <f t="shared" si="62"/>
        <v/>
      </c>
    </row>
    <row r="1309" spans="1:8">
      <c r="A1309" s="28"/>
      <c r="B1309" s="28"/>
      <c r="C1309" s="28"/>
      <c r="D1309" s="26" t="str">
        <f t="shared" si="60"/>
        <v/>
      </c>
      <c r="E1309" s="26" t="str">
        <f t="shared" si="61"/>
        <v/>
      </c>
      <c r="F1309" s="28"/>
      <c r="G1309" s="28"/>
      <c r="H1309" s="29" t="str">
        <f t="shared" si="62"/>
        <v/>
      </c>
    </row>
    <row r="1310" spans="1:8">
      <c r="A1310" s="28"/>
      <c r="B1310" s="28"/>
      <c r="C1310" s="28"/>
      <c r="D1310" s="26" t="str">
        <f t="shared" si="60"/>
        <v/>
      </c>
      <c r="E1310" s="26" t="str">
        <f t="shared" si="61"/>
        <v/>
      </c>
      <c r="F1310" s="28"/>
      <c r="G1310" s="28"/>
      <c r="H1310" s="29" t="str">
        <f t="shared" si="62"/>
        <v/>
      </c>
    </row>
    <row r="1311" spans="1:8">
      <c r="A1311" s="28"/>
      <c r="B1311" s="28"/>
      <c r="C1311" s="28"/>
      <c r="D1311" s="26" t="str">
        <f t="shared" si="60"/>
        <v/>
      </c>
      <c r="E1311" s="26" t="str">
        <f t="shared" si="61"/>
        <v/>
      </c>
      <c r="F1311" s="28"/>
      <c r="G1311" s="28"/>
      <c r="H1311" s="29" t="str">
        <f t="shared" si="62"/>
        <v/>
      </c>
    </row>
    <row r="1312" spans="1:8">
      <c r="A1312" s="28"/>
      <c r="B1312" s="28"/>
      <c r="C1312" s="28"/>
      <c r="D1312" s="26" t="str">
        <f t="shared" si="60"/>
        <v/>
      </c>
      <c r="E1312" s="26" t="str">
        <f t="shared" si="61"/>
        <v/>
      </c>
      <c r="F1312" s="28"/>
      <c r="G1312" s="28"/>
      <c r="H1312" s="29" t="str">
        <f t="shared" si="62"/>
        <v/>
      </c>
    </row>
    <row r="1313" spans="1:8">
      <c r="A1313" s="28"/>
      <c r="B1313" s="28"/>
      <c r="C1313" s="28"/>
      <c r="D1313" s="26" t="str">
        <f t="shared" si="60"/>
        <v/>
      </c>
      <c r="E1313" s="26" t="str">
        <f t="shared" si="61"/>
        <v/>
      </c>
      <c r="F1313" s="28"/>
      <c r="G1313" s="28"/>
      <c r="H1313" s="29" t="str">
        <f t="shared" si="62"/>
        <v/>
      </c>
    </row>
    <row r="1314" spans="1:8">
      <c r="A1314" s="28"/>
      <c r="B1314" s="28"/>
      <c r="C1314" s="28"/>
      <c r="D1314" s="26" t="str">
        <f t="shared" si="60"/>
        <v/>
      </c>
      <c r="E1314" s="26" t="str">
        <f t="shared" si="61"/>
        <v/>
      </c>
      <c r="F1314" s="28"/>
      <c r="G1314" s="28"/>
      <c r="H1314" s="29" t="str">
        <f t="shared" si="62"/>
        <v/>
      </c>
    </row>
    <row r="1315" spans="1:8">
      <c r="A1315" s="28"/>
      <c r="B1315" s="28"/>
      <c r="C1315" s="28"/>
      <c r="D1315" s="26" t="str">
        <f t="shared" si="60"/>
        <v/>
      </c>
      <c r="E1315" s="26" t="str">
        <f t="shared" si="61"/>
        <v/>
      </c>
      <c r="F1315" s="28"/>
      <c r="G1315" s="28"/>
      <c r="H1315" s="29" t="str">
        <f t="shared" si="62"/>
        <v/>
      </c>
    </row>
    <row r="1316" spans="1:8">
      <c r="A1316" s="28"/>
      <c r="B1316" s="28"/>
      <c r="C1316" s="28"/>
      <c r="D1316" s="26" t="str">
        <f t="shared" si="60"/>
        <v/>
      </c>
      <c r="E1316" s="26" t="str">
        <f t="shared" si="61"/>
        <v/>
      </c>
      <c r="F1316" s="28"/>
      <c r="G1316" s="28"/>
      <c r="H1316" s="29" t="str">
        <f t="shared" si="62"/>
        <v/>
      </c>
    </row>
    <row r="1317" spans="1:8">
      <c r="A1317" s="28"/>
      <c r="B1317" s="28"/>
      <c r="C1317" s="28"/>
      <c r="D1317" s="26" t="str">
        <f t="shared" si="60"/>
        <v/>
      </c>
      <c r="E1317" s="26" t="str">
        <f t="shared" si="61"/>
        <v/>
      </c>
      <c r="F1317" s="28"/>
      <c r="G1317" s="28"/>
      <c r="H1317" s="29" t="str">
        <f t="shared" si="62"/>
        <v/>
      </c>
    </row>
    <row r="1318" spans="1:8">
      <c r="A1318" s="28"/>
      <c r="B1318" s="28"/>
      <c r="C1318" s="28"/>
      <c r="D1318" s="26" t="str">
        <f t="shared" si="60"/>
        <v/>
      </c>
      <c r="E1318" s="26" t="str">
        <f t="shared" si="61"/>
        <v/>
      </c>
      <c r="F1318" s="28"/>
      <c r="G1318" s="28"/>
      <c r="H1318" s="29" t="str">
        <f t="shared" si="62"/>
        <v/>
      </c>
    </row>
    <row r="1319" spans="1:8">
      <c r="A1319" s="28"/>
      <c r="B1319" s="28"/>
      <c r="C1319" s="28"/>
      <c r="D1319" s="26" t="str">
        <f t="shared" si="60"/>
        <v/>
      </c>
      <c r="E1319" s="26" t="str">
        <f t="shared" si="61"/>
        <v/>
      </c>
      <c r="F1319" s="28"/>
      <c r="G1319" s="28"/>
      <c r="H1319" s="29" t="str">
        <f t="shared" si="62"/>
        <v/>
      </c>
    </row>
    <row r="1320" spans="1:8">
      <c r="A1320" s="28"/>
      <c r="B1320" s="28"/>
      <c r="C1320" s="28"/>
      <c r="D1320" s="26" t="str">
        <f t="shared" si="60"/>
        <v/>
      </c>
      <c r="E1320" s="26" t="str">
        <f t="shared" si="61"/>
        <v/>
      </c>
      <c r="F1320" s="28"/>
      <c r="G1320" s="28"/>
      <c r="H1320" s="29" t="str">
        <f t="shared" si="62"/>
        <v/>
      </c>
    </row>
    <row r="1321" spans="1:8">
      <c r="A1321" s="28"/>
      <c r="B1321" s="28"/>
      <c r="C1321" s="28"/>
      <c r="D1321" s="26" t="str">
        <f t="shared" si="60"/>
        <v/>
      </c>
      <c r="E1321" s="26" t="str">
        <f t="shared" si="61"/>
        <v/>
      </c>
      <c r="F1321" s="28"/>
      <c r="G1321" s="28"/>
      <c r="H1321" s="29" t="str">
        <f t="shared" si="62"/>
        <v/>
      </c>
    </row>
    <row r="1322" spans="1:8">
      <c r="A1322" s="28"/>
      <c r="B1322" s="28"/>
      <c r="C1322" s="28"/>
      <c r="D1322" s="26" t="str">
        <f t="shared" si="60"/>
        <v/>
      </c>
      <c r="E1322" s="26" t="str">
        <f t="shared" si="61"/>
        <v/>
      </c>
      <c r="F1322" s="28"/>
      <c r="G1322" s="28"/>
      <c r="H1322" s="29" t="str">
        <f t="shared" si="62"/>
        <v/>
      </c>
    </row>
    <row r="1323" spans="1:8">
      <c r="A1323" s="28"/>
      <c r="B1323" s="28"/>
      <c r="C1323" s="28"/>
      <c r="D1323" s="26" t="str">
        <f t="shared" si="60"/>
        <v/>
      </c>
      <c r="E1323" s="26" t="str">
        <f t="shared" si="61"/>
        <v/>
      </c>
      <c r="F1323" s="28"/>
      <c r="G1323" s="28"/>
      <c r="H1323" s="29" t="str">
        <f t="shared" si="62"/>
        <v/>
      </c>
    </row>
    <row r="1324" spans="1:8">
      <c r="A1324" s="28"/>
      <c r="B1324" s="28"/>
      <c r="C1324" s="28"/>
      <c r="D1324" s="26" t="str">
        <f t="shared" si="60"/>
        <v/>
      </c>
      <c r="E1324" s="26" t="str">
        <f t="shared" si="61"/>
        <v/>
      </c>
      <c r="F1324" s="28"/>
      <c r="G1324" s="28"/>
      <c r="H1324" s="29" t="str">
        <f t="shared" si="62"/>
        <v/>
      </c>
    </row>
    <row r="1325" spans="1:8">
      <c r="A1325" s="28"/>
      <c r="B1325" s="28"/>
      <c r="C1325" s="28"/>
      <c r="D1325" s="26" t="str">
        <f t="shared" si="60"/>
        <v/>
      </c>
      <c r="E1325" s="26" t="str">
        <f t="shared" si="61"/>
        <v/>
      </c>
      <c r="F1325" s="28"/>
      <c r="G1325" s="28"/>
      <c r="H1325" s="29" t="str">
        <f t="shared" si="62"/>
        <v/>
      </c>
    </row>
    <row r="1326" spans="1:8">
      <c r="A1326" s="28"/>
      <c r="B1326" s="28"/>
      <c r="C1326" s="28"/>
      <c r="D1326" s="26" t="str">
        <f t="shared" si="60"/>
        <v/>
      </c>
      <c r="E1326" s="26" t="str">
        <f t="shared" si="61"/>
        <v/>
      </c>
      <c r="F1326" s="28"/>
      <c r="G1326" s="28"/>
      <c r="H1326" s="29" t="str">
        <f t="shared" si="62"/>
        <v/>
      </c>
    </row>
    <row r="1327" spans="1:8">
      <c r="A1327" s="28"/>
      <c r="B1327" s="28"/>
      <c r="C1327" s="28"/>
      <c r="D1327" s="26" t="str">
        <f t="shared" si="60"/>
        <v/>
      </c>
      <c r="E1327" s="26" t="str">
        <f t="shared" si="61"/>
        <v/>
      </c>
      <c r="F1327" s="28"/>
      <c r="G1327" s="28"/>
      <c r="H1327" s="29" t="str">
        <f t="shared" si="62"/>
        <v/>
      </c>
    </row>
    <row r="1328" spans="1:8">
      <c r="A1328" s="28"/>
      <c r="B1328" s="28"/>
      <c r="C1328" s="28"/>
      <c r="D1328" s="26" t="str">
        <f t="shared" si="60"/>
        <v/>
      </c>
      <c r="E1328" s="26" t="str">
        <f t="shared" si="61"/>
        <v/>
      </c>
      <c r="F1328" s="28"/>
      <c r="G1328" s="28"/>
      <c r="H1328" s="29" t="str">
        <f t="shared" si="62"/>
        <v/>
      </c>
    </row>
    <row r="1329" spans="1:8">
      <c r="A1329" s="28"/>
      <c r="B1329" s="28"/>
      <c r="C1329" s="28"/>
      <c r="D1329" s="26" t="str">
        <f t="shared" si="60"/>
        <v/>
      </c>
      <c r="E1329" s="26" t="str">
        <f t="shared" si="61"/>
        <v/>
      </c>
      <c r="F1329" s="28"/>
      <c r="G1329" s="28"/>
      <c r="H1329" s="29" t="str">
        <f t="shared" si="62"/>
        <v/>
      </c>
    </row>
    <row r="1330" spans="1:8">
      <c r="A1330" s="28"/>
      <c r="B1330" s="28"/>
      <c r="C1330" s="28"/>
      <c r="D1330" s="26" t="str">
        <f t="shared" si="60"/>
        <v/>
      </c>
      <c r="E1330" s="26" t="str">
        <f t="shared" si="61"/>
        <v/>
      </c>
      <c r="F1330" s="28"/>
      <c r="G1330" s="28"/>
      <c r="H1330" s="29" t="str">
        <f t="shared" si="62"/>
        <v/>
      </c>
    </row>
    <row r="1331" spans="1:8">
      <c r="A1331" s="28"/>
      <c r="B1331" s="28"/>
      <c r="C1331" s="28"/>
      <c r="D1331" s="26" t="str">
        <f t="shared" si="60"/>
        <v/>
      </c>
      <c r="E1331" s="26" t="str">
        <f t="shared" si="61"/>
        <v/>
      </c>
      <c r="F1331" s="28"/>
      <c r="G1331" s="28"/>
      <c r="H1331" s="29" t="str">
        <f t="shared" si="62"/>
        <v/>
      </c>
    </row>
    <row r="1332" spans="1:8">
      <c r="A1332" s="28"/>
      <c r="B1332" s="28"/>
      <c r="C1332" s="28"/>
      <c r="D1332" s="26" t="str">
        <f t="shared" si="60"/>
        <v/>
      </c>
      <c r="E1332" s="26" t="str">
        <f t="shared" si="61"/>
        <v/>
      </c>
      <c r="F1332" s="28"/>
      <c r="G1332" s="28"/>
      <c r="H1332" s="29" t="str">
        <f t="shared" si="62"/>
        <v/>
      </c>
    </row>
    <row r="1333" spans="1:8">
      <c r="A1333" s="28"/>
      <c r="B1333" s="28"/>
      <c r="C1333" s="28"/>
      <c r="D1333" s="26" t="str">
        <f t="shared" si="60"/>
        <v/>
      </c>
      <c r="E1333" s="26" t="str">
        <f t="shared" si="61"/>
        <v/>
      </c>
      <c r="F1333" s="28"/>
      <c r="G1333" s="28"/>
      <c r="H1333" s="29" t="str">
        <f t="shared" si="62"/>
        <v/>
      </c>
    </row>
    <row r="1334" spans="1:8">
      <c r="A1334" s="28"/>
      <c r="B1334" s="28"/>
      <c r="C1334" s="28"/>
      <c r="D1334" s="26" t="str">
        <f t="shared" si="60"/>
        <v/>
      </c>
      <c r="E1334" s="26" t="str">
        <f t="shared" si="61"/>
        <v/>
      </c>
      <c r="F1334" s="28"/>
      <c r="G1334" s="28"/>
      <c r="H1334" s="29" t="str">
        <f t="shared" si="62"/>
        <v/>
      </c>
    </row>
    <row r="1335" spans="1:8">
      <c r="A1335" s="28"/>
      <c r="B1335" s="28"/>
      <c r="C1335" s="28"/>
      <c r="D1335" s="26" t="str">
        <f t="shared" si="60"/>
        <v/>
      </c>
      <c r="E1335" s="26" t="str">
        <f t="shared" si="61"/>
        <v/>
      </c>
      <c r="F1335" s="28"/>
      <c r="G1335" s="28"/>
      <c r="H1335" s="29" t="str">
        <f t="shared" si="62"/>
        <v/>
      </c>
    </row>
    <row r="1336" spans="1:8">
      <c r="A1336" s="28"/>
      <c r="B1336" s="28"/>
      <c r="C1336" s="28"/>
      <c r="D1336" s="26" t="str">
        <f t="shared" si="60"/>
        <v/>
      </c>
      <c r="E1336" s="26" t="str">
        <f t="shared" si="61"/>
        <v/>
      </c>
      <c r="F1336" s="28"/>
      <c r="G1336" s="28"/>
      <c r="H1336" s="29" t="str">
        <f t="shared" si="62"/>
        <v/>
      </c>
    </row>
    <row r="1337" spans="1:8">
      <c r="A1337" s="28"/>
      <c r="B1337" s="28"/>
      <c r="C1337" s="28"/>
      <c r="D1337" s="26" t="str">
        <f t="shared" si="60"/>
        <v/>
      </c>
      <c r="E1337" s="26" t="str">
        <f t="shared" si="61"/>
        <v/>
      </c>
      <c r="F1337" s="28"/>
      <c r="G1337" s="28"/>
      <c r="H1337" s="29" t="str">
        <f t="shared" si="62"/>
        <v/>
      </c>
    </row>
    <row r="1338" spans="1:8">
      <c r="A1338" s="28"/>
      <c r="B1338" s="28"/>
      <c r="C1338" s="28"/>
      <c r="D1338" s="26" t="str">
        <f t="shared" si="60"/>
        <v/>
      </c>
      <c r="E1338" s="26" t="str">
        <f t="shared" si="61"/>
        <v/>
      </c>
      <c r="F1338" s="28"/>
      <c r="G1338" s="28"/>
      <c r="H1338" s="29" t="str">
        <f t="shared" si="62"/>
        <v/>
      </c>
    </row>
    <row r="1339" spans="1:8">
      <c r="A1339" s="28"/>
      <c r="B1339" s="28"/>
      <c r="C1339" s="28"/>
      <c r="D1339" s="26" t="str">
        <f t="shared" si="60"/>
        <v/>
      </c>
      <c r="E1339" s="26" t="str">
        <f t="shared" si="61"/>
        <v/>
      </c>
      <c r="F1339" s="28"/>
      <c r="G1339" s="28"/>
      <c r="H1339" s="29" t="str">
        <f t="shared" si="62"/>
        <v/>
      </c>
    </row>
    <row r="1340" spans="1:8">
      <c r="A1340" s="28"/>
      <c r="B1340" s="28"/>
      <c r="C1340" s="28"/>
      <c r="D1340" s="26" t="str">
        <f t="shared" si="60"/>
        <v/>
      </c>
      <c r="E1340" s="26" t="str">
        <f t="shared" si="61"/>
        <v/>
      </c>
      <c r="F1340" s="28"/>
      <c r="G1340" s="28"/>
      <c r="H1340" s="29" t="str">
        <f t="shared" si="62"/>
        <v/>
      </c>
    </row>
    <row r="1341" spans="1:8">
      <c r="A1341" s="28"/>
      <c r="B1341" s="28"/>
      <c r="C1341" s="28"/>
      <c r="D1341" s="26" t="str">
        <f t="shared" si="60"/>
        <v/>
      </c>
      <c r="E1341" s="26" t="str">
        <f t="shared" si="61"/>
        <v/>
      </c>
      <c r="F1341" s="28"/>
      <c r="G1341" s="28"/>
      <c r="H1341" s="29" t="str">
        <f t="shared" si="62"/>
        <v/>
      </c>
    </row>
    <row r="1342" spans="1:8">
      <c r="A1342" s="28"/>
      <c r="B1342" s="28"/>
      <c r="C1342" s="28"/>
      <c r="D1342" s="26" t="str">
        <f t="shared" si="60"/>
        <v/>
      </c>
      <c r="E1342" s="26" t="str">
        <f t="shared" si="61"/>
        <v/>
      </c>
      <c r="F1342" s="28"/>
      <c r="G1342" s="28"/>
      <c r="H1342" s="29" t="str">
        <f t="shared" si="62"/>
        <v/>
      </c>
    </row>
    <row r="1343" spans="1:8">
      <c r="A1343" s="28"/>
      <c r="B1343" s="28"/>
      <c r="C1343" s="28"/>
      <c r="D1343" s="26" t="str">
        <f t="shared" si="60"/>
        <v/>
      </c>
      <c r="E1343" s="26" t="str">
        <f t="shared" si="61"/>
        <v/>
      </c>
      <c r="F1343" s="28"/>
      <c r="G1343" s="28"/>
      <c r="H1343" s="29" t="str">
        <f t="shared" si="62"/>
        <v/>
      </c>
    </row>
    <row r="1344" spans="1:8">
      <c r="A1344" s="28"/>
      <c r="B1344" s="28"/>
      <c r="C1344" s="28"/>
      <c r="D1344" s="26" t="str">
        <f t="shared" si="60"/>
        <v/>
      </c>
      <c r="E1344" s="26" t="str">
        <f t="shared" si="61"/>
        <v/>
      </c>
      <c r="F1344" s="28"/>
      <c r="G1344" s="28"/>
      <c r="H1344" s="29" t="str">
        <f t="shared" si="62"/>
        <v/>
      </c>
    </row>
    <row r="1345" spans="1:8">
      <c r="A1345" s="28"/>
      <c r="B1345" s="28"/>
      <c r="C1345" s="28"/>
      <c r="D1345" s="26" t="str">
        <f t="shared" si="60"/>
        <v/>
      </c>
      <c r="E1345" s="26" t="str">
        <f t="shared" si="61"/>
        <v/>
      </c>
      <c r="F1345" s="28"/>
      <c r="G1345" s="28"/>
      <c r="H1345" s="29" t="str">
        <f t="shared" si="62"/>
        <v/>
      </c>
    </row>
    <row r="1346" spans="1:8">
      <c r="A1346" s="28"/>
      <c r="B1346" s="28"/>
      <c r="C1346" s="28"/>
      <c r="D1346" s="26" t="str">
        <f t="shared" ref="D1346:D1409" si="63">IF(OR(B1346="",C1346=""),"",C1346-B1346)</f>
        <v/>
      </c>
      <c r="E1346" s="26" t="str">
        <f t="shared" ref="E1346:E1409" si="64">IF(OR(B1346="",C1346=""),"",(B1346+C1346)/2)</f>
        <v/>
      </c>
      <c r="F1346" s="28"/>
      <c r="G1346" s="28"/>
      <c r="H1346" s="29" t="str">
        <f t="shared" ref="H1346:H1409" si="65">IF(OR(F1346="",G1346=""),"",G1346-F1346)</f>
        <v/>
      </c>
    </row>
    <row r="1347" spans="1:8">
      <c r="A1347" s="28"/>
      <c r="B1347" s="28"/>
      <c r="C1347" s="28"/>
      <c r="D1347" s="26" t="str">
        <f t="shared" si="63"/>
        <v/>
      </c>
      <c r="E1347" s="26" t="str">
        <f t="shared" si="64"/>
        <v/>
      </c>
      <c r="F1347" s="28"/>
      <c r="G1347" s="28"/>
      <c r="H1347" s="29" t="str">
        <f t="shared" si="65"/>
        <v/>
      </c>
    </row>
    <row r="1348" spans="1:8">
      <c r="A1348" s="28"/>
      <c r="B1348" s="28"/>
      <c r="C1348" s="28"/>
      <c r="D1348" s="26" t="str">
        <f t="shared" si="63"/>
        <v/>
      </c>
      <c r="E1348" s="26" t="str">
        <f t="shared" si="64"/>
        <v/>
      </c>
      <c r="F1348" s="28"/>
      <c r="G1348" s="28"/>
      <c r="H1348" s="29" t="str">
        <f t="shared" si="65"/>
        <v/>
      </c>
    </row>
    <row r="1349" spans="1:8">
      <c r="A1349" s="28"/>
      <c r="B1349" s="28"/>
      <c r="C1349" s="28"/>
      <c r="D1349" s="26" t="str">
        <f t="shared" si="63"/>
        <v/>
      </c>
      <c r="E1349" s="26" t="str">
        <f t="shared" si="64"/>
        <v/>
      </c>
      <c r="F1349" s="28"/>
      <c r="G1349" s="28"/>
      <c r="H1349" s="29" t="str">
        <f t="shared" si="65"/>
        <v/>
      </c>
    </row>
    <row r="1350" spans="1:8">
      <c r="A1350" s="28"/>
      <c r="B1350" s="28"/>
      <c r="C1350" s="28"/>
      <c r="D1350" s="26" t="str">
        <f t="shared" si="63"/>
        <v/>
      </c>
      <c r="E1350" s="26" t="str">
        <f t="shared" si="64"/>
        <v/>
      </c>
      <c r="F1350" s="28"/>
      <c r="G1350" s="28"/>
      <c r="H1350" s="29" t="str">
        <f t="shared" si="65"/>
        <v/>
      </c>
    </row>
    <row r="1351" spans="1:8">
      <c r="A1351" s="28"/>
      <c r="B1351" s="28"/>
      <c r="C1351" s="28"/>
      <c r="D1351" s="26" t="str">
        <f t="shared" si="63"/>
        <v/>
      </c>
      <c r="E1351" s="26" t="str">
        <f t="shared" si="64"/>
        <v/>
      </c>
      <c r="F1351" s="28"/>
      <c r="G1351" s="28"/>
      <c r="H1351" s="29" t="str">
        <f t="shared" si="65"/>
        <v/>
      </c>
    </row>
    <row r="1352" spans="1:8">
      <c r="A1352" s="28"/>
      <c r="B1352" s="28"/>
      <c r="C1352" s="28"/>
      <c r="D1352" s="26" t="str">
        <f t="shared" si="63"/>
        <v/>
      </c>
      <c r="E1352" s="26" t="str">
        <f t="shared" si="64"/>
        <v/>
      </c>
      <c r="F1352" s="28"/>
      <c r="G1352" s="28"/>
      <c r="H1352" s="29" t="str">
        <f t="shared" si="65"/>
        <v/>
      </c>
    </row>
    <row r="1353" spans="1:8">
      <c r="A1353" s="28"/>
      <c r="B1353" s="28"/>
      <c r="C1353" s="28"/>
      <c r="D1353" s="26" t="str">
        <f t="shared" si="63"/>
        <v/>
      </c>
      <c r="E1353" s="26" t="str">
        <f t="shared" si="64"/>
        <v/>
      </c>
      <c r="F1353" s="28"/>
      <c r="G1353" s="28"/>
      <c r="H1353" s="29" t="str">
        <f t="shared" si="65"/>
        <v/>
      </c>
    </row>
    <row r="1354" spans="1:8">
      <c r="A1354" s="28"/>
      <c r="B1354" s="28"/>
      <c r="C1354" s="28"/>
      <c r="D1354" s="26" t="str">
        <f t="shared" si="63"/>
        <v/>
      </c>
      <c r="E1354" s="26" t="str">
        <f t="shared" si="64"/>
        <v/>
      </c>
      <c r="F1354" s="28"/>
      <c r="G1354" s="28"/>
      <c r="H1354" s="29" t="str">
        <f t="shared" si="65"/>
        <v/>
      </c>
    </row>
    <row r="1355" spans="1:8">
      <c r="A1355" s="28"/>
      <c r="B1355" s="28"/>
      <c r="C1355" s="28"/>
      <c r="D1355" s="26" t="str">
        <f t="shared" si="63"/>
        <v/>
      </c>
      <c r="E1355" s="26" t="str">
        <f t="shared" si="64"/>
        <v/>
      </c>
      <c r="F1355" s="28"/>
      <c r="G1355" s="28"/>
      <c r="H1355" s="29" t="str">
        <f t="shared" si="65"/>
        <v/>
      </c>
    </row>
    <row r="1356" spans="1:8">
      <c r="A1356" s="28"/>
      <c r="B1356" s="28"/>
      <c r="C1356" s="28"/>
      <c r="D1356" s="26" t="str">
        <f t="shared" si="63"/>
        <v/>
      </c>
      <c r="E1356" s="26" t="str">
        <f t="shared" si="64"/>
        <v/>
      </c>
      <c r="F1356" s="28"/>
      <c r="G1356" s="28"/>
      <c r="H1356" s="29" t="str">
        <f t="shared" si="65"/>
        <v/>
      </c>
    </row>
    <row r="1357" spans="1:8">
      <c r="A1357" s="28"/>
      <c r="B1357" s="28"/>
      <c r="C1357" s="28"/>
      <c r="D1357" s="26" t="str">
        <f t="shared" si="63"/>
        <v/>
      </c>
      <c r="E1357" s="26" t="str">
        <f t="shared" si="64"/>
        <v/>
      </c>
      <c r="F1357" s="28"/>
      <c r="G1357" s="28"/>
      <c r="H1357" s="29" t="str">
        <f t="shared" si="65"/>
        <v/>
      </c>
    </row>
    <row r="1358" spans="1:8">
      <c r="A1358" s="28"/>
      <c r="B1358" s="28"/>
      <c r="C1358" s="28"/>
      <c r="D1358" s="26" t="str">
        <f t="shared" si="63"/>
        <v/>
      </c>
      <c r="E1358" s="26" t="str">
        <f t="shared" si="64"/>
        <v/>
      </c>
      <c r="F1358" s="28"/>
      <c r="G1358" s="28"/>
      <c r="H1358" s="29" t="str">
        <f t="shared" si="65"/>
        <v/>
      </c>
    </row>
    <row r="1359" spans="1:8">
      <c r="A1359" s="28"/>
      <c r="B1359" s="28"/>
      <c r="C1359" s="28"/>
      <c r="D1359" s="26" t="str">
        <f t="shared" si="63"/>
        <v/>
      </c>
      <c r="E1359" s="26" t="str">
        <f t="shared" si="64"/>
        <v/>
      </c>
      <c r="F1359" s="28"/>
      <c r="G1359" s="28"/>
      <c r="H1359" s="29" t="str">
        <f t="shared" si="65"/>
        <v/>
      </c>
    </row>
    <row r="1360" spans="1:8">
      <c r="A1360" s="28"/>
      <c r="B1360" s="28"/>
      <c r="C1360" s="28"/>
      <c r="D1360" s="26" t="str">
        <f t="shared" si="63"/>
        <v/>
      </c>
      <c r="E1360" s="26" t="str">
        <f t="shared" si="64"/>
        <v/>
      </c>
      <c r="F1360" s="28"/>
      <c r="G1360" s="28"/>
      <c r="H1360" s="29" t="str">
        <f t="shared" si="65"/>
        <v/>
      </c>
    </row>
    <row r="1361" spans="1:8">
      <c r="A1361" s="28"/>
      <c r="B1361" s="28"/>
      <c r="C1361" s="28"/>
      <c r="D1361" s="26" t="str">
        <f t="shared" si="63"/>
        <v/>
      </c>
      <c r="E1361" s="26" t="str">
        <f t="shared" si="64"/>
        <v/>
      </c>
      <c r="F1361" s="28"/>
      <c r="G1361" s="28"/>
      <c r="H1361" s="29" t="str">
        <f t="shared" si="65"/>
        <v/>
      </c>
    </row>
    <row r="1362" spans="1:8">
      <c r="A1362" s="28"/>
      <c r="B1362" s="28"/>
      <c r="C1362" s="28"/>
      <c r="D1362" s="26" t="str">
        <f t="shared" si="63"/>
        <v/>
      </c>
      <c r="E1362" s="26" t="str">
        <f t="shared" si="64"/>
        <v/>
      </c>
      <c r="F1362" s="28"/>
      <c r="G1362" s="28"/>
      <c r="H1362" s="29" t="str">
        <f t="shared" si="65"/>
        <v/>
      </c>
    </row>
    <row r="1363" spans="1:8">
      <c r="A1363" s="28"/>
      <c r="B1363" s="28"/>
      <c r="C1363" s="28"/>
      <c r="D1363" s="26" t="str">
        <f t="shared" si="63"/>
        <v/>
      </c>
      <c r="E1363" s="26" t="str">
        <f t="shared" si="64"/>
        <v/>
      </c>
      <c r="F1363" s="28"/>
      <c r="G1363" s="28"/>
      <c r="H1363" s="29" t="str">
        <f t="shared" si="65"/>
        <v/>
      </c>
    </row>
    <row r="1364" spans="1:8">
      <c r="A1364" s="28"/>
      <c r="B1364" s="28"/>
      <c r="C1364" s="28"/>
      <c r="D1364" s="26" t="str">
        <f t="shared" si="63"/>
        <v/>
      </c>
      <c r="E1364" s="26" t="str">
        <f t="shared" si="64"/>
        <v/>
      </c>
      <c r="F1364" s="28"/>
      <c r="G1364" s="28"/>
      <c r="H1364" s="29" t="str">
        <f t="shared" si="65"/>
        <v/>
      </c>
    </row>
    <row r="1365" spans="1:8">
      <c r="A1365" s="28"/>
      <c r="B1365" s="28"/>
      <c r="C1365" s="28"/>
      <c r="D1365" s="26" t="str">
        <f t="shared" si="63"/>
        <v/>
      </c>
      <c r="E1365" s="26" t="str">
        <f t="shared" si="64"/>
        <v/>
      </c>
      <c r="F1365" s="28"/>
      <c r="G1365" s="28"/>
      <c r="H1365" s="29" t="str">
        <f t="shared" si="65"/>
        <v/>
      </c>
    </row>
    <row r="1366" spans="1:8">
      <c r="A1366" s="28"/>
      <c r="B1366" s="28"/>
      <c r="C1366" s="28"/>
      <c r="D1366" s="26" t="str">
        <f t="shared" si="63"/>
        <v/>
      </c>
      <c r="E1366" s="26" t="str">
        <f t="shared" si="64"/>
        <v/>
      </c>
      <c r="F1366" s="28"/>
      <c r="G1366" s="28"/>
      <c r="H1366" s="29" t="str">
        <f t="shared" si="65"/>
        <v/>
      </c>
    </row>
    <row r="1367" spans="1:8">
      <c r="A1367" s="28"/>
      <c r="B1367" s="28"/>
      <c r="C1367" s="28"/>
      <c r="D1367" s="26" t="str">
        <f t="shared" si="63"/>
        <v/>
      </c>
      <c r="E1367" s="26" t="str">
        <f t="shared" si="64"/>
        <v/>
      </c>
      <c r="F1367" s="28"/>
      <c r="G1367" s="28"/>
      <c r="H1367" s="29" t="str">
        <f t="shared" si="65"/>
        <v/>
      </c>
    </row>
    <row r="1368" spans="1:8">
      <c r="A1368" s="28"/>
      <c r="B1368" s="28"/>
      <c r="C1368" s="28"/>
      <c r="D1368" s="26" t="str">
        <f t="shared" si="63"/>
        <v/>
      </c>
      <c r="E1368" s="26" t="str">
        <f t="shared" si="64"/>
        <v/>
      </c>
      <c r="F1368" s="28"/>
      <c r="G1368" s="28"/>
      <c r="H1368" s="29" t="str">
        <f t="shared" si="65"/>
        <v/>
      </c>
    </row>
    <row r="1369" spans="1:8">
      <c r="A1369" s="28"/>
      <c r="B1369" s="28"/>
      <c r="C1369" s="28"/>
      <c r="D1369" s="26" t="str">
        <f t="shared" si="63"/>
        <v/>
      </c>
      <c r="E1369" s="26" t="str">
        <f t="shared" si="64"/>
        <v/>
      </c>
      <c r="F1369" s="28"/>
      <c r="G1369" s="28"/>
      <c r="H1369" s="29" t="str">
        <f t="shared" si="65"/>
        <v/>
      </c>
    </row>
    <row r="1370" spans="1:8">
      <c r="A1370" s="28"/>
      <c r="B1370" s="28"/>
      <c r="C1370" s="28"/>
      <c r="D1370" s="26" t="str">
        <f t="shared" si="63"/>
        <v/>
      </c>
      <c r="E1370" s="26" t="str">
        <f t="shared" si="64"/>
        <v/>
      </c>
      <c r="F1370" s="28"/>
      <c r="G1370" s="28"/>
      <c r="H1370" s="29" t="str">
        <f t="shared" si="65"/>
        <v/>
      </c>
    </row>
    <row r="1371" spans="1:8">
      <c r="A1371" s="28"/>
      <c r="B1371" s="28"/>
      <c r="C1371" s="28"/>
      <c r="D1371" s="26" t="str">
        <f t="shared" si="63"/>
        <v/>
      </c>
      <c r="E1371" s="26" t="str">
        <f t="shared" si="64"/>
        <v/>
      </c>
      <c r="F1371" s="28"/>
      <c r="G1371" s="28"/>
      <c r="H1371" s="29" t="str">
        <f t="shared" si="65"/>
        <v/>
      </c>
    </row>
    <row r="1372" spans="1:8">
      <c r="A1372" s="28"/>
      <c r="B1372" s="28"/>
      <c r="C1372" s="28"/>
      <c r="D1372" s="26" t="str">
        <f t="shared" si="63"/>
        <v/>
      </c>
      <c r="E1372" s="26" t="str">
        <f t="shared" si="64"/>
        <v/>
      </c>
      <c r="F1372" s="28"/>
      <c r="G1372" s="28"/>
      <c r="H1372" s="29" t="str">
        <f t="shared" si="65"/>
        <v/>
      </c>
    </row>
    <row r="1373" spans="1:8">
      <c r="A1373" s="28"/>
      <c r="B1373" s="28"/>
      <c r="C1373" s="28"/>
      <c r="D1373" s="26" t="str">
        <f t="shared" si="63"/>
        <v/>
      </c>
      <c r="E1373" s="26" t="str">
        <f t="shared" si="64"/>
        <v/>
      </c>
      <c r="F1373" s="28"/>
      <c r="G1373" s="28"/>
      <c r="H1373" s="29" t="str">
        <f t="shared" si="65"/>
        <v/>
      </c>
    </row>
    <row r="1374" spans="1:8">
      <c r="A1374" s="28"/>
      <c r="B1374" s="28"/>
      <c r="C1374" s="28"/>
      <c r="D1374" s="26" t="str">
        <f t="shared" si="63"/>
        <v/>
      </c>
      <c r="E1374" s="26" t="str">
        <f t="shared" si="64"/>
        <v/>
      </c>
      <c r="F1374" s="28"/>
      <c r="G1374" s="28"/>
      <c r="H1374" s="29" t="str">
        <f t="shared" si="65"/>
        <v/>
      </c>
    </row>
    <row r="1375" spans="1:8">
      <c r="A1375" s="28"/>
      <c r="B1375" s="28"/>
      <c r="C1375" s="28"/>
      <c r="D1375" s="26" t="str">
        <f t="shared" si="63"/>
        <v/>
      </c>
      <c r="E1375" s="26" t="str">
        <f t="shared" si="64"/>
        <v/>
      </c>
      <c r="F1375" s="28"/>
      <c r="G1375" s="28"/>
      <c r="H1375" s="29" t="str">
        <f t="shared" si="65"/>
        <v/>
      </c>
    </row>
    <row r="1376" spans="1:8">
      <c r="A1376" s="28"/>
      <c r="B1376" s="28"/>
      <c r="C1376" s="28"/>
      <c r="D1376" s="26" t="str">
        <f t="shared" si="63"/>
        <v/>
      </c>
      <c r="E1376" s="26" t="str">
        <f t="shared" si="64"/>
        <v/>
      </c>
      <c r="F1376" s="28"/>
      <c r="G1376" s="28"/>
      <c r="H1376" s="29" t="str">
        <f t="shared" si="65"/>
        <v/>
      </c>
    </row>
    <row r="1377" spans="1:8">
      <c r="A1377" s="28"/>
      <c r="B1377" s="28"/>
      <c r="C1377" s="28"/>
      <c r="D1377" s="26" t="str">
        <f t="shared" si="63"/>
        <v/>
      </c>
      <c r="E1377" s="26" t="str">
        <f t="shared" si="64"/>
        <v/>
      </c>
      <c r="F1377" s="28"/>
      <c r="G1377" s="28"/>
      <c r="H1377" s="29" t="str">
        <f t="shared" si="65"/>
        <v/>
      </c>
    </row>
    <row r="1378" spans="1:8">
      <c r="A1378" s="28"/>
      <c r="B1378" s="28"/>
      <c r="C1378" s="28"/>
      <c r="D1378" s="26" t="str">
        <f t="shared" si="63"/>
        <v/>
      </c>
      <c r="E1378" s="26" t="str">
        <f t="shared" si="64"/>
        <v/>
      </c>
      <c r="F1378" s="28"/>
      <c r="G1378" s="28"/>
      <c r="H1378" s="29" t="str">
        <f t="shared" si="65"/>
        <v/>
      </c>
    </row>
    <row r="1379" spans="1:8">
      <c r="A1379" s="28"/>
      <c r="B1379" s="28"/>
      <c r="C1379" s="28"/>
      <c r="D1379" s="26" t="str">
        <f t="shared" si="63"/>
        <v/>
      </c>
      <c r="E1379" s="26" t="str">
        <f t="shared" si="64"/>
        <v/>
      </c>
      <c r="F1379" s="28"/>
      <c r="G1379" s="28"/>
      <c r="H1379" s="29" t="str">
        <f t="shared" si="65"/>
        <v/>
      </c>
    </row>
    <row r="1380" spans="1:8">
      <c r="A1380" s="28"/>
      <c r="B1380" s="28"/>
      <c r="C1380" s="28"/>
      <c r="D1380" s="26" t="str">
        <f t="shared" si="63"/>
        <v/>
      </c>
      <c r="E1380" s="26" t="str">
        <f t="shared" si="64"/>
        <v/>
      </c>
      <c r="F1380" s="28"/>
      <c r="G1380" s="28"/>
      <c r="H1380" s="29" t="str">
        <f t="shared" si="65"/>
        <v/>
      </c>
    </row>
    <row r="1381" spans="1:8">
      <c r="A1381" s="28"/>
      <c r="B1381" s="28"/>
      <c r="C1381" s="28"/>
      <c r="D1381" s="26" t="str">
        <f t="shared" si="63"/>
        <v/>
      </c>
      <c r="E1381" s="26" t="str">
        <f t="shared" si="64"/>
        <v/>
      </c>
      <c r="F1381" s="28"/>
      <c r="G1381" s="28"/>
      <c r="H1381" s="29" t="str">
        <f t="shared" si="65"/>
        <v/>
      </c>
    </row>
    <row r="1382" spans="1:8">
      <c r="A1382" s="28"/>
      <c r="B1382" s="28"/>
      <c r="C1382" s="28"/>
      <c r="D1382" s="26" t="str">
        <f t="shared" si="63"/>
        <v/>
      </c>
      <c r="E1382" s="26" t="str">
        <f t="shared" si="64"/>
        <v/>
      </c>
      <c r="F1382" s="28"/>
      <c r="G1382" s="28"/>
      <c r="H1382" s="29" t="str">
        <f t="shared" si="65"/>
        <v/>
      </c>
    </row>
    <row r="1383" spans="1:8">
      <c r="A1383" s="28"/>
      <c r="B1383" s="28"/>
      <c r="C1383" s="28"/>
      <c r="D1383" s="26" t="str">
        <f t="shared" si="63"/>
        <v/>
      </c>
      <c r="E1383" s="26" t="str">
        <f t="shared" si="64"/>
        <v/>
      </c>
      <c r="F1383" s="28"/>
      <c r="G1383" s="28"/>
      <c r="H1383" s="29" t="str">
        <f t="shared" si="65"/>
        <v/>
      </c>
    </row>
    <row r="1384" spans="1:8">
      <c r="A1384" s="28"/>
      <c r="B1384" s="28"/>
      <c r="C1384" s="28"/>
      <c r="D1384" s="26" t="str">
        <f t="shared" si="63"/>
        <v/>
      </c>
      <c r="E1384" s="26" t="str">
        <f t="shared" si="64"/>
        <v/>
      </c>
      <c r="F1384" s="28"/>
      <c r="G1384" s="28"/>
      <c r="H1384" s="29" t="str">
        <f t="shared" si="65"/>
        <v/>
      </c>
    </row>
    <row r="1385" spans="1:8">
      <c r="A1385" s="28"/>
      <c r="B1385" s="28"/>
      <c r="C1385" s="28"/>
      <c r="D1385" s="26" t="str">
        <f t="shared" si="63"/>
        <v/>
      </c>
      <c r="E1385" s="26" t="str">
        <f t="shared" si="64"/>
        <v/>
      </c>
      <c r="F1385" s="28"/>
      <c r="G1385" s="28"/>
      <c r="H1385" s="29" t="str">
        <f t="shared" si="65"/>
        <v/>
      </c>
    </row>
    <row r="1386" spans="1:8">
      <c r="A1386" s="28"/>
      <c r="B1386" s="28"/>
      <c r="C1386" s="28"/>
      <c r="D1386" s="26" t="str">
        <f t="shared" si="63"/>
        <v/>
      </c>
      <c r="E1386" s="26" t="str">
        <f t="shared" si="64"/>
        <v/>
      </c>
      <c r="F1386" s="28"/>
      <c r="G1386" s="28"/>
      <c r="H1386" s="29" t="str">
        <f t="shared" si="65"/>
        <v/>
      </c>
    </row>
    <row r="1387" spans="1:8">
      <c r="A1387" s="28"/>
      <c r="B1387" s="28"/>
      <c r="C1387" s="28"/>
      <c r="D1387" s="26" t="str">
        <f t="shared" si="63"/>
        <v/>
      </c>
      <c r="E1387" s="26" t="str">
        <f t="shared" si="64"/>
        <v/>
      </c>
      <c r="F1387" s="28"/>
      <c r="G1387" s="28"/>
      <c r="H1387" s="29" t="str">
        <f t="shared" si="65"/>
        <v/>
      </c>
    </row>
    <row r="1388" spans="1:8">
      <c r="A1388" s="28"/>
      <c r="B1388" s="28"/>
      <c r="C1388" s="28"/>
      <c r="D1388" s="26" t="str">
        <f t="shared" si="63"/>
        <v/>
      </c>
      <c r="E1388" s="26" t="str">
        <f t="shared" si="64"/>
        <v/>
      </c>
      <c r="F1388" s="28"/>
      <c r="G1388" s="28"/>
      <c r="H1388" s="29" t="str">
        <f t="shared" si="65"/>
        <v/>
      </c>
    </row>
    <row r="1389" spans="1:8">
      <c r="A1389" s="28"/>
      <c r="B1389" s="28"/>
      <c r="C1389" s="28"/>
      <c r="D1389" s="26" t="str">
        <f t="shared" si="63"/>
        <v/>
      </c>
      <c r="E1389" s="26" t="str">
        <f t="shared" si="64"/>
        <v/>
      </c>
      <c r="F1389" s="28"/>
      <c r="G1389" s="28"/>
      <c r="H1389" s="29" t="str">
        <f t="shared" si="65"/>
        <v/>
      </c>
    </row>
    <row r="1390" spans="1:8">
      <c r="A1390" s="28"/>
      <c r="B1390" s="28"/>
      <c r="C1390" s="28"/>
      <c r="D1390" s="26" t="str">
        <f t="shared" si="63"/>
        <v/>
      </c>
      <c r="E1390" s="26" t="str">
        <f t="shared" si="64"/>
        <v/>
      </c>
      <c r="F1390" s="28"/>
      <c r="G1390" s="28"/>
      <c r="H1390" s="29" t="str">
        <f t="shared" si="65"/>
        <v/>
      </c>
    </row>
    <row r="1391" spans="1:8">
      <c r="A1391" s="28"/>
      <c r="B1391" s="28"/>
      <c r="C1391" s="28"/>
      <c r="D1391" s="26" t="str">
        <f t="shared" si="63"/>
        <v/>
      </c>
      <c r="E1391" s="26" t="str">
        <f t="shared" si="64"/>
        <v/>
      </c>
      <c r="F1391" s="28"/>
      <c r="G1391" s="28"/>
      <c r="H1391" s="29" t="str">
        <f t="shared" si="65"/>
        <v/>
      </c>
    </row>
    <row r="1392" spans="1:8">
      <c r="A1392" s="28"/>
      <c r="B1392" s="28"/>
      <c r="C1392" s="28"/>
      <c r="D1392" s="26" t="str">
        <f t="shared" si="63"/>
        <v/>
      </c>
      <c r="E1392" s="26" t="str">
        <f t="shared" si="64"/>
        <v/>
      </c>
      <c r="F1392" s="28"/>
      <c r="G1392" s="28"/>
      <c r="H1392" s="29" t="str">
        <f t="shared" si="65"/>
        <v/>
      </c>
    </row>
    <row r="1393" spans="1:8">
      <c r="A1393" s="28"/>
      <c r="B1393" s="28"/>
      <c r="C1393" s="28"/>
      <c r="D1393" s="26" t="str">
        <f t="shared" si="63"/>
        <v/>
      </c>
      <c r="E1393" s="26" t="str">
        <f t="shared" si="64"/>
        <v/>
      </c>
      <c r="F1393" s="28"/>
      <c r="G1393" s="28"/>
      <c r="H1393" s="29" t="str">
        <f t="shared" si="65"/>
        <v/>
      </c>
    </row>
    <row r="1394" spans="1:8">
      <c r="A1394" s="28"/>
      <c r="B1394" s="28"/>
      <c r="C1394" s="28"/>
      <c r="D1394" s="26" t="str">
        <f t="shared" si="63"/>
        <v/>
      </c>
      <c r="E1394" s="26" t="str">
        <f t="shared" si="64"/>
        <v/>
      </c>
      <c r="F1394" s="28"/>
      <c r="G1394" s="28"/>
      <c r="H1394" s="29" t="str">
        <f t="shared" si="65"/>
        <v/>
      </c>
    </row>
    <row r="1395" spans="1:8">
      <c r="A1395" s="28"/>
      <c r="B1395" s="28"/>
      <c r="C1395" s="28"/>
      <c r="D1395" s="26" t="str">
        <f t="shared" si="63"/>
        <v/>
      </c>
      <c r="E1395" s="26" t="str">
        <f t="shared" si="64"/>
        <v/>
      </c>
      <c r="F1395" s="28"/>
      <c r="G1395" s="28"/>
      <c r="H1395" s="29" t="str">
        <f t="shared" si="65"/>
        <v/>
      </c>
    </row>
    <row r="1396" spans="1:8">
      <c r="A1396" s="28"/>
      <c r="B1396" s="28"/>
      <c r="C1396" s="28"/>
      <c r="D1396" s="26" t="str">
        <f t="shared" si="63"/>
        <v/>
      </c>
      <c r="E1396" s="26" t="str">
        <f t="shared" si="64"/>
        <v/>
      </c>
      <c r="F1396" s="28"/>
      <c r="G1396" s="28"/>
      <c r="H1396" s="29" t="str">
        <f t="shared" si="65"/>
        <v/>
      </c>
    </row>
    <row r="1397" spans="1:8">
      <c r="A1397" s="28"/>
      <c r="B1397" s="28"/>
      <c r="C1397" s="28"/>
      <c r="D1397" s="26" t="str">
        <f t="shared" si="63"/>
        <v/>
      </c>
      <c r="E1397" s="26" t="str">
        <f t="shared" si="64"/>
        <v/>
      </c>
      <c r="F1397" s="28"/>
      <c r="G1397" s="28"/>
      <c r="H1397" s="29" t="str">
        <f t="shared" si="65"/>
        <v/>
      </c>
    </row>
    <row r="1398" spans="1:8">
      <c r="A1398" s="28"/>
      <c r="B1398" s="28"/>
      <c r="C1398" s="28"/>
      <c r="D1398" s="26" t="str">
        <f t="shared" si="63"/>
        <v/>
      </c>
      <c r="E1398" s="26" t="str">
        <f t="shared" si="64"/>
        <v/>
      </c>
      <c r="F1398" s="28"/>
      <c r="G1398" s="28"/>
      <c r="H1398" s="29" t="str">
        <f t="shared" si="65"/>
        <v/>
      </c>
    </row>
    <row r="1399" spans="1:8">
      <c r="A1399" s="28"/>
      <c r="B1399" s="28"/>
      <c r="C1399" s="28"/>
      <c r="D1399" s="26" t="str">
        <f t="shared" si="63"/>
        <v/>
      </c>
      <c r="E1399" s="26" t="str">
        <f t="shared" si="64"/>
        <v/>
      </c>
      <c r="F1399" s="28"/>
      <c r="G1399" s="28"/>
      <c r="H1399" s="29" t="str">
        <f t="shared" si="65"/>
        <v/>
      </c>
    </row>
    <row r="1400" spans="1:8">
      <c r="A1400" s="28"/>
      <c r="B1400" s="28"/>
      <c r="C1400" s="28"/>
      <c r="D1400" s="26" t="str">
        <f t="shared" si="63"/>
        <v/>
      </c>
      <c r="E1400" s="26" t="str">
        <f t="shared" si="64"/>
        <v/>
      </c>
      <c r="F1400" s="28"/>
      <c r="G1400" s="28"/>
      <c r="H1400" s="29" t="str">
        <f t="shared" si="65"/>
        <v/>
      </c>
    </row>
    <row r="1401" spans="1:8">
      <c r="A1401" s="28"/>
      <c r="B1401" s="28"/>
      <c r="C1401" s="28"/>
      <c r="D1401" s="26" t="str">
        <f t="shared" si="63"/>
        <v/>
      </c>
      <c r="E1401" s="26" t="str">
        <f t="shared" si="64"/>
        <v/>
      </c>
      <c r="F1401" s="28"/>
      <c r="G1401" s="28"/>
      <c r="H1401" s="29" t="str">
        <f t="shared" si="65"/>
        <v/>
      </c>
    </row>
    <row r="1402" spans="1:8">
      <c r="A1402" s="28"/>
      <c r="B1402" s="28"/>
      <c r="C1402" s="28"/>
      <c r="D1402" s="26" t="str">
        <f t="shared" si="63"/>
        <v/>
      </c>
      <c r="E1402" s="26" t="str">
        <f t="shared" si="64"/>
        <v/>
      </c>
      <c r="F1402" s="28"/>
      <c r="G1402" s="28"/>
      <c r="H1402" s="29" t="str">
        <f t="shared" si="65"/>
        <v/>
      </c>
    </row>
    <row r="1403" spans="1:8">
      <c r="A1403" s="28"/>
      <c r="B1403" s="28"/>
      <c r="C1403" s="28"/>
      <c r="D1403" s="26" t="str">
        <f t="shared" si="63"/>
        <v/>
      </c>
      <c r="E1403" s="26" t="str">
        <f t="shared" si="64"/>
        <v/>
      </c>
      <c r="F1403" s="28"/>
      <c r="G1403" s="28"/>
      <c r="H1403" s="29" t="str">
        <f t="shared" si="65"/>
        <v/>
      </c>
    </row>
    <row r="1404" spans="1:8">
      <c r="A1404" s="28"/>
      <c r="B1404" s="28"/>
      <c r="C1404" s="28"/>
      <c r="D1404" s="26" t="str">
        <f t="shared" si="63"/>
        <v/>
      </c>
      <c r="E1404" s="26" t="str">
        <f t="shared" si="64"/>
        <v/>
      </c>
      <c r="F1404" s="28"/>
      <c r="G1404" s="28"/>
      <c r="H1404" s="29" t="str">
        <f t="shared" si="65"/>
        <v/>
      </c>
    </row>
    <row r="1405" spans="1:8">
      <c r="A1405" s="28"/>
      <c r="B1405" s="28"/>
      <c r="C1405" s="28"/>
      <c r="D1405" s="26" t="str">
        <f t="shared" si="63"/>
        <v/>
      </c>
      <c r="E1405" s="26" t="str">
        <f t="shared" si="64"/>
        <v/>
      </c>
      <c r="F1405" s="28"/>
      <c r="G1405" s="28"/>
      <c r="H1405" s="29" t="str">
        <f t="shared" si="65"/>
        <v/>
      </c>
    </row>
    <row r="1406" spans="1:8">
      <c r="A1406" s="28"/>
      <c r="B1406" s="28"/>
      <c r="C1406" s="28"/>
      <c r="D1406" s="26" t="str">
        <f t="shared" si="63"/>
        <v/>
      </c>
      <c r="E1406" s="26" t="str">
        <f t="shared" si="64"/>
        <v/>
      </c>
      <c r="F1406" s="28"/>
      <c r="G1406" s="28"/>
      <c r="H1406" s="29" t="str">
        <f t="shared" si="65"/>
        <v/>
      </c>
    </row>
    <row r="1407" spans="1:8">
      <c r="A1407" s="28"/>
      <c r="B1407" s="28"/>
      <c r="C1407" s="28"/>
      <c r="D1407" s="26" t="str">
        <f t="shared" si="63"/>
        <v/>
      </c>
      <c r="E1407" s="26" t="str">
        <f t="shared" si="64"/>
        <v/>
      </c>
      <c r="F1407" s="28"/>
      <c r="G1407" s="28"/>
      <c r="H1407" s="29" t="str">
        <f t="shared" si="65"/>
        <v/>
      </c>
    </row>
    <row r="1408" spans="1:8">
      <c r="A1408" s="28"/>
      <c r="B1408" s="28"/>
      <c r="C1408" s="28"/>
      <c r="D1408" s="26" t="str">
        <f t="shared" si="63"/>
        <v/>
      </c>
      <c r="E1408" s="26" t="str">
        <f t="shared" si="64"/>
        <v/>
      </c>
      <c r="F1408" s="28"/>
      <c r="G1408" s="28"/>
      <c r="H1408" s="29" t="str">
        <f t="shared" si="65"/>
        <v/>
      </c>
    </row>
    <row r="1409" spans="1:8">
      <c r="A1409" s="28"/>
      <c r="B1409" s="28"/>
      <c r="C1409" s="28"/>
      <c r="D1409" s="26" t="str">
        <f t="shared" si="63"/>
        <v/>
      </c>
      <c r="E1409" s="26" t="str">
        <f t="shared" si="64"/>
        <v/>
      </c>
      <c r="F1409" s="28"/>
      <c r="G1409" s="28"/>
      <c r="H1409" s="29" t="str">
        <f t="shared" si="65"/>
        <v/>
      </c>
    </row>
    <row r="1410" spans="1:8">
      <c r="A1410" s="28"/>
      <c r="B1410" s="28"/>
      <c r="C1410" s="28"/>
      <c r="D1410" s="26" t="str">
        <f t="shared" ref="D1410:D1473" si="66">IF(OR(B1410="",C1410=""),"",C1410-B1410)</f>
        <v/>
      </c>
      <c r="E1410" s="26" t="str">
        <f t="shared" ref="E1410:E1441" si="67">IF(OR(B1410="",C1410=""),"",(B1410+C1410)/2)</f>
        <v/>
      </c>
      <c r="F1410" s="28"/>
      <c r="G1410" s="28"/>
      <c r="H1410" s="29" t="str">
        <f t="shared" ref="H1410:H1473" si="68">IF(OR(F1410="",G1410=""),"",G1410-F1410)</f>
        <v/>
      </c>
    </row>
    <row r="1411" spans="1:8">
      <c r="A1411" s="28"/>
      <c r="B1411" s="28"/>
      <c r="C1411" s="28"/>
      <c r="D1411" s="26" t="str">
        <f t="shared" si="66"/>
        <v/>
      </c>
      <c r="E1411" s="26" t="str">
        <f t="shared" si="67"/>
        <v/>
      </c>
      <c r="F1411" s="28"/>
      <c r="G1411" s="28"/>
      <c r="H1411" s="29" t="str">
        <f t="shared" si="68"/>
        <v/>
      </c>
    </row>
    <row r="1412" spans="1:8">
      <c r="A1412" s="28"/>
      <c r="B1412" s="28"/>
      <c r="C1412" s="28"/>
      <c r="D1412" s="26" t="str">
        <f t="shared" si="66"/>
        <v/>
      </c>
      <c r="E1412" s="26" t="str">
        <f t="shared" si="67"/>
        <v/>
      </c>
      <c r="F1412" s="28"/>
      <c r="G1412" s="28"/>
      <c r="H1412" s="29" t="str">
        <f t="shared" si="68"/>
        <v/>
      </c>
    </row>
    <row r="1413" spans="1:8">
      <c r="A1413" s="28"/>
      <c r="B1413" s="28"/>
      <c r="C1413" s="28"/>
      <c r="D1413" s="26" t="str">
        <f t="shared" si="66"/>
        <v/>
      </c>
      <c r="E1413" s="26" t="str">
        <f t="shared" si="67"/>
        <v/>
      </c>
      <c r="F1413" s="28"/>
      <c r="G1413" s="28"/>
      <c r="H1413" s="29" t="str">
        <f t="shared" si="68"/>
        <v/>
      </c>
    </row>
    <row r="1414" spans="1:8">
      <c r="A1414" s="28"/>
      <c r="B1414" s="28"/>
      <c r="C1414" s="28"/>
      <c r="D1414" s="26" t="str">
        <f t="shared" si="66"/>
        <v/>
      </c>
      <c r="E1414" s="26" t="str">
        <f t="shared" si="67"/>
        <v/>
      </c>
      <c r="F1414" s="28"/>
      <c r="G1414" s="28"/>
      <c r="H1414" s="29" t="str">
        <f t="shared" si="68"/>
        <v/>
      </c>
    </row>
    <row r="1415" spans="1:8">
      <c r="A1415" s="28"/>
      <c r="B1415" s="28"/>
      <c r="C1415" s="28"/>
      <c r="D1415" s="26" t="str">
        <f t="shared" si="66"/>
        <v/>
      </c>
      <c r="E1415" s="26" t="str">
        <f t="shared" si="67"/>
        <v/>
      </c>
      <c r="F1415" s="28"/>
      <c r="G1415" s="28"/>
      <c r="H1415" s="29" t="str">
        <f t="shared" si="68"/>
        <v/>
      </c>
    </row>
    <row r="1416" spans="1:8">
      <c r="A1416" s="28"/>
      <c r="B1416" s="28"/>
      <c r="C1416" s="28"/>
      <c r="D1416" s="26" t="str">
        <f t="shared" si="66"/>
        <v/>
      </c>
      <c r="E1416" s="26" t="str">
        <f t="shared" si="67"/>
        <v/>
      </c>
      <c r="F1416" s="28"/>
      <c r="G1416" s="28"/>
      <c r="H1416" s="29" t="str">
        <f t="shared" si="68"/>
        <v/>
      </c>
    </row>
    <row r="1417" spans="1:8">
      <c r="A1417" s="28"/>
      <c r="B1417" s="28"/>
      <c r="C1417" s="28"/>
      <c r="D1417" s="26" t="str">
        <f t="shared" si="66"/>
        <v/>
      </c>
      <c r="E1417" s="26" t="str">
        <f t="shared" si="67"/>
        <v/>
      </c>
      <c r="F1417" s="28"/>
      <c r="G1417" s="28"/>
      <c r="H1417" s="29" t="str">
        <f t="shared" si="68"/>
        <v/>
      </c>
    </row>
    <row r="1418" spans="1:8">
      <c r="A1418" s="28"/>
      <c r="B1418" s="28"/>
      <c r="C1418" s="28"/>
      <c r="D1418" s="26" t="str">
        <f t="shared" si="66"/>
        <v/>
      </c>
      <c r="E1418" s="26" t="str">
        <f t="shared" si="67"/>
        <v/>
      </c>
      <c r="F1418" s="28"/>
      <c r="G1418" s="28"/>
      <c r="H1418" s="29" t="str">
        <f t="shared" si="68"/>
        <v/>
      </c>
    </row>
    <row r="1419" spans="1:8">
      <c r="A1419" s="28"/>
      <c r="B1419" s="28"/>
      <c r="C1419" s="28"/>
      <c r="D1419" s="26" t="str">
        <f t="shared" si="66"/>
        <v/>
      </c>
      <c r="E1419" s="26" t="str">
        <f t="shared" si="67"/>
        <v/>
      </c>
      <c r="F1419" s="28"/>
      <c r="G1419" s="28"/>
      <c r="H1419" s="29" t="str">
        <f t="shared" si="68"/>
        <v/>
      </c>
    </row>
    <row r="1420" spans="1:8">
      <c r="A1420" s="28"/>
      <c r="B1420" s="28"/>
      <c r="C1420" s="28"/>
      <c r="D1420" s="26" t="str">
        <f t="shared" si="66"/>
        <v/>
      </c>
      <c r="E1420" s="26" t="str">
        <f t="shared" si="67"/>
        <v/>
      </c>
      <c r="F1420" s="28"/>
      <c r="G1420" s="28"/>
      <c r="H1420" s="29" t="str">
        <f t="shared" si="68"/>
        <v/>
      </c>
    </row>
    <row r="1421" spans="1:8">
      <c r="A1421" s="28"/>
      <c r="B1421" s="28"/>
      <c r="C1421" s="28"/>
      <c r="D1421" s="26" t="str">
        <f t="shared" si="66"/>
        <v/>
      </c>
      <c r="E1421" s="26" t="str">
        <f t="shared" si="67"/>
        <v/>
      </c>
      <c r="F1421" s="28"/>
      <c r="G1421" s="28"/>
      <c r="H1421" s="29" t="str">
        <f t="shared" si="68"/>
        <v/>
      </c>
    </row>
    <row r="1422" spans="1:8">
      <c r="A1422" s="28"/>
      <c r="B1422" s="28"/>
      <c r="C1422" s="28"/>
      <c r="D1422" s="26" t="str">
        <f t="shared" si="66"/>
        <v/>
      </c>
      <c r="E1422" s="26" t="str">
        <f t="shared" si="67"/>
        <v/>
      </c>
      <c r="F1422" s="28"/>
      <c r="G1422" s="28"/>
      <c r="H1422" s="29" t="str">
        <f t="shared" si="68"/>
        <v/>
      </c>
    </row>
    <row r="1423" spans="1:8">
      <c r="A1423" s="28"/>
      <c r="B1423" s="28"/>
      <c r="C1423" s="28"/>
      <c r="D1423" s="26" t="str">
        <f t="shared" si="66"/>
        <v/>
      </c>
      <c r="E1423" s="26" t="str">
        <f t="shared" si="67"/>
        <v/>
      </c>
      <c r="F1423" s="28"/>
      <c r="G1423" s="28"/>
      <c r="H1423" s="29" t="str">
        <f t="shared" si="68"/>
        <v/>
      </c>
    </row>
    <row r="1424" spans="1:8">
      <c r="A1424" s="28"/>
      <c r="B1424" s="28"/>
      <c r="C1424" s="28"/>
      <c r="D1424" s="26" t="str">
        <f t="shared" si="66"/>
        <v/>
      </c>
      <c r="E1424" s="26" t="str">
        <f t="shared" si="67"/>
        <v/>
      </c>
      <c r="F1424" s="28"/>
      <c r="G1424" s="28"/>
      <c r="H1424" s="29" t="str">
        <f t="shared" si="68"/>
        <v/>
      </c>
    </row>
    <row r="1425" spans="1:8">
      <c r="A1425" s="28"/>
      <c r="B1425" s="28"/>
      <c r="C1425" s="28"/>
      <c r="D1425" s="26" t="str">
        <f t="shared" si="66"/>
        <v/>
      </c>
      <c r="E1425" s="26" t="str">
        <f t="shared" si="67"/>
        <v/>
      </c>
      <c r="F1425" s="28"/>
      <c r="G1425" s="28"/>
      <c r="H1425" s="29" t="str">
        <f t="shared" si="68"/>
        <v/>
      </c>
    </row>
    <row r="1426" spans="1:8">
      <c r="A1426" s="28"/>
      <c r="B1426" s="28"/>
      <c r="C1426" s="28"/>
      <c r="D1426" s="26" t="str">
        <f t="shared" si="66"/>
        <v/>
      </c>
      <c r="E1426" s="26" t="str">
        <f t="shared" si="67"/>
        <v/>
      </c>
      <c r="F1426" s="28"/>
      <c r="G1426" s="28"/>
      <c r="H1426" s="29" t="str">
        <f t="shared" si="68"/>
        <v/>
      </c>
    </row>
    <row r="1427" spans="1:8">
      <c r="A1427" s="28"/>
      <c r="B1427" s="28"/>
      <c r="C1427" s="28"/>
      <c r="D1427" s="26" t="str">
        <f t="shared" si="66"/>
        <v/>
      </c>
      <c r="E1427" s="26" t="str">
        <f t="shared" si="67"/>
        <v/>
      </c>
      <c r="F1427" s="28"/>
      <c r="G1427" s="28"/>
      <c r="H1427" s="29" t="str">
        <f t="shared" si="68"/>
        <v/>
      </c>
    </row>
    <row r="1428" spans="1:8">
      <c r="A1428" s="28"/>
      <c r="B1428" s="28"/>
      <c r="C1428" s="28"/>
      <c r="D1428" s="26" t="str">
        <f t="shared" si="66"/>
        <v/>
      </c>
      <c r="E1428" s="26" t="str">
        <f t="shared" si="67"/>
        <v/>
      </c>
      <c r="F1428" s="28"/>
      <c r="G1428" s="28"/>
      <c r="H1428" s="29" t="str">
        <f t="shared" si="68"/>
        <v/>
      </c>
    </row>
    <row r="1429" spans="1:8">
      <c r="A1429" s="28"/>
      <c r="B1429" s="28"/>
      <c r="C1429" s="28"/>
      <c r="D1429" s="26" t="str">
        <f t="shared" si="66"/>
        <v/>
      </c>
      <c r="E1429" s="26" t="str">
        <f t="shared" si="67"/>
        <v/>
      </c>
      <c r="F1429" s="28"/>
      <c r="G1429" s="28"/>
      <c r="H1429" s="29" t="str">
        <f t="shared" si="68"/>
        <v/>
      </c>
    </row>
    <row r="1430" spans="1:8">
      <c r="A1430" s="28"/>
      <c r="B1430" s="28"/>
      <c r="C1430" s="28"/>
      <c r="D1430" s="26" t="str">
        <f t="shared" si="66"/>
        <v/>
      </c>
      <c r="E1430" s="26" t="str">
        <f t="shared" si="67"/>
        <v/>
      </c>
      <c r="F1430" s="28"/>
      <c r="G1430" s="28"/>
      <c r="H1430" s="29" t="str">
        <f t="shared" si="68"/>
        <v/>
      </c>
    </row>
    <row r="1431" spans="1:8">
      <c r="A1431" s="28"/>
      <c r="B1431" s="28"/>
      <c r="C1431" s="28"/>
      <c r="D1431" s="26" t="str">
        <f t="shared" si="66"/>
        <v/>
      </c>
      <c r="E1431" s="26" t="str">
        <f t="shared" si="67"/>
        <v/>
      </c>
      <c r="F1431" s="28"/>
      <c r="G1431" s="28"/>
      <c r="H1431" s="29" t="str">
        <f t="shared" si="68"/>
        <v/>
      </c>
    </row>
    <row r="1432" spans="1:8">
      <c r="A1432" s="28"/>
      <c r="B1432" s="28"/>
      <c r="C1432" s="28"/>
      <c r="D1432" s="26" t="str">
        <f t="shared" si="66"/>
        <v/>
      </c>
      <c r="E1432" s="26" t="str">
        <f t="shared" si="67"/>
        <v/>
      </c>
      <c r="F1432" s="28"/>
      <c r="G1432" s="28"/>
      <c r="H1432" s="29" t="str">
        <f t="shared" si="68"/>
        <v/>
      </c>
    </row>
    <row r="1433" spans="1:8">
      <c r="A1433" s="28"/>
      <c r="B1433" s="28"/>
      <c r="C1433" s="28"/>
      <c r="D1433" s="26" t="str">
        <f t="shared" si="66"/>
        <v/>
      </c>
      <c r="E1433" s="26" t="str">
        <f t="shared" si="67"/>
        <v/>
      </c>
      <c r="F1433" s="28"/>
      <c r="G1433" s="28"/>
      <c r="H1433" s="29" t="str">
        <f t="shared" si="68"/>
        <v/>
      </c>
    </row>
    <row r="1434" spans="1:8">
      <c r="A1434" s="28"/>
      <c r="B1434" s="28"/>
      <c r="C1434" s="28"/>
      <c r="D1434" s="26" t="str">
        <f t="shared" si="66"/>
        <v/>
      </c>
      <c r="E1434" s="26" t="str">
        <f t="shared" si="67"/>
        <v/>
      </c>
      <c r="F1434" s="28"/>
      <c r="G1434" s="28"/>
      <c r="H1434" s="29" t="str">
        <f t="shared" si="68"/>
        <v/>
      </c>
    </row>
    <row r="1435" spans="1:8">
      <c r="A1435" s="28"/>
      <c r="B1435" s="28"/>
      <c r="C1435" s="28"/>
      <c r="D1435" s="26" t="str">
        <f t="shared" si="66"/>
        <v/>
      </c>
      <c r="E1435" s="26" t="str">
        <f t="shared" si="67"/>
        <v/>
      </c>
      <c r="F1435" s="28"/>
      <c r="G1435" s="28"/>
      <c r="H1435" s="29" t="str">
        <f t="shared" si="68"/>
        <v/>
      </c>
    </row>
    <row r="1436" spans="1:8">
      <c r="A1436" s="28"/>
      <c r="B1436" s="28"/>
      <c r="C1436" s="28"/>
      <c r="D1436" s="26" t="str">
        <f t="shared" si="66"/>
        <v/>
      </c>
      <c r="E1436" s="26" t="str">
        <f t="shared" si="67"/>
        <v/>
      </c>
      <c r="F1436" s="28"/>
      <c r="G1436" s="28"/>
      <c r="H1436" s="29" t="str">
        <f t="shared" si="68"/>
        <v/>
      </c>
    </row>
    <row r="1437" spans="1:8">
      <c r="A1437" s="28"/>
      <c r="B1437" s="28"/>
      <c r="C1437" s="28"/>
      <c r="D1437" s="26" t="str">
        <f t="shared" si="66"/>
        <v/>
      </c>
      <c r="E1437" s="26" t="str">
        <f t="shared" si="67"/>
        <v/>
      </c>
      <c r="F1437" s="28"/>
      <c r="G1437" s="28"/>
      <c r="H1437" s="29" t="str">
        <f t="shared" si="68"/>
        <v/>
      </c>
    </row>
    <row r="1438" spans="1:8">
      <c r="A1438" s="28"/>
      <c r="B1438" s="28"/>
      <c r="C1438" s="28"/>
      <c r="D1438" s="26" t="str">
        <f t="shared" si="66"/>
        <v/>
      </c>
      <c r="E1438" s="26" t="str">
        <f t="shared" si="67"/>
        <v/>
      </c>
      <c r="F1438" s="28"/>
      <c r="G1438" s="28"/>
      <c r="H1438" s="29" t="str">
        <f t="shared" si="68"/>
        <v/>
      </c>
    </row>
    <row r="1439" spans="1:8">
      <c r="A1439" s="28"/>
      <c r="B1439" s="28"/>
      <c r="C1439" s="28"/>
      <c r="D1439" s="26" t="str">
        <f t="shared" si="66"/>
        <v/>
      </c>
      <c r="E1439" s="26" t="str">
        <f t="shared" si="67"/>
        <v/>
      </c>
      <c r="F1439" s="28"/>
      <c r="G1439" s="28"/>
      <c r="H1439" s="29" t="str">
        <f t="shared" si="68"/>
        <v/>
      </c>
    </row>
    <row r="1440" spans="1:8">
      <c r="A1440" s="28"/>
      <c r="B1440" s="28"/>
      <c r="C1440" s="28"/>
      <c r="D1440" s="26" t="str">
        <f t="shared" si="66"/>
        <v/>
      </c>
      <c r="E1440" s="26" t="str">
        <f t="shared" si="67"/>
        <v/>
      </c>
      <c r="F1440" s="28"/>
      <c r="G1440" s="28"/>
      <c r="H1440" s="29" t="str">
        <f t="shared" si="68"/>
        <v/>
      </c>
    </row>
    <row r="1441" spans="1:8">
      <c r="A1441" s="28"/>
      <c r="B1441" s="28"/>
      <c r="C1441" s="28"/>
      <c r="D1441" s="26" t="str">
        <f t="shared" si="66"/>
        <v/>
      </c>
      <c r="E1441" s="26" t="str">
        <f t="shared" si="67"/>
        <v/>
      </c>
      <c r="F1441" s="28"/>
      <c r="G1441" s="28"/>
      <c r="H1441" s="29" t="str">
        <f t="shared" si="68"/>
        <v/>
      </c>
    </row>
  </sheetData>
  <conditionalFormatting sqref="K3:K7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A9D8F"/>
  </sheetPr>
  <dimension ref="A1:G12"/>
  <sheetViews>
    <sheetView workbookViewId="0"/>
  </sheetViews>
  <sheetFormatPr defaultRowHeight="14.4"/>
  <cols>
    <col min="1" max="1" width="8" customWidth="1"/>
    <col min="2" max="3" width="18" customWidth="1"/>
    <col min="4" max="4" width="14" customWidth="1"/>
    <col min="5" max="5" width="11" customWidth="1"/>
    <col min="6" max="6" width="17" customWidth="1"/>
    <col min="7" max="7" width="22" customWidth="1"/>
  </cols>
  <sheetData>
    <row r="1" spans="1:7" ht="30" customHeight="1">
      <c r="A1" s="14" t="s">
        <v>85</v>
      </c>
      <c r="B1" s="14" t="s">
        <v>86</v>
      </c>
      <c r="C1" s="14" t="s">
        <v>87</v>
      </c>
      <c r="D1" s="14" t="s">
        <v>88</v>
      </c>
      <c r="E1" s="14" t="s">
        <v>89</v>
      </c>
      <c r="F1" s="14" t="s">
        <v>90</v>
      </c>
      <c r="G1" s="14" t="s">
        <v>91</v>
      </c>
    </row>
    <row r="2" spans="1:7">
      <c r="A2">
        <v>1</v>
      </c>
      <c r="B2" s="32">
        <v>46299.138194444437</v>
      </c>
      <c r="C2" s="32">
        <v>46299.145138888889</v>
      </c>
      <c r="D2" s="33">
        <f t="shared" ref="D2:D10" si="0">(C2-B2)*1440</f>
        <v>10.000000011641532</v>
      </c>
      <c r="E2" s="26">
        <v>0.35499999999999998</v>
      </c>
      <c r="F2" s="26">
        <f t="shared" ref="F2:F10" si="1">E2/(D2/60)</f>
        <v>2.1299999975203536</v>
      </c>
      <c r="G2" s="33"/>
    </row>
    <row r="3" spans="1:7">
      <c r="A3">
        <v>2</v>
      </c>
      <c r="B3" s="32">
        <v>46299.173611111109</v>
      </c>
      <c r="C3" s="32">
        <v>46299.179861111108</v>
      </c>
      <c r="D3" s="33">
        <f t="shared" si="0"/>
        <v>8.9999999979045242</v>
      </c>
      <c r="E3" s="26">
        <v>0.313</v>
      </c>
      <c r="F3" s="26">
        <f t="shared" si="1"/>
        <v>2.0866666671525067</v>
      </c>
      <c r="G3" s="33">
        <f t="shared" ref="G3:G10" si="2">(B3-B2)*1440</f>
        <v>51.000000009080395</v>
      </c>
    </row>
    <row r="4" spans="1:7">
      <c r="A4">
        <v>3</v>
      </c>
      <c r="B4" s="32">
        <v>46299.204861111109</v>
      </c>
      <c r="C4" s="32">
        <v>46299.211805555547</v>
      </c>
      <c r="D4" s="33">
        <f t="shared" si="0"/>
        <v>9.9999999906867743</v>
      </c>
      <c r="E4" s="26">
        <v>0.376</v>
      </c>
      <c r="F4" s="26">
        <f t="shared" si="1"/>
        <v>2.2560000021010636</v>
      </c>
      <c r="G4" s="33">
        <f t="shared" si="2"/>
        <v>45</v>
      </c>
    </row>
    <row r="5" spans="1:7">
      <c r="A5">
        <v>4</v>
      </c>
      <c r="B5" s="32">
        <v>46299.237500000003</v>
      </c>
      <c r="C5" s="32">
        <v>46299.244444444441</v>
      </c>
      <c r="D5" s="33">
        <f t="shared" si="0"/>
        <v>9.9999999906867743</v>
      </c>
      <c r="E5" s="26">
        <v>0.42399999999999999</v>
      </c>
      <c r="F5" s="26">
        <f t="shared" si="1"/>
        <v>2.5440000023692844</v>
      </c>
      <c r="G5" s="33">
        <f t="shared" si="2"/>
        <v>47.000000006519258</v>
      </c>
    </row>
    <row r="6" spans="1:7">
      <c r="A6">
        <v>5</v>
      </c>
      <c r="B6" s="32">
        <v>46299.271527777782</v>
      </c>
      <c r="C6" s="32">
        <v>46299.27847222222</v>
      </c>
      <c r="D6" s="33">
        <f t="shared" si="0"/>
        <v>9.9999999906867743</v>
      </c>
      <c r="E6" s="26">
        <v>0.42399999999999999</v>
      </c>
      <c r="F6" s="26">
        <f t="shared" si="1"/>
        <v>2.5440000023692844</v>
      </c>
      <c r="G6" s="33">
        <f t="shared" si="2"/>
        <v>49.000000002561137</v>
      </c>
    </row>
    <row r="7" spans="1:7">
      <c r="A7">
        <v>6</v>
      </c>
      <c r="B7" s="32">
        <v>46299.302777777782</v>
      </c>
      <c r="C7" s="32">
        <v>46299.30972222222</v>
      </c>
      <c r="D7" s="33">
        <f t="shared" si="0"/>
        <v>9.9999999906867743</v>
      </c>
      <c r="E7" s="26">
        <v>0.439</v>
      </c>
      <c r="F7" s="26">
        <f t="shared" si="1"/>
        <v>2.6340000024531038</v>
      </c>
      <c r="G7" s="33">
        <f t="shared" si="2"/>
        <v>45</v>
      </c>
    </row>
    <row r="8" spans="1:7">
      <c r="A8">
        <v>7</v>
      </c>
      <c r="B8" s="32">
        <v>46299.34652777778</v>
      </c>
      <c r="C8" s="32">
        <v>46299.354166666657</v>
      </c>
      <c r="D8" s="33">
        <f t="shared" si="0"/>
        <v>10.999999983469024</v>
      </c>
      <c r="E8" s="26">
        <v>0.49299999999999999</v>
      </c>
      <c r="F8" s="26">
        <f t="shared" si="1"/>
        <v>2.6890909131321177</v>
      </c>
      <c r="G8" s="33">
        <f t="shared" si="2"/>
        <v>62.999999995809048</v>
      </c>
    </row>
    <row r="9" spans="1:7">
      <c r="A9">
        <v>8</v>
      </c>
      <c r="B9" s="32">
        <v>46299.383333333331</v>
      </c>
      <c r="C9" s="32">
        <v>46299.39166666667</v>
      </c>
      <c r="D9" s="33">
        <f t="shared" si="0"/>
        <v>12.000000007683411</v>
      </c>
      <c r="E9" s="26">
        <v>0.51700000000000002</v>
      </c>
      <c r="F9" s="26">
        <f t="shared" si="1"/>
        <v>2.5849999983448653</v>
      </c>
      <c r="G9" s="33">
        <f t="shared" si="2"/>
        <v>52.999999994644895</v>
      </c>
    </row>
    <row r="10" spans="1:7">
      <c r="A10">
        <v>9</v>
      </c>
      <c r="B10" s="32">
        <v>46299.45</v>
      </c>
      <c r="C10" s="32">
        <v>46299.520138888889</v>
      </c>
      <c r="D10" s="33">
        <f t="shared" si="0"/>
        <v>101.00000000442378</v>
      </c>
      <c r="E10" s="26">
        <v>0.93600000000000005</v>
      </c>
      <c r="F10" s="26">
        <f t="shared" si="1"/>
        <v>0.55603960393604168</v>
      </c>
      <c r="G10" s="33">
        <f t="shared" si="2"/>
        <v>95.999999998603016</v>
      </c>
    </row>
    <row r="12" spans="1:7" ht="15">
      <c r="B12" s="30" t="s">
        <v>92</v>
      </c>
      <c r="D12" s="34">
        <f>AVERAGE(D2:D10)</f>
        <v>20.333333329763263</v>
      </c>
      <c r="E12" s="34">
        <f>AVERAGE(E2:E10)</f>
        <v>0.47522222222222221</v>
      </c>
      <c r="F12" s="34">
        <f>AVERAGE(F2:F10)</f>
        <v>2.2249774654865133</v>
      </c>
      <c r="G12" s="34">
        <f>AVERAGE(G2:G10)</f>
        <v>56.125000000902219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A9D8F"/>
  </sheetPr>
  <dimension ref="A1:H13"/>
  <sheetViews>
    <sheetView workbookViewId="0"/>
  </sheetViews>
  <sheetFormatPr defaultRowHeight="14.4"/>
  <cols>
    <col min="1" max="1" width="10" customWidth="1"/>
    <col min="2" max="2" width="18" customWidth="1"/>
    <col min="3" max="3" width="22" customWidth="1"/>
    <col min="4" max="4" width="26" customWidth="1"/>
  </cols>
  <sheetData>
    <row r="1" spans="1:8" ht="30" customHeight="1">
      <c r="A1" s="14" t="s">
        <v>93</v>
      </c>
      <c r="B1" s="14" t="s">
        <v>94</v>
      </c>
      <c r="C1" s="14" t="s">
        <v>95</v>
      </c>
      <c r="D1" s="14" t="s">
        <v>96</v>
      </c>
    </row>
    <row r="2" spans="1:8">
      <c r="A2">
        <v>1</v>
      </c>
      <c r="B2">
        <v>0.192</v>
      </c>
      <c r="C2">
        <v>0.218</v>
      </c>
      <c r="D2">
        <v>0.214</v>
      </c>
    </row>
    <row r="3" spans="1:8">
      <c r="A3">
        <v>2</v>
      </c>
      <c r="B3">
        <v>0.25600000000000001</v>
      </c>
      <c r="C3">
        <v>0.21299999999999999</v>
      </c>
      <c r="D3">
        <v>0.16400000000000001</v>
      </c>
    </row>
    <row r="4" spans="1:8">
      <c r="A4">
        <v>3</v>
      </c>
      <c r="B4">
        <v>0.23100000000000001</v>
      </c>
      <c r="C4">
        <v>0.40899999999999997</v>
      </c>
      <c r="D4">
        <v>0.14799999999999999</v>
      </c>
    </row>
    <row r="5" spans="1:8">
      <c r="A5">
        <v>4</v>
      </c>
      <c r="B5">
        <v>0.189</v>
      </c>
      <c r="C5">
        <v>0.376</v>
      </c>
      <c r="D5">
        <v>0.311</v>
      </c>
    </row>
    <row r="6" spans="1:8">
      <c r="A6">
        <v>5</v>
      </c>
      <c r="B6">
        <v>7.0000000000000007E-2</v>
      </c>
      <c r="C6">
        <v>0.14899999999999999</v>
      </c>
      <c r="D6">
        <v>5.7000000000000002E-2</v>
      </c>
    </row>
    <row r="8" spans="1:8" ht="15">
      <c r="A8" s="30" t="s">
        <v>97</v>
      </c>
      <c r="B8" s="35">
        <f>AVERAGE(B2:B6)</f>
        <v>0.18760000000000004</v>
      </c>
      <c r="C8" s="35">
        <f>AVERAGE(C2:C6)</f>
        <v>0.27300000000000002</v>
      </c>
      <c r="D8" s="35">
        <f>AVERAGE(D2:D6)</f>
        <v>0.17880000000000001</v>
      </c>
    </row>
    <row r="9" spans="1:8" ht="15">
      <c r="A9" s="30" t="s">
        <v>98</v>
      </c>
      <c r="B9" s="35">
        <f>_xlfn.STDEV.S(B2:B6)</f>
        <v>7.1437385170511222E-2</v>
      </c>
      <c r="C9" s="35">
        <f>_xlfn.STDEV.S(C2:C6)</f>
        <v>0.11303318096912958</v>
      </c>
      <c r="D9" s="35">
        <f>_xlfn.STDEV.S(D2:D6)</f>
        <v>9.3164907556439927E-2</v>
      </c>
    </row>
    <row r="10" spans="1:8" ht="15">
      <c r="A10" s="30" t="s">
        <v>99</v>
      </c>
      <c r="C10" s="36">
        <f>1-C8/$B$8</f>
        <v>-0.4552238805970148</v>
      </c>
      <c r="D10" s="36">
        <f>1-D8/$B$8</f>
        <v>4.6908315565032166E-2</v>
      </c>
    </row>
    <row r="12" spans="1:8" ht="31.95" customHeight="1">
      <c r="A12" s="37" t="s">
        <v>100</v>
      </c>
      <c r="B12" s="38"/>
      <c r="C12" s="38"/>
      <c r="D12" s="38"/>
      <c r="E12" s="38"/>
      <c r="F12" s="38"/>
      <c r="G12" s="38"/>
      <c r="H12" s="38"/>
    </row>
    <row r="13" spans="1:8" ht="31.95" customHeight="1">
      <c r="A13" s="37" t="s">
        <v>101</v>
      </c>
      <c r="B13" s="38"/>
      <c r="C13" s="38"/>
      <c r="D13" s="38"/>
      <c r="E13" s="38"/>
      <c r="F13" s="38"/>
      <c r="G13" s="38"/>
      <c r="H13" s="38"/>
    </row>
  </sheetData>
  <mergeCells count="2">
    <mergeCell ref="A12:H12"/>
    <mergeCell ref="A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Summary</vt:lpstr>
      <vt:lpstr>Dashboard</vt:lpstr>
      <vt:lpstr>RoomA_Night1</vt:lpstr>
      <vt:lpstr>RoomB_Pending</vt:lpstr>
      <vt:lpstr>Weather_Hourly</vt:lpstr>
      <vt:lpstr>Calibration_Pending</vt:lpstr>
      <vt:lpstr>Furnace_Cycles</vt:lpstr>
      <vt:lpstr>ML_Forecast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Bhandohal</cp:lastModifiedBy>
  <cp:lastPrinted>2026-10-29T22:54:22Z</cp:lastPrinted>
  <dcterms:created xsi:type="dcterms:W3CDTF">2026-10-29T22:54:17Z</dcterms:created>
  <dcterms:modified xsi:type="dcterms:W3CDTF">2026-10-29T22:54:22Z</dcterms:modified>
</cp:coreProperties>
</file>